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ConceptLens testing\"/>
    </mc:Choice>
  </mc:AlternateContent>
  <xr:revisionPtr revIDLastSave="0" documentId="13_ncr:1_{6807B0EB-833C-4BB6-A2C5-ADFCDA841FBC}" xr6:coauthVersionLast="47" xr6:coauthVersionMax="47" xr10:uidLastSave="{00000000-0000-0000-0000-000000000000}"/>
  <bookViews>
    <workbookView xWindow="-108" yWindow="-108" windowWidth="23256" windowHeight="13176" tabRatio="500" xr2:uid="{00000000-000D-0000-FFFF-FFFF00000000}"/>
  </bookViews>
  <sheets>
    <sheet name="Claude vs tools" sheetId="1" r:id="rId1"/>
    <sheet name="Summary" sheetId="2" r:id="rId2"/>
    <sheet name="Tools matrix" sheetId="3" r:id="rId3"/>
    <sheet name="Raw lists" sheetId="4" r:id="rId4"/>
  </sheets>
  <definedNames>
    <definedName name="_xlnm._FilterDatabase" localSheetId="0" hidden="1">'Claude vs tools'!$A$1:$I$914</definedName>
    <definedName name="_xlnm._FilterDatabase" localSheetId="2" hidden="1">'Tools matrix'!$A$1:$I$992</definedName>
  </definedNames>
  <calcPr calcId="191029"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F627" i="4" l="1"/>
  <c r="F626" i="4"/>
  <c r="F625" i="4"/>
  <c r="F624" i="4"/>
  <c r="F623" i="4"/>
  <c r="F622" i="4"/>
  <c r="F621" i="4"/>
  <c r="F620" i="4"/>
  <c r="F619" i="4"/>
  <c r="F618" i="4"/>
  <c r="F617" i="4"/>
  <c r="G616" i="4"/>
  <c r="F616" i="4"/>
  <c r="G615" i="4"/>
  <c r="F615" i="4"/>
  <c r="G614" i="4"/>
  <c r="F614" i="4"/>
  <c r="G613" i="4"/>
  <c r="F613" i="4"/>
  <c r="G612" i="4"/>
  <c r="F612" i="4"/>
  <c r="G611" i="4"/>
  <c r="F611" i="4"/>
  <c r="G610" i="4"/>
  <c r="F610" i="4"/>
  <c r="G609" i="4"/>
  <c r="F609" i="4"/>
  <c r="G608" i="4"/>
  <c r="F608" i="4"/>
  <c r="G607" i="4"/>
  <c r="F607" i="4"/>
  <c r="G606" i="4"/>
  <c r="F606" i="4"/>
  <c r="G605" i="4"/>
  <c r="F605" i="4"/>
  <c r="G604" i="4"/>
  <c r="F604" i="4"/>
  <c r="G603" i="4"/>
  <c r="F603" i="4"/>
  <c r="G602" i="4"/>
  <c r="F602" i="4"/>
  <c r="G601" i="4"/>
  <c r="F601" i="4"/>
  <c r="G600" i="4"/>
  <c r="F600" i="4"/>
  <c r="G599" i="4"/>
  <c r="F599" i="4"/>
  <c r="G598" i="4"/>
  <c r="F598" i="4"/>
  <c r="G597" i="4"/>
  <c r="F597" i="4"/>
  <c r="G596" i="4"/>
  <c r="F596" i="4"/>
  <c r="G595" i="4"/>
  <c r="F595" i="4"/>
  <c r="G594" i="4"/>
  <c r="F594" i="4"/>
  <c r="G593" i="4"/>
  <c r="F593" i="4"/>
  <c r="G592" i="4"/>
  <c r="F592" i="4"/>
  <c r="G591" i="4"/>
  <c r="F591" i="4"/>
  <c r="G590" i="4"/>
  <c r="F590" i="4"/>
  <c r="G589" i="4"/>
  <c r="F589" i="4"/>
  <c r="G588" i="4"/>
  <c r="F588" i="4"/>
  <c r="G587" i="4"/>
  <c r="F587" i="4"/>
  <c r="G586" i="4"/>
  <c r="F586" i="4"/>
  <c r="G585" i="4"/>
  <c r="F585" i="4"/>
  <c r="G584" i="4"/>
  <c r="F584" i="4"/>
  <c r="G583" i="4"/>
  <c r="F583" i="4"/>
  <c r="G582" i="4"/>
  <c r="F582" i="4"/>
  <c r="G581" i="4"/>
  <c r="F581" i="4"/>
  <c r="G580" i="4"/>
  <c r="F580" i="4"/>
  <c r="G579" i="4"/>
  <c r="F579" i="4"/>
  <c r="G578" i="4"/>
  <c r="F578" i="4"/>
  <c r="G577" i="4"/>
  <c r="F577" i="4"/>
  <c r="G576" i="4"/>
  <c r="F576" i="4"/>
  <c r="G575" i="4"/>
  <c r="F575" i="4"/>
  <c r="G574" i="4"/>
  <c r="F574" i="4"/>
  <c r="G573" i="4"/>
  <c r="F573" i="4"/>
  <c r="G572" i="4"/>
  <c r="F572" i="4"/>
  <c r="G571" i="4"/>
  <c r="F571" i="4"/>
  <c r="G570" i="4"/>
  <c r="F570" i="4"/>
  <c r="G569" i="4"/>
  <c r="F569" i="4"/>
  <c r="G568" i="4"/>
  <c r="F568" i="4"/>
  <c r="G567" i="4"/>
  <c r="F567" i="4"/>
  <c r="G566" i="4"/>
  <c r="F566" i="4"/>
  <c r="G565" i="4"/>
  <c r="F565" i="4"/>
  <c r="G564" i="4"/>
  <c r="F564" i="4"/>
  <c r="G563" i="4"/>
  <c r="F563" i="4"/>
  <c r="G562" i="4"/>
  <c r="F562" i="4"/>
  <c r="G561" i="4"/>
  <c r="F561" i="4"/>
  <c r="G560" i="4"/>
  <c r="F560" i="4"/>
  <c r="G559" i="4"/>
  <c r="F559" i="4"/>
  <c r="G558" i="4"/>
  <c r="F558" i="4"/>
  <c r="G557" i="4"/>
  <c r="F557" i="4"/>
  <c r="G556" i="4"/>
  <c r="F556" i="4"/>
  <c r="G555" i="4"/>
  <c r="F555" i="4"/>
  <c r="G554" i="4"/>
  <c r="F554" i="4"/>
  <c r="G553" i="4"/>
  <c r="F553" i="4"/>
  <c r="G552" i="4"/>
  <c r="F552" i="4"/>
  <c r="G551" i="4"/>
  <c r="F551" i="4"/>
  <c r="G550" i="4"/>
  <c r="F550" i="4"/>
  <c r="G549" i="4"/>
  <c r="F549" i="4"/>
  <c r="G548" i="4"/>
  <c r="F548" i="4"/>
  <c r="G547" i="4"/>
  <c r="F547" i="4"/>
  <c r="G546" i="4"/>
  <c r="F546" i="4"/>
  <c r="G545" i="4"/>
  <c r="F545" i="4"/>
  <c r="G544" i="4"/>
  <c r="F544" i="4"/>
  <c r="G543" i="4"/>
  <c r="F543" i="4"/>
  <c r="G542" i="4"/>
  <c r="F542" i="4"/>
  <c r="G541" i="4"/>
  <c r="F541" i="4"/>
  <c r="G540" i="4"/>
  <c r="F540" i="4"/>
  <c r="G539" i="4"/>
  <c r="F539" i="4"/>
  <c r="G538" i="4"/>
  <c r="F538" i="4"/>
  <c r="G537" i="4"/>
  <c r="F537" i="4"/>
  <c r="G536" i="4"/>
  <c r="F536" i="4"/>
  <c r="G535" i="4"/>
  <c r="F535" i="4"/>
  <c r="G534" i="4"/>
  <c r="F534" i="4"/>
  <c r="G533" i="4"/>
  <c r="F533" i="4"/>
  <c r="G532" i="4"/>
  <c r="F532" i="4"/>
  <c r="G531" i="4"/>
  <c r="F531" i="4"/>
  <c r="G530" i="4"/>
  <c r="F530" i="4"/>
  <c r="G529" i="4"/>
  <c r="F529" i="4"/>
  <c r="G528" i="4"/>
  <c r="F528" i="4"/>
  <c r="G527" i="4"/>
  <c r="F527" i="4"/>
  <c r="G526" i="4"/>
  <c r="F526" i="4"/>
  <c r="G525" i="4"/>
  <c r="F525" i="4"/>
  <c r="G524" i="4"/>
  <c r="F524" i="4"/>
  <c r="G523" i="4"/>
  <c r="F523" i="4"/>
  <c r="G522" i="4"/>
  <c r="F522" i="4"/>
  <c r="G521" i="4"/>
  <c r="F521" i="4"/>
  <c r="G520" i="4"/>
  <c r="F520" i="4"/>
  <c r="G519" i="4"/>
  <c r="F519" i="4"/>
  <c r="G518" i="4"/>
  <c r="F518" i="4"/>
  <c r="G517" i="4"/>
  <c r="F517" i="4"/>
  <c r="G516" i="4"/>
  <c r="F516" i="4"/>
  <c r="G515" i="4"/>
  <c r="F515" i="4"/>
  <c r="G514" i="4"/>
  <c r="F514" i="4"/>
  <c r="G513" i="4"/>
  <c r="F513" i="4"/>
  <c r="G512" i="4"/>
  <c r="F512" i="4"/>
  <c r="G511" i="4"/>
  <c r="F511" i="4"/>
  <c r="G510" i="4"/>
  <c r="F510" i="4"/>
  <c r="G509" i="4"/>
  <c r="F509" i="4"/>
  <c r="G508" i="4"/>
  <c r="F508" i="4"/>
  <c r="G507" i="4"/>
  <c r="F507" i="4"/>
  <c r="G506" i="4"/>
  <c r="F506" i="4"/>
  <c r="G505" i="4"/>
  <c r="F505" i="4"/>
  <c r="G504" i="4"/>
  <c r="F504" i="4"/>
  <c r="G503" i="4"/>
  <c r="F503" i="4"/>
  <c r="G502" i="4"/>
  <c r="F502" i="4"/>
  <c r="G501" i="4"/>
  <c r="F501" i="4"/>
  <c r="G500" i="4"/>
  <c r="F500" i="4"/>
  <c r="G499" i="4"/>
  <c r="F499" i="4"/>
  <c r="G498" i="4"/>
  <c r="F498" i="4"/>
  <c r="G497" i="4"/>
  <c r="F497" i="4"/>
  <c r="G496" i="4"/>
  <c r="F496" i="4"/>
  <c r="G495" i="4"/>
  <c r="F495" i="4"/>
  <c r="G494" i="4"/>
  <c r="F494" i="4"/>
  <c r="G493" i="4"/>
  <c r="F493" i="4"/>
  <c r="G492" i="4"/>
  <c r="F492" i="4"/>
  <c r="G491" i="4"/>
  <c r="F491" i="4"/>
  <c r="G490" i="4"/>
  <c r="F490" i="4"/>
  <c r="G489" i="4"/>
  <c r="F489" i="4"/>
  <c r="G488" i="4"/>
  <c r="F488" i="4"/>
  <c r="G487" i="4"/>
  <c r="F487" i="4"/>
  <c r="G486" i="4"/>
  <c r="F486" i="4"/>
  <c r="G485" i="4"/>
  <c r="F485" i="4"/>
  <c r="G484" i="4"/>
  <c r="F484" i="4"/>
  <c r="G483" i="4"/>
  <c r="F483" i="4"/>
  <c r="G482" i="4"/>
  <c r="F482" i="4"/>
  <c r="G481" i="4"/>
  <c r="F481" i="4"/>
  <c r="G480" i="4"/>
  <c r="F480" i="4"/>
  <c r="G479" i="4"/>
  <c r="F479" i="4"/>
  <c r="G478" i="4"/>
  <c r="F478" i="4"/>
  <c r="G477" i="4"/>
  <c r="F477" i="4"/>
  <c r="G476" i="4"/>
  <c r="F476" i="4"/>
  <c r="G475" i="4"/>
  <c r="F475" i="4"/>
  <c r="G474" i="4"/>
  <c r="F474" i="4"/>
  <c r="G473" i="4"/>
  <c r="F473" i="4"/>
  <c r="G472" i="4"/>
  <c r="F472" i="4"/>
  <c r="G471" i="4"/>
  <c r="F471" i="4"/>
  <c r="G470" i="4"/>
  <c r="F470" i="4"/>
  <c r="G469" i="4"/>
  <c r="F469" i="4"/>
  <c r="G468" i="4"/>
  <c r="F468" i="4"/>
  <c r="G467" i="4"/>
  <c r="F467" i="4"/>
  <c r="G466" i="4"/>
  <c r="F466" i="4"/>
  <c r="G465" i="4"/>
  <c r="F465" i="4"/>
  <c r="G464" i="4"/>
  <c r="F464" i="4"/>
  <c r="G463" i="4"/>
  <c r="F463" i="4"/>
  <c r="G462" i="4"/>
  <c r="F462" i="4"/>
  <c r="G461" i="4"/>
  <c r="F461" i="4"/>
  <c r="G460" i="4"/>
  <c r="F460" i="4"/>
  <c r="G459" i="4"/>
  <c r="F459" i="4"/>
  <c r="G458" i="4"/>
  <c r="F458" i="4"/>
  <c r="G457" i="4"/>
  <c r="F457" i="4"/>
  <c r="G456" i="4"/>
  <c r="F456" i="4"/>
  <c r="G455" i="4"/>
  <c r="F455" i="4"/>
  <c r="G454" i="4"/>
  <c r="F454" i="4"/>
  <c r="G453" i="4"/>
  <c r="F453" i="4"/>
  <c r="G452" i="4"/>
  <c r="F452" i="4"/>
  <c r="G451" i="4"/>
  <c r="F451" i="4"/>
  <c r="G450" i="4"/>
  <c r="F450" i="4"/>
  <c r="G449" i="4"/>
  <c r="F449" i="4"/>
  <c r="G448" i="4"/>
  <c r="F448" i="4"/>
  <c r="G447" i="4"/>
  <c r="F447" i="4"/>
  <c r="G446" i="4"/>
  <c r="F446" i="4"/>
  <c r="G445" i="4"/>
  <c r="F445" i="4"/>
  <c r="G444" i="4"/>
  <c r="F444" i="4"/>
  <c r="G443" i="4"/>
  <c r="F443" i="4"/>
  <c r="G442" i="4"/>
  <c r="F442" i="4"/>
  <c r="G441" i="4"/>
  <c r="F441" i="4"/>
  <c r="G440" i="4"/>
  <c r="F440" i="4"/>
  <c r="G439" i="4"/>
  <c r="F439" i="4"/>
  <c r="G438" i="4"/>
  <c r="F438" i="4"/>
  <c r="G437" i="4"/>
  <c r="F437" i="4"/>
  <c r="G436" i="4"/>
  <c r="F436" i="4"/>
  <c r="G435" i="4"/>
  <c r="F435" i="4"/>
  <c r="G434" i="4"/>
  <c r="F434" i="4"/>
  <c r="G433" i="4"/>
  <c r="F433" i="4"/>
  <c r="G432" i="4"/>
  <c r="F432" i="4"/>
  <c r="G431" i="4"/>
  <c r="F431" i="4"/>
  <c r="G430" i="4"/>
  <c r="F430" i="4"/>
  <c r="G429" i="4"/>
  <c r="F429" i="4"/>
  <c r="G428" i="4"/>
  <c r="F428" i="4"/>
  <c r="G427" i="4"/>
  <c r="F427" i="4"/>
  <c r="G426" i="4"/>
  <c r="F426" i="4"/>
  <c r="G425" i="4"/>
  <c r="F425" i="4"/>
  <c r="G424" i="4"/>
  <c r="F424" i="4"/>
  <c r="G423" i="4"/>
  <c r="F423" i="4"/>
  <c r="G422" i="4"/>
  <c r="F422" i="4"/>
  <c r="G421" i="4"/>
  <c r="F421" i="4"/>
  <c r="G420" i="4"/>
  <c r="F420" i="4"/>
  <c r="G419" i="4"/>
  <c r="F419" i="4"/>
  <c r="G418" i="4"/>
  <c r="F418" i="4"/>
  <c r="G417" i="4"/>
  <c r="F417" i="4"/>
  <c r="G416" i="4"/>
  <c r="F416" i="4"/>
  <c r="G415" i="4"/>
  <c r="F415" i="4"/>
  <c r="G414" i="4"/>
  <c r="F414" i="4"/>
  <c r="G413" i="4"/>
  <c r="F413" i="4"/>
  <c r="G412" i="4"/>
  <c r="F412" i="4"/>
  <c r="G411" i="4"/>
  <c r="F411" i="4"/>
  <c r="G410" i="4"/>
  <c r="F410" i="4"/>
  <c r="G409" i="4"/>
  <c r="F409" i="4"/>
  <c r="G408" i="4"/>
  <c r="F408" i="4"/>
  <c r="G407" i="4"/>
  <c r="F407" i="4"/>
  <c r="G406" i="4"/>
  <c r="F406" i="4"/>
  <c r="G405" i="4"/>
  <c r="F405" i="4"/>
  <c r="G404" i="4"/>
  <c r="F404" i="4"/>
  <c r="G403" i="4"/>
  <c r="F403" i="4"/>
  <c r="G402" i="4"/>
  <c r="F402" i="4"/>
  <c r="G401" i="4"/>
  <c r="F401" i="4"/>
  <c r="G400" i="4"/>
  <c r="F400" i="4"/>
  <c r="G399" i="4"/>
  <c r="F399" i="4"/>
  <c r="G398" i="4"/>
  <c r="F398" i="4"/>
  <c r="G397" i="4"/>
  <c r="F397" i="4"/>
  <c r="G396" i="4"/>
  <c r="F396" i="4"/>
  <c r="G395" i="4"/>
  <c r="F395" i="4"/>
  <c r="G394" i="4"/>
  <c r="F394" i="4"/>
  <c r="G393" i="4"/>
  <c r="F393" i="4"/>
  <c r="G392" i="4"/>
  <c r="F392" i="4"/>
  <c r="G391" i="4"/>
  <c r="F391" i="4"/>
  <c r="G390" i="4"/>
  <c r="F390" i="4"/>
  <c r="G389" i="4"/>
  <c r="F389" i="4"/>
  <c r="G388" i="4"/>
  <c r="F388" i="4"/>
  <c r="G387" i="4"/>
  <c r="F387" i="4"/>
  <c r="G386" i="4"/>
  <c r="F386" i="4"/>
  <c r="G385" i="4"/>
  <c r="F385" i="4"/>
  <c r="G384" i="4"/>
  <c r="F384" i="4"/>
  <c r="G383" i="4"/>
  <c r="F383" i="4"/>
  <c r="G382" i="4"/>
  <c r="F382" i="4"/>
  <c r="G381" i="4"/>
  <c r="F381" i="4"/>
  <c r="G380" i="4"/>
  <c r="F380" i="4"/>
  <c r="G379" i="4"/>
  <c r="F379" i="4"/>
  <c r="G378" i="4"/>
  <c r="F378" i="4"/>
  <c r="G377" i="4"/>
  <c r="F377" i="4"/>
  <c r="G376" i="4"/>
  <c r="F376" i="4"/>
  <c r="G375" i="4"/>
  <c r="F375" i="4"/>
  <c r="G374" i="4"/>
  <c r="F374" i="4"/>
  <c r="G373" i="4"/>
  <c r="F373" i="4"/>
  <c r="G372" i="4"/>
  <c r="F372" i="4"/>
  <c r="G371" i="4"/>
  <c r="F371" i="4"/>
  <c r="G370" i="4"/>
  <c r="F370" i="4"/>
  <c r="G369" i="4"/>
  <c r="F369" i="4"/>
  <c r="G368" i="4"/>
  <c r="F368" i="4"/>
  <c r="G367" i="4"/>
  <c r="F367" i="4"/>
  <c r="G366" i="4"/>
  <c r="F366" i="4"/>
  <c r="G365" i="4"/>
  <c r="F365" i="4"/>
  <c r="G364" i="4"/>
  <c r="F364" i="4"/>
  <c r="G363" i="4"/>
  <c r="F363" i="4"/>
  <c r="G362" i="4"/>
  <c r="F362" i="4"/>
  <c r="G361" i="4"/>
  <c r="F361" i="4"/>
  <c r="G360" i="4"/>
  <c r="F360" i="4"/>
  <c r="G359" i="4"/>
  <c r="F359" i="4"/>
  <c r="G358" i="4"/>
  <c r="F358" i="4"/>
  <c r="G357" i="4"/>
  <c r="F357" i="4"/>
  <c r="G356" i="4"/>
  <c r="F356" i="4"/>
  <c r="G355" i="4"/>
  <c r="F355" i="4"/>
  <c r="G354" i="4"/>
  <c r="F354" i="4"/>
  <c r="G353" i="4"/>
  <c r="F353" i="4"/>
  <c r="G352" i="4"/>
  <c r="F352" i="4"/>
  <c r="G351" i="4"/>
  <c r="F351" i="4"/>
  <c r="G350" i="4"/>
  <c r="F350" i="4"/>
  <c r="G349" i="4"/>
  <c r="F349" i="4"/>
  <c r="G348" i="4"/>
  <c r="F348" i="4"/>
  <c r="G347" i="4"/>
  <c r="F347" i="4"/>
  <c r="G346" i="4"/>
  <c r="F346" i="4"/>
  <c r="G345" i="4"/>
  <c r="F345" i="4"/>
  <c r="G344" i="4"/>
  <c r="F344" i="4"/>
  <c r="G343" i="4"/>
  <c r="F343" i="4"/>
  <c r="G342" i="4"/>
  <c r="F342" i="4"/>
  <c r="G341" i="4"/>
  <c r="F341" i="4"/>
  <c r="G340" i="4"/>
  <c r="F340" i="4"/>
  <c r="G339" i="4"/>
  <c r="F339" i="4"/>
  <c r="G338" i="4"/>
  <c r="F338" i="4"/>
  <c r="G337" i="4"/>
  <c r="F337" i="4"/>
  <c r="G336" i="4"/>
  <c r="F336" i="4"/>
  <c r="G335" i="4"/>
  <c r="F335" i="4"/>
  <c r="G334" i="4"/>
  <c r="F334" i="4"/>
  <c r="G333" i="4"/>
  <c r="F333" i="4"/>
  <c r="G332" i="4"/>
  <c r="F332" i="4"/>
  <c r="G331" i="4"/>
  <c r="F331" i="4"/>
  <c r="G330" i="4"/>
  <c r="F330" i="4"/>
  <c r="G329" i="4"/>
  <c r="F329" i="4"/>
  <c r="G328" i="4"/>
  <c r="F328" i="4"/>
  <c r="G327" i="4"/>
  <c r="F327" i="4"/>
  <c r="G326" i="4"/>
  <c r="F326" i="4"/>
  <c r="G325" i="4"/>
  <c r="F325" i="4"/>
  <c r="G324" i="4"/>
  <c r="F324" i="4"/>
  <c r="G323" i="4"/>
  <c r="F323" i="4"/>
  <c r="G322" i="4"/>
  <c r="F322" i="4"/>
  <c r="G321" i="4"/>
  <c r="F321" i="4"/>
  <c r="G320" i="4"/>
  <c r="F320" i="4"/>
  <c r="G319" i="4"/>
  <c r="F319" i="4"/>
  <c r="G318" i="4"/>
  <c r="F318" i="4"/>
  <c r="G317" i="4"/>
  <c r="F317" i="4"/>
  <c r="G316" i="4"/>
  <c r="F316" i="4"/>
  <c r="G315" i="4"/>
  <c r="F315" i="4"/>
  <c r="G314" i="4"/>
  <c r="F314" i="4"/>
  <c r="G313" i="4"/>
  <c r="F313" i="4"/>
  <c r="G312" i="4"/>
  <c r="F312" i="4"/>
  <c r="G311" i="4"/>
  <c r="F311" i="4"/>
  <c r="G310" i="4"/>
  <c r="F310" i="4"/>
  <c r="G309" i="4"/>
  <c r="F309" i="4"/>
  <c r="G308" i="4"/>
  <c r="F308" i="4"/>
  <c r="G307" i="4"/>
  <c r="F307" i="4"/>
  <c r="G306" i="4"/>
  <c r="F306" i="4"/>
  <c r="G305" i="4"/>
  <c r="F305" i="4"/>
  <c r="G304" i="4"/>
  <c r="F304" i="4"/>
  <c r="G303" i="4"/>
  <c r="F303" i="4"/>
  <c r="G302" i="4"/>
  <c r="F302" i="4"/>
  <c r="G301" i="4"/>
  <c r="F301" i="4"/>
  <c r="G300" i="4"/>
  <c r="F300" i="4"/>
  <c r="G299" i="4"/>
  <c r="F299" i="4"/>
  <c r="G298" i="4"/>
  <c r="F298" i="4"/>
  <c r="G297" i="4"/>
  <c r="F297" i="4"/>
  <c r="G296" i="4"/>
  <c r="F296" i="4"/>
  <c r="G295" i="4"/>
  <c r="F295" i="4"/>
  <c r="G294" i="4"/>
  <c r="F294" i="4"/>
  <c r="G293" i="4"/>
  <c r="F293" i="4"/>
  <c r="G292" i="4"/>
  <c r="F292" i="4"/>
  <c r="G291" i="4"/>
  <c r="F291" i="4"/>
  <c r="G290" i="4"/>
  <c r="F290" i="4"/>
  <c r="G289" i="4"/>
  <c r="F289" i="4"/>
  <c r="G288" i="4"/>
  <c r="F288" i="4"/>
  <c r="G287" i="4"/>
  <c r="F287" i="4"/>
  <c r="G286" i="4"/>
  <c r="F286" i="4"/>
  <c r="G285" i="4"/>
  <c r="F285" i="4"/>
  <c r="G284" i="4"/>
  <c r="F284" i="4"/>
  <c r="G283" i="4"/>
  <c r="F283" i="4"/>
  <c r="G282" i="4"/>
  <c r="F282" i="4"/>
  <c r="G281" i="4"/>
  <c r="F281" i="4"/>
  <c r="G280" i="4"/>
  <c r="F280" i="4"/>
  <c r="G279" i="4"/>
  <c r="F279" i="4"/>
  <c r="G278" i="4"/>
  <c r="F278" i="4"/>
  <c r="G277" i="4"/>
  <c r="F277" i="4"/>
  <c r="G276" i="4"/>
  <c r="F276" i="4"/>
  <c r="G275" i="4"/>
  <c r="F275" i="4"/>
  <c r="G274" i="4"/>
  <c r="F274" i="4"/>
  <c r="G273" i="4"/>
  <c r="F273" i="4"/>
  <c r="G272" i="4"/>
  <c r="F272" i="4"/>
  <c r="G271" i="4"/>
  <c r="F271" i="4"/>
  <c r="G270" i="4"/>
  <c r="F270" i="4"/>
  <c r="G269" i="4"/>
  <c r="F269" i="4"/>
  <c r="G268" i="4"/>
  <c r="F268" i="4"/>
  <c r="G267" i="4"/>
  <c r="F267" i="4"/>
  <c r="G266" i="4"/>
  <c r="F266" i="4"/>
  <c r="G265" i="4"/>
  <c r="F265" i="4"/>
  <c r="G264" i="4"/>
  <c r="F264" i="4"/>
  <c r="G263" i="4"/>
  <c r="F263" i="4"/>
  <c r="G262" i="4"/>
  <c r="F262" i="4"/>
  <c r="G261" i="4"/>
  <c r="F261" i="4"/>
  <c r="G260" i="4"/>
  <c r="F260" i="4"/>
  <c r="G259" i="4"/>
  <c r="F259" i="4"/>
  <c r="G258" i="4"/>
  <c r="F258" i="4"/>
  <c r="G257" i="4"/>
  <c r="F257" i="4"/>
  <c r="G256" i="4"/>
  <c r="F256" i="4"/>
  <c r="G255" i="4"/>
  <c r="F255" i="4"/>
  <c r="G254" i="4"/>
  <c r="F254" i="4"/>
  <c r="G253" i="4"/>
  <c r="F253" i="4"/>
  <c r="G252" i="4"/>
  <c r="F252" i="4"/>
  <c r="G251" i="4"/>
  <c r="F251" i="4"/>
  <c r="G250" i="4"/>
  <c r="F250" i="4"/>
  <c r="G249" i="4"/>
  <c r="F249" i="4"/>
  <c r="G248" i="4"/>
  <c r="F248" i="4"/>
  <c r="G247" i="4"/>
  <c r="F247" i="4"/>
  <c r="G246" i="4"/>
  <c r="F246" i="4"/>
  <c r="G245" i="4"/>
  <c r="F245" i="4"/>
  <c r="G244" i="4"/>
  <c r="F244" i="4"/>
  <c r="G243" i="4"/>
  <c r="F243" i="4"/>
  <c r="G242" i="4"/>
  <c r="F242" i="4"/>
  <c r="G241" i="4"/>
  <c r="F241" i="4"/>
  <c r="G240" i="4"/>
  <c r="F240" i="4"/>
  <c r="G239" i="4"/>
  <c r="F239" i="4"/>
  <c r="G238" i="4"/>
  <c r="F238" i="4"/>
  <c r="G237" i="4"/>
  <c r="F237" i="4"/>
  <c r="G236" i="4"/>
  <c r="F236" i="4"/>
  <c r="G235" i="4"/>
  <c r="F235" i="4"/>
  <c r="G234" i="4"/>
  <c r="F234" i="4"/>
  <c r="G233" i="4"/>
  <c r="F233" i="4"/>
  <c r="G232" i="4"/>
  <c r="F232" i="4"/>
  <c r="G231" i="4"/>
  <c r="F231" i="4"/>
  <c r="G230" i="4"/>
  <c r="F230" i="4"/>
  <c r="G229" i="4"/>
  <c r="F229" i="4"/>
  <c r="G228" i="4"/>
  <c r="F228" i="4"/>
  <c r="G227" i="4"/>
  <c r="F227" i="4"/>
  <c r="G226" i="4"/>
  <c r="F226" i="4"/>
  <c r="G225" i="4"/>
  <c r="F225" i="4"/>
  <c r="G224" i="4"/>
  <c r="F224" i="4"/>
  <c r="G223" i="4"/>
  <c r="F223" i="4"/>
  <c r="G222" i="4"/>
  <c r="F222" i="4"/>
  <c r="G221" i="4"/>
  <c r="F221" i="4"/>
  <c r="G220" i="4"/>
  <c r="F220" i="4"/>
  <c r="G219" i="4"/>
  <c r="F219" i="4"/>
  <c r="G218" i="4"/>
  <c r="F218" i="4"/>
  <c r="G217" i="4"/>
  <c r="F217" i="4"/>
  <c r="G216" i="4"/>
  <c r="F216" i="4"/>
  <c r="G215" i="4"/>
  <c r="F215" i="4"/>
  <c r="G214" i="4"/>
  <c r="F214" i="4"/>
  <c r="G213" i="4"/>
  <c r="F213" i="4"/>
  <c r="G212" i="4"/>
  <c r="F212" i="4"/>
  <c r="G211" i="4"/>
  <c r="F211" i="4"/>
  <c r="G210" i="4"/>
  <c r="F210" i="4"/>
  <c r="G209" i="4"/>
  <c r="F209" i="4"/>
  <c r="G208" i="4"/>
  <c r="F208" i="4"/>
  <c r="G207" i="4"/>
  <c r="F207" i="4"/>
  <c r="G206" i="4"/>
  <c r="F206" i="4"/>
  <c r="G205" i="4"/>
  <c r="F205" i="4"/>
  <c r="G204" i="4"/>
  <c r="F204" i="4"/>
  <c r="G203" i="4"/>
  <c r="F203" i="4"/>
  <c r="G202" i="4"/>
  <c r="F202" i="4"/>
  <c r="G201" i="4"/>
  <c r="F201" i="4"/>
  <c r="G200" i="4"/>
  <c r="F200" i="4"/>
  <c r="G199" i="4"/>
  <c r="F199" i="4"/>
  <c r="G198" i="4"/>
  <c r="F198" i="4"/>
  <c r="G197" i="4"/>
  <c r="F197" i="4"/>
  <c r="G196" i="4"/>
  <c r="F196" i="4"/>
  <c r="G195" i="4"/>
  <c r="F195" i="4"/>
  <c r="G194" i="4"/>
  <c r="F194" i="4"/>
  <c r="G193" i="4"/>
  <c r="F193" i="4"/>
  <c r="G192" i="4"/>
  <c r="F192" i="4"/>
  <c r="E192" i="4"/>
  <c r="G191" i="4"/>
  <c r="F191" i="4"/>
  <c r="E191" i="4"/>
  <c r="G190" i="4"/>
  <c r="F190" i="4"/>
  <c r="E190" i="4"/>
  <c r="G189" i="4"/>
  <c r="F189" i="4"/>
  <c r="E189" i="4"/>
  <c r="G188" i="4"/>
  <c r="F188" i="4"/>
  <c r="E188" i="4"/>
  <c r="G187" i="4"/>
  <c r="F187" i="4"/>
  <c r="E187" i="4"/>
  <c r="G186" i="4"/>
  <c r="F186" i="4"/>
  <c r="E186" i="4"/>
  <c r="G185" i="4"/>
  <c r="F185" i="4"/>
  <c r="E185" i="4"/>
  <c r="G184" i="4"/>
  <c r="F184" i="4"/>
  <c r="E184" i="4"/>
  <c r="G183" i="4"/>
  <c r="F183" i="4"/>
  <c r="E183" i="4"/>
  <c r="G182" i="4"/>
  <c r="F182" i="4"/>
  <c r="E182" i="4"/>
  <c r="G181" i="4"/>
  <c r="F181" i="4"/>
  <c r="E181" i="4"/>
  <c r="G180" i="4"/>
  <c r="F180" i="4"/>
  <c r="E180" i="4"/>
  <c r="G179" i="4"/>
  <c r="F179" i="4"/>
  <c r="E179" i="4"/>
  <c r="G178" i="4"/>
  <c r="F178" i="4"/>
  <c r="E178" i="4"/>
  <c r="G177" i="4"/>
  <c r="F177" i="4"/>
  <c r="E177" i="4"/>
  <c r="G176" i="4"/>
  <c r="F176" i="4"/>
  <c r="E176" i="4"/>
  <c r="G175" i="4"/>
  <c r="F175" i="4"/>
  <c r="E175" i="4"/>
  <c r="G174" i="4"/>
  <c r="F174" i="4"/>
  <c r="E174" i="4"/>
  <c r="G173" i="4"/>
  <c r="F173" i="4"/>
  <c r="E173" i="4"/>
  <c r="G172" i="4"/>
  <c r="F172" i="4"/>
  <c r="E172" i="4"/>
  <c r="G171" i="4"/>
  <c r="F171" i="4"/>
  <c r="E171" i="4"/>
  <c r="G170" i="4"/>
  <c r="F170" i="4"/>
  <c r="E170" i="4"/>
  <c r="G169" i="4"/>
  <c r="F169" i="4"/>
  <c r="E169" i="4"/>
  <c r="G168" i="4"/>
  <c r="F168" i="4"/>
  <c r="E168" i="4"/>
  <c r="G167" i="4"/>
  <c r="F167" i="4"/>
  <c r="E167" i="4"/>
  <c r="G166" i="4"/>
  <c r="F166" i="4"/>
  <c r="E166" i="4"/>
  <c r="G165" i="4"/>
  <c r="F165" i="4"/>
  <c r="E165" i="4"/>
  <c r="G164" i="4"/>
  <c r="F164" i="4"/>
  <c r="E164" i="4"/>
  <c r="G163" i="4"/>
  <c r="F163" i="4"/>
  <c r="E163" i="4"/>
  <c r="G162" i="4"/>
  <c r="F162" i="4"/>
  <c r="E162" i="4"/>
  <c r="G161" i="4"/>
  <c r="F161" i="4"/>
  <c r="E161" i="4"/>
  <c r="G160" i="4"/>
  <c r="F160" i="4"/>
  <c r="E160" i="4"/>
  <c r="G159" i="4"/>
  <c r="F159" i="4"/>
  <c r="E159" i="4"/>
  <c r="G158" i="4"/>
  <c r="F158" i="4"/>
  <c r="E158" i="4"/>
  <c r="G157" i="4"/>
  <c r="F157" i="4"/>
  <c r="E157" i="4"/>
  <c r="G156" i="4"/>
  <c r="F156" i="4"/>
  <c r="E156" i="4"/>
  <c r="G155" i="4"/>
  <c r="F155" i="4"/>
  <c r="E155" i="4"/>
  <c r="G154" i="4"/>
  <c r="F154" i="4"/>
  <c r="E154" i="4"/>
  <c r="G153" i="4"/>
  <c r="F153" i="4"/>
  <c r="E153" i="4"/>
  <c r="G152" i="4"/>
  <c r="F152" i="4"/>
  <c r="E152" i="4"/>
  <c r="G151" i="4"/>
  <c r="F151" i="4"/>
  <c r="E151" i="4"/>
  <c r="G150" i="4"/>
  <c r="F150" i="4"/>
  <c r="E150" i="4"/>
  <c r="G149" i="4"/>
  <c r="F149" i="4"/>
  <c r="E149" i="4"/>
  <c r="G148" i="4"/>
  <c r="F148" i="4"/>
  <c r="E148" i="4"/>
  <c r="G147" i="4"/>
  <c r="F147" i="4"/>
  <c r="E147" i="4"/>
  <c r="G146" i="4"/>
  <c r="F146" i="4"/>
  <c r="E146" i="4"/>
  <c r="G145" i="4"/>
  <c r="F145" i="4"/>
  <c r="E145" i="4"/>
  <c r="G144" i="4"/>
  <c r="F144" i="4"/>
  <c r="E144" i="4"/>
  <c r="G143" i="4"/>
  <c r="F143" i="4"/>
  <c r="E143" i="4"/>
  <c r="G142" i="4"/>
  <c r="F142" i="4"/>
  <c r="E142" i="4"/>
  <c r="G141" i="4"/>
  <c r="F141" i="4"/>
  <c r="E141" i="4"/>
  <c r="G140" i="4"/>
  <c r="F140" i="4"/>
  <c r="E140" i="4"/>
  <c r="G139" i="4"/>
  <c r="F139" i="4"/>
  <c r="E139" i="4"/>
  <c r="G138" i="4"/>
  <c r="F138" i="4"/>
  <c r="E138" i="4"/>
  <c r="G137" i="4"/>
  <c r="F137" i="4"/>
  <c r="E137" i="4"/>
  <c r="G136" i="4"/>
  <c r="F136" i="4"/>
  <c r="E136" i="4"/>
  <c r="G135" i="4"/>
  <c r="F135" i="4"/>
  <c r="E135" i="4"/>
  <c r="G134" i="4"/>
  <c r="F134" i="4"/>
  <c r="E134" i="4"/>
  <c r="G133" i="4"/>
  <c r="F133" i="4"/>
  <c r="E133" i="4"/>
  <c r="G132" i="4"/>
  <c r="F132" i="4"/>
  <c r="E132" i="4"/>
  <c r="G131" i="4"/>
  <c r="F131" i="4"/>
  <c r="E131" i="4"/>
  <c r="G130" i="4"/>
  <c r="F130" i="4"/>
  <c r="E130" i="4"/>
  <c r="G129" i="4"/>
  <c r="F129" i="4"/>
  <c r="E129" i="4"/>
  <c r="G128" i="4"/>
  <c r="F128" i="4"/>
  <c r="E128" i="4"/>
  <c r="G127" i="4"/>
  <c r="F127" i="4"/>
  <c r="E127" i="4"/>
  <c r="G126" i="4"/>
  <c r="F126" i="4"/>
  <c r="E126" i="4"/>
  <c r="G125" i="4"/>
  <c r="F125" i="4"/>
  <c r="E125" i="4"/>
  <c r="G124" i="4"/>
  <c r="F124" i="4"/>
  <c r="E124" i="4"/>
  <c r="G123" i="4"/>
  <c r="F123" i="4"/>
  <c r="E123" i="4"/>
  <c r="G122" i="4"/>
  <c r="F122" i="4"/>
  <c r="E122" i="4"/>
  <c r="G121" i="4"/>
  <c r="F121" i="4"/>
  <c r="E121" i="4"/>
  <c r="G120" i="4"/>
  <c r="F120" i="4"/>
  <c r="E120" i="4"/>
  <c r="G119" i="4"/>
  <c r="F119" i="4"/>
  <c r="E119" i="4"/>
  <c r="G118" i="4"/>
  <c r="F118" i="4"/>
  <c r="E118" i="4"/>
  <c r="G117" i="4"/>
  <c r="F117" i="4"/>
  <c r="E117" i="4"/>
  <c r="G116" i="4"/>
  <c r="F116" i="4"/>
  <c r="E116" i="4"/>
  <c r="G115" i="4"/>
  <c r="F115" i="4"/>
  <c r="E115" i="4"/>
  <c r="G114" i="4"/>
  <c r="F114" i="4"/>
  <c r="E114" i="4"/>
  <c r="G113" i="4"/>
  <c r="F113" i="4"/>
  <c r="E113" i="4"/>
  <c r="G112" i="4"/>
  <c r="F112" i="4"/>
  <c r="E112" i="4"/>
  <c r="G111" i="4"/>
  <c r="F111" i="4"/>
  <c r="E111" i="4"/>
  <c r="G110" i="4"/>
  <c r="F110" i="4"/>
  <c r="E110" i="4"/>
  <c r="G109" i="4"/>
  <c r="F109" i="4"/>
  <c r="E109" i="4"/>
  <c r="G108" i="4"/>
  <c r="F108" i="4"/>
  <c r="E108" i="4"/>
  <c r="G107" i="4"/>
  <c r="F107" i="4"/>
  <c r="E107" i="4"/>
  <c r="G106" i="4"/>
  <c r="F106" i="4"/>
  <c r="E106" i="4"/>
  <c r="G105" i="4"/>
  <c r="F105" i="4"/>
  <c r="E105" i="4"/>
  <c r="G104" i="4"/>
  <c r="F104" i="4"/>
  <c r="E104" i="4"/>
  <c r="G103" i="4"/>
  <c r="F103" i="4"/>
  <c r="E103" i="4"/>
  <c r="G102" i="4"/>
  <c r="F102" i="4"/>
  <c r="E102" i="4"/>
  <c r="G101" i="4"/>
  <c r="F101" i="4"/>
  <c r="E101" i="4"/>
  <c r="G100" i="4"/>
  <c r="F100" i="4"/>
  <c r="E100" i="4"/>
  <c r="G99" i="4"/>
  <c r="F99" i="4"/>
  <c r="E99" i="4"/>
  <c r="G98" i="4"/>
  <c r="F98" i="4"/>
  <c r="E98" i="4"/>
  <c r="G97" i="4"/>
  <c r="F97" i="4"/>
  <c r="E97" i="4"/>
  <c r="G96" i="4"/>
  <c r="F96" i="4"/>
  <c r="E96" i="4"/>
  <c r="G95" i="4"/>
  <c r="F95" i="4"/>
  <c r="E95" i="4"/>
  <c r="G94" i="4"/>
  <c r="F94" i="4"/>
  <c r="E94" i="4"/>
  <c r="G93" i="4"/>
  <c r="F93" i="4"/>
  <c r="E93" i="4"/>
  <c r="G92" i="4"/>
  <c r="F92" i="4"/>
  <c r="E92" i="4"/>
  <c r="G91" i="4"/>
  <c r="F91" i="4"/>
  <c r="E91" i="4"/>
  <c r="G90" i="4"/>
  <c r="F90" i="4"/>
  <c r="E90" i="4"/>
  <c r="G89" i="4"/>
  <c r="F89" i="4"/>
  <c r="E89" i="4"/>
  <c r="G88" i="4"/>
  <c r="F88" i="4"/>
  <c r="E88" i="4"/>
  <c r="G87" i="4"/>
  <c r="F87" i="4"/>
  <c r="E87" i="4"/>
  <c r="G86" i="4"/>
  <c r="F86" i="4"/>
  <c r="E86" i="4"/>
  <c r="G85" i="4"/>
  <c r="F85" i="4"/>
  <c r="E85" i="4"/>
  <c r="G84" i="4"/>
  <c r="F84" i="4"/>
  <c r="E84" i="4"/>
  <c r="G83" i="4"/>
  <c r="F83" i="4"/>
  <c r="E83" i="4"/>
  <c r="G82" i="4"/>
  <c r="F82" i="4"/>
  <c r="E82" i="4"/>
  <c r="G81" i="4"/>
  <c r="F81" i="4"/>
  <c r="E81" i="4"/>
  <c r="G80" i="4"/>
  <c r="F80" i="4"/>
  <c r="E80" i="4"/>
  <c r="G79" i="4"/>
  <c r="F79" i="4"/>
  <c r="E79" i="4"/>
  <c r="G78" i="4"/>
  <c r="F78" i="4"/>
  <c r="E78" i="4"/>
  <c r="G77" i="4"/>
  <c r="F77" i="4"/>
  <c r="E77" i="4"/>
  <c r="G76" i="4"/>
  <c r="F76" i="4"/>
  <c r="E76" i="4"/>
  <c r="G75" i="4"/>
  <c r="F75" i="4"/>
  <c r="E75" i="4"/>
  <c r="G74" i="4"/>
  <c r="F74" i="4"/>
  <c r="E74" i="4"/>
  <c r="G73" i="4"/>
  <c r="F73" i="4"/>
  <c r="E73" i="4"/>
  <c r="G72" i="4"/>
  <c r="F72" i="4"/>
  <c r="E72" i="4"/>
  <c r="G71" i="4"/>
  <c r="F71" i="4"/>
  <c r="E71" i="4"/>
  <c r="G70" i="4"/>
  <c r="F70" i="4"/>
  <c r="E70" i="4"/>
  <c r="G69" i="4"/>
  <c r="F69" i="4"/>
  <c r="E69" i="4"/>
  <c r="G68" i="4"/>
  <c r="F68" i="4"/>
  <c r="E68" i="4"/>
  <c r="G67" i="4"/>
  <c r="F67" i="4"/>
  <c r="E67" i="4"/>
  <c r="G66" i="4"/>
  <c r="F66" i="4"/>
  <c r="E66" i="4"/>
  <c r="G65" i="4"/>
  <c r="F65" i="4"/>
  <c r="E65" i="4"/>
  <c r="G64" i="4"/>
  <c r="F64" i="4"/>
  <c r="E64" i="4"/>
  <c r="G63" i="4"/>
  <c r="F63" i="4"/>
  <c r="E63" i="4"/>
  <c r="G62" i="4"/>
  <c r="F62" i="4"/>
  <c r="E62" i="4"/>
  <c r="G61" i="4"/>
  <c r="F61" i="4"/>
  <c r="E61" i="4"/>
  <c r="G60" i="4"/>
  <c r="F60" i="4"/>
  <c r="E60" i="4"/>
  <c r="G59" i="4"/>
  <c r="F59" i="4"/>
  <c r="E59" i="4"/>
  <c r="G58" i="4"/>
  <c r="F58" i="4"/>
  <c r="E58" i="4"/>
  <c r="G57" i="4"/>
  <c r="F57" i="4"/>
  <c r="E57" i="4"/>
  <c r="G56" i="4"/>
  <c r="F56" i="4"/>
  <c r="E56" i="4"/>
  <c r="G55" i="4"/>
  <c r="F55" i="4"/>
  <c r="E55" i="4"/>
  <c r="G54" i="4"/>
  <c r="F54" i="4"/>
  <c r="E54" i="4"/>
  <c r="G53" i="4"/>
  <c r="F53" i="4"/>
  <c r="E53" i="4"/>
  <c r="G52" i="4"/>
  <c r="F52" i="4"/>
  <c r="E52" i="4"/>
  <c r="G51" i="4"/>
  <c r="F51" i="4"/>
  <c r="E51" i="4"/>
  <c r="G50" i="4"/>
  <c r="F50" i="4"/>
  <c r="E50" i="4"/>
  <c r="G49" i="4"/>
  <c r="F49" i="4"/>
  <c r="E49" i="4"/>
  <c r="G48" i="4"/>
  <c r="F48" i="4"/>
  <c r="E48" i="4"/>
  <c r="G47" i="4"/>
  <c r="F47" i="4"/>
  <c r="E47" i="4"/>
  <c r="G46" i="4"/>
  <c r="F46" i="4"/>
  <c r="E46" i="4"/>
  <c r="G45" i="4"/>
  <c r="F45" i="4"/>
  <c r="E45" i="4"/>
  <c r="G44" i="4"/>
  <c r="F44" i="4"/>
  <c r="E44" i="4"/>
  <c r="G43" i="4"/>
  <c r="F43" i="4"/>
  <c r="E43" i="4"/>
  <c r="G42" i="4"/>
  <c r="F42" i="4"/>
  <c r="E42" i="4"/>
  <c r="G41" i="4"/>
  <c r="F41" i="4"/>
  <c r="E41" i="4"/>
  <c r="G40" i="4"/>
  <c r="F40" i="4"/>
  <c r="E40" i="4"/>
  <c r="G39" i="4"/>
  <c r="F39" i="4"/>
  <c r="E39" i="4"/>
  <c r="G38" i="4"/>
  <c r="F38" i="4"/>
  <c r="E38" i="4"/>
  <c r="G37" i="4"/>
  <c r="F37" i="4"/>
  <c r="E37" i="4"/>
  <c r="G36" i="4"/>
  <c r="F36" i="4"/>
  <c r="E36" i="4"/>
  <c r="G35" i="4"/>
  <c r="F35" i="4"/>
  <c r="E35" i="4"/>
  <c r="G34" i="4"/>
  <c r="F34" i="4"/>
  <c r="E34" i="4"/>
  <c r="G33" i="4"/>
  <c r="F33" i="4"/>
  <c r="E33" i="4"/>
  <c r="G32" i="4"/>
  <c r="F32" i="4"/>
  <c r="E32" i="4"/>
  <c r="G31" i="4"/>
  <c r="F31" i="4"/>
  <c r="E31" i="4"/>
  <c r="G30" i="4"/>
  <c r="F30" i="4"/>
  <c r="E30" i="4"/>
  <c r="G29" i="4"/>
  <c r="F29" i="4"/>
  <c r="E29" i="4"/>
  <c r="G28" i="4"/>
  <c r="F28" i="4"/>
  <c r="E28" i="4"/>
  <c r="G27" i="4"/>
  <c r="F27" i="4"/>
  <c r="E27" i="4"/>
  <c r="G26" i="4"/>
  <c r="F26" i="4"/>
  <c r="E26" i="4"/>
  <c r="G25" i="4"/>
  <c r="F25" i="4"/>
  <c r="E25" i="4"/>
  <c r="G24" i="4"/>
  <c r="F24" i="4"/>
  <c r="E24" i="4"/>
  <c r="G23" i="4"/>
  <c r="F23" i="4"/>
  <c r="E23" i="4"/>
  <c r="G22" i="4"/>
  <c r="F22" i="4"/>
  <c r="E22" i="4"/>
  <c r="G21" i="4"/>
  <c r="F21" i="4"/>
  <c r="E21" i="4"/>
  <c r="G20" i="4"/>
  <c r="F20" i="4"/>
  <c r="E20" i="4"/>
  <c r="G19" i="4"/>
  <c r="F19" i="4"/>
  <c r="E19" i="4"/>
  <c r="G18" i="4"/>
  <c r="F18" i="4"/>
  <c r="E18" i="4"/>
  <c r="G17" i="4"/>
  <c r="F17" i="4"/>
  <c r="E17" i="4"/>
  <c r="G16" i="4"/>
  <c r="F16" i="4"/>
  <c r="E16" i="4"/>
  <c r="G15" i="4"/>
  <c r="F15" i="4"/>
  <c r="E15" i="4"/>
  <c r="G14" i="4"/>
  <c r="F14" i="4"/>
  <c r="E14" i="4"/>
  <c r="G13" i="4"/>
  <c r="F13" i="4"/>
  <c r="E13" i="4"/>
  <c r="G12" i="4"/>
  <c r="F12" i="4"/>
  <c r="E12" i="4"/>
  <c r="G11" i="4"/>
  <c r="F11" i="4"/>
  <c r="E11" i="4"/>
  <c r="G10" i="4"/>
  <c r="F10" i="4"/>
  <c r="E10" i="4"/>
  <c r="G9" i="4"/>
  <c r="F9" i="4"/>
  <c r="E9" i="4"/>
  <c r="G8" i="4"/>
  <c r="F8" i="4"/>
  <c r="E8" i="4"/>
  <c r="G7" i="4"/>
  <c r="F7" i="4"/>
  <c r="C8" i="2" s="1"/>
  <c r="E7" i="4"/>
  <c r="G6" i="4"/>
  <c r="F6" i="4"/>
  <c r="E6" i="4"/>
  <c r="G5" i="4"/>
  <c r="F5" i="4"/>
  <c r="E5" i="4"/>
  <c r="G4" i="4"/>
  <c r="C9" i="2" s="1"/>
  <c r="F4" i="4"/>
  <c r="E4" i="4"/>
  <c r="G3" i="4"/>
  <c r="F3" i="4"/>
  <c r="E3" i="4"/>
  <c r="G2" i="4"/>
  <c r="F2" i="4"/>
  <c r="E2" i="4"/>
  <c r="C7" i="2" s="1"/>
  <c r="I992" i="3"/>
  <c r="E992" i="3"/>
  <c r="F992" i="3" s="1"/>
  <c r="I991" i="3"/>
  <c r="E991" i="3"/>
  <c r="F991" i="3" s="1"/>
  <c r="I990" i="3"/>
  <c r="F990" i="3"/>
  <c r="E990" i="3"/>
  <c r="I989" i="3"/>
  <c r="E989" i="3"/>
  <c r="F989" i="3" s="1"/>
  <c r="I988" i="3"/>
  <c r="F988" i="3"/>
  <c r="E988" i="3"/>
  <c r="I987" i="3"/>
  <c r="F987" i="3"/>
  <c r="E987" i="3"/>
  <c r="I986" i="3"/>
  <c r="F986" i="3"/>
  <c r="E986" i="3"/>
  <c r="I985" i="3"/>
  <c r="E985" i="3"/>
  <c r="F985" i="3" s="1"/>
  <c r="I984" i="3"/>
  <c r="E984" i="3"/>
  <c r="F984" i="3" s="1"/>
  <c r="I983" i="3"/>
  <c r="E983" i="3"/>
  <c r="F983" i="3" s="1"/>
  <c r="I982" i="3"/>
  <c r="F982" i="3"/>
  <c r="E982" i="3"/>
  <c r="I981" i="3"/>
  <c r="E981" i="3"/>
  <c r="F981" i="3" s="1"/>
  <c r="I980" i="3"/>
  <c r="F980" i="3"/>
  <c r="E980" i="3"/>
  <c r="I979" i="3"/>
  <c r="F979" i="3"/>
  <c r="E979" i="3"/>
  <c r="I978" i="3"/>
  <c r="F978" i="3"/>
  <c r="E978" i="3"/>
  <c r="I977" i="3"/>
  <c r="E977" i="3"/>
  <c r="F977" i="3" s="1"/>
  <c r="I976" i="3"/>
  <c r="F976" i="3"/>
  <c r="E976" i="3"/>
  <c r="I975" i="3"/>
  <c r="E975" i="3"/>
  <c r="F975" i="3" s="1"/>
  <c r="I974" i="3"/>
  <c r="E974" i="3"/>
  <c r="F974" i="3" s="1"/>
  <c r="I973" i="3"/>
  <c r="E973" i="3"/>
  <c r="F973" i="3" s="1"/>
  <c r="I972" i="3"/>
  <c r="F972" i="3"/>
  <c r="E972" i="3"/>
  <c r="I971" i="3"/>
  <c r="F971" i="3"/>
  <c r="E971" i="3"/>
  <c r="I970" i="3"/>
  <c r="F970" i="3"/>
  <c r="E970" i="3"/>
  <c r="I969" i="3"/>
  <c r="E969" i="3"/>
  <c r="F969" i="3" s="1"/>
  <c r="I968" i="3"/>
  <c r="F968" i="3"/>
  <c r="E968" i="3"/>
  <c r="I967" i="3"/>
  <c r="E967" i="3"/>
  <c r="F967" i="3" s="1"/>
  <c r="I966" i="3"/>
  <c r="E966" i="3"/>
  <c r="F966" i="3" s="1"/>
  <c r="I965" i="3"/>
  <c r="E965" i="3"/>
  <c r="F965" i="3" s="1"/>
  <c r="I964" i="3"/>
  <c r="F964" i="3"/>
  <c r="E964" i="3"/>
  <c r="I963" i="3"/>
  <c r="F963" i="3"/>
  <c r="E963" i="3"/>
  <c r="I962" i="3"/>
  <c r="F962" i="3"/>
  <c r="E962" i="3"/>
  <c r="I961" i="3"/>
  <c r="E961" i="3"/>
  <c r="F961" i="3" s="1"/>
  <c r="I960" i="3"/>
  <c r="F960" i="3"/>
  <c r="E960" i="3"/>
  <c r="I959" i="3"/>
  <c r="E959" i="3"/>
  <c r="F959" i="3" s="1"/>
  <c r="I958" i="3"/>
  <c r="F958" i="3"/>
  <c r="E958" i="3"/>
  <c r="I957" i="3"/>
  <c r="E957" i="3"/>
  <c r="F957" i="3" s="1"/>
  <c r="I956" i="3"/>
  <c r="F956" i="3"/>
  <c r="E956" i="3"/>
  <c r="I955" i="3"/>
  <c r="F955" i="3"/>
  <c r="E955" i="3"/>
  <c r="I954" i="3"/>
  <c r="F954" i="3"/>
  <c r="E954" i="3"/>
  <c r="I953" i="3"/>
  <c r="E953" i="3"/>
  <c r="F953" i="3" s="1"/>
  <c r="I952" i="3"/>
  <c r="F952" i="3"/>
  <c r="E952" i="3"/>
  <c r="I951" i="3"/>
  <c r="E951" i="3"/>
  <c r="F951" i="3" s="1"/>
  <c r="I950" i="3"/>
  <c r="F950" i="3"/>
  <c r="E950" i="3"/>
  <c r="I949" i="3"/>
  <c r="E949" i="3"/>
  <c r="F949" i="3" s="1"/>
  <c r="I948" i="3"/>
  <c r="F948" i="3"/>
  <c r="E948" i="3"/>
  <c r="I947" i="3"/>
  <c r="F947" i="3"/>
  <c r="E947" i="3"/>
  <c r="I946" i="3"/>
  <c r="F946" i="3"/>
  <c r="E946" i="3"/>
  <c r="I945" i="3"/>
  <c r="E945" i="3"/>
  <c r="F945" i="3" s="1"/>
  <c r="I944" i="3"/>
  <c r="F944" i="3"/>
  <c r="E944" i="3"/>
  <c r="I943" i="3"/>
  <c r="E943" i="3"/>
  <c r="F943" i="3" s="1"/>
  <c r="I942" i="3"/>
  <c r="F942" i="3"/>
  <c r="E942" i="3"/>
  <c r="I941" i="3"/>
  <c r="E941" i="3"/>
  <c r="F941" i="3" s="1"/>
  <c r="I940" i="3"/>
  <c r="F940" i="3"/>
  <c r="E940" i="3"/>
  <c r="I939" i="3"/>
  <c r="F939" i="3"/>
  <c r="E939" i="3"/>
  <c r="I938" i="3"/>
  <c r="F938" i="3"/>
  <c r="E938" i="3"/>
  <c r="I937" i="3"/>
  <c r="E937" i="3"/>
  <c r="F937" i="3" s="1"/>
  <c r="I936" i="3"/>
  <c r="F936" i="3"/>
  <c r="E936" i="3"/>
  <c r="I935" i="3"/>
  <c r="E935" i="3"/>
  <c r="F935" i="3" s="1"/>
  <c r="I934" i="3"/>
  <c r="F934" i="3"/>
  <c r="E934" i="3"/>
  <c r="I933" i="3"/>
  <c r="E933" i="3"/>
  <c r="F933" i="3" s="1"/>
  <c r="I932" i="3"/>
  <c r="F932" i="3"/>
  <c r="E932" i="3"/>
  <c r="I931" i="3"/>
  <c r="F931" i="3"/>
  <c r="E931" i="3"/>
  <c r="I930" i="3"/>
  <c r="F930" i="3"/>
  <c r="E930" i="3"/>
  <c r="I929" i="3"/>
  <c r="E929" i="3"/>
  <c r="F929" i="3" s="1"/>
  <c r="I928" i="3"/>
  <c r="F928" i="3"/>
  <c r="E928" i="3"/>
  <c r="I927" i="3"/>
  <c r="E927" i="3"/>
  <c r="F927" i="3" s="1"/>
  <c r="I926" i="3"/>
  <c r="F926" i="3"/>
  <c r="E926" i="3"/>
  <c r="I925" i="3"/>
  <c r="E925" i="3"/>
  <c r="F925" i="3" s="1"/>
  <c r="I924" i="3"/>
  <c r="F924" i="3"/>
  <c r="E924" i="3"/>
  <c r="I923" i="3"/>
  <c r="F923" i="3"/>
  <c r="E923" i="3"/>
  <c r="I922" i="3"/>
  <c r="F922" i="3"/>
  <c r="E922" i="3"/>
  <c r="I921" i="3"/>
  <c r="E921" i="3"/>
  <c r="F921" i="3" s="1"/>
  <c r="I920" i="3"/>
  <c r="F920" i="3"/>
  <c r="E920" i="3"/>
  <c r="I919" i="3"/>
  <c r="E919" i="3"/>
  <c r="F919" i="3" s="1"/>
  <c r="I918" i="3"/>
  <c r="E918" i="3"/>
  <c r="F918" i="3" s="1"/>
  <c r="I917" i="3"/>
  <c r="E917" i="3"/>
  <c r="F917" i="3" s="1"/>
  <c r="I916" i="3"/>
  <c r="F916" i="3"/>
  <c r="E916" i="3"/>
  <c r="I915" i="3"/>
  <c r="F915" i="3"/>
  <c r="E915" i="3"/>
  <c r="I914" i="3"/>
  <c r="F914" i="3"/>
  <c r="E914" i="3"/>
  <c r="I913" i="3"/>
  <c r="E913" i="3"/>
  <c r="F913" i="3" s="1"/>
  <c r="I912" i="3"/>
  <c r="F912" i="3"/>
  <c r="E912" i="3"/>
  <c r="I911" i="3"/>
  <c r="E911" i="3"/>
  <c r="F911" i="3" s="1"/>
  <c r="I910" i="3"/>
  <c r="E910" i="3"/>
  <c r="F910" i="3" s="1"/>
  <c r="I909" i="3"/>
  <c r="E909" i="3"/>
  <c r="F909" i="3" s="1"/>
  <c r="I908" i="3"/>
  <c r="F908" i="3"/>
  <c r="E908" i="3"/>
  <c r="I907" i="3"/>
  <c r="F907" i="3"/>
  <c r="E907" i="3"/>
  <c r="I906" i="3"/>
  <c r="F906" i="3"/>
  <c r="E906" i="3"/>
  <c r="I905" i="3"/>
  <c r="E905" i="3"/>
  <c r="F905" i="3" s="1"/>
  <c r="I904" i="3"/>
  <c r="F904" i="3"/>
  <c r="E904" i="3"/>
  <c r="I903" i="3"/>
  <c r="E903" i="3"/>
  <c r="F903" i="3" s="1"/>
  <c r="I902" i="3"/>
  <c r="E902" i="3"/>
  <c r="F902" i="3" s="1"/>
  <c r="I901" i="3"/>
  <c r="E901" i="3"/>
  <c r="F901" i="3" s="1"/>
  <c r="I900" i="3"/>
  <c r="F900" i="3"/>
  <c r="E900" i="3"/>
  <c r="I899" i="3"/>
  <c r="F899" i="3"/>
  <c r="E899" i="3"/>
  <c r="I898" i="3"/>
  <c r="F898" i="3"/>
  <c r="E898" i="3"/>
  <c r="I897" i="3"/>
  <c r="E897" i="3"/>
  <c r="F897" i="3" s="1"/>
  <c r="I896" i="3"/>
  <c r="F896" i="3"/>
  <c r="E896" i="3"/>
  <c r="I895" i="3"/>
  <c r="E895" i="3"/>
  <c r="F895" i="3" s="1"/>
  <c r="I894" i="3"/>
  <c r="F894" i="3"/>
  <c r="E894" i="3"/>
  <c r="I893" i="3"/>
  <c r="E893" i="3"/>
  <c r="F893" i="3" s="1"/>
  <c r="I892" i="3"/>
  <c r="F892" i="3"/>
  <c r="E892" i="3"/>
  <c r="I891" i="3"/>
  <c r="F891" i="3"/>
  <c r="E891" i="3"/>
  <c r="I890" i="3"/>
  <c r="F890" i="3"/>
  <c r="E890" i="3"/>
  <c r="I889" i="3"/>
  <c r="E889" i="3"/>
  <c r="F889" i="3" s="1"/>
  <c r="I888" i="3"/>
  <c r="F888" i="3"/>
  <c r="E888" i="3"/>
  <c r="I887" i="3"/>
  <c r="E887" i="3"/>
  <c r="F887" i="3" s="1"/>
  <c r="I886" i="3"/>
  <c r="F886" i="3"/>
  <c r="E886" i="3"/>
  <c r="I885" i="3"/>
  <c r="E885" i="3"/>
  <c r="F885" i="3" s="1"/>
  <c r="I884" i="3"/>
  <c r="F884" i="3"/>
  <c r="E884" i="3"/>
  <c r="I883" i="3"/>
  <c r="F883" i="3"/>
  <c r="E883" i="3"/>
  <c r="I882" i="3"/>
  <c r="F882" i="3"/>
  <c r="E882" i="3"/>
  <c r="I881" i="3"/>
  <c r="E881" i="3"/>
  <c r="F881" i="3" s="1"/>
  <c r="I880" i="3"/>
  <c r="F880" i="3"/>
  <c r="E880" i="3"/>
  <c r="I879" i="3"/>
  <c r="E879" i="3"/>
  <c r="F879" i="3" s="1"/>
  <c r="I878" i="3"/>
  <c r="E878" i="3"/>
  <c r="F878" i="3" s="1"/>
  <c r="I877" i="3"/>
  <c r="E877" i="3"/>
  <c r="F877" i="3" s="1"/>
  <c r="I876" i="3"/>
  <c r="F876" i="3"/>
  <c r="E876" i="3"/>
  <c r="I875" i="3"/>
  <c r="F875" i="3"/>
  <c r="E875" i="3"/>
  <c r="I874" i="3"/>
  <c r="F874" i="3"/>
  <c r="E874" i="3"/>
  <c r="I873" i="3"/>
  <c r="E873" i="3"/>
  <c r="F873" i="3" s="1"/>
  <c r="I872" i="3"/>
  <c r="F872" i="3"/>
  <c r="E872" i="3"/>
  <c r="I871" i="3"/>
  <c r="E871" i="3"/>
  <c r="F871" i="3" s="1"/>
  <c r="I870" i="3"/>
  <c r="F870" i="3"/>
  <c r="E870" i="3"/>
  <c r="I869" i="3"/>
  <c r="E869" i="3"/>
  <c r="F869" i="3" s="1"/>
  <c r="I868" i="3"/>
  <c r="F868" i="3"/>
  <c r="E868" i="3"/>
  <c r="I867" i="3"/>
  <c r="F867" i="3"/>
  <c r="E867" i="3"/>
  <c r="I866" i="3"/>
  <c r="F866" i="3"/>
  <c r="E866" i="3"/>
  <c r="I865" i="3"/>
  <c r="E865" i="3"/>
  <c r="F865" i="3" s="1"/>
  <c r="I864" i="3"/>
  <c r="F864" i="3"/>
  <c r="E864" i="3"/>
  <c r="I863" i="3"/>
  <c r="E863" i="3"/>
  <c r="F863" i="3" s="1"/>
  <c r="I862" i="3"/>
  <c r="F862" i="3"/>
  <c r="E862" i="3"/>
  <c r="I861" i="3"/>
  <c r="E861" i="3"/>
  <c r="F861" i="3" s="1"/>
  <c r="I860" i="3"/>
  <c r="F860" i="3"/>
  <c r="E860" i="3"/>
  <c r="I859" i="3"/>
  <c r="F859" i="3"/>
  <c r="E859" i="3"/>
  <c r="I858" i="3"/>
  <c r="F858" i="3"/>
  <c r="E858" i="3"/>
  <c r="I857" i="3"/>
  <c r="E857" i="3"/>
  <c r="F857" i="3" s="1"/>
  <c r="I856" i="3"/>
  <c r="F856" i="3"/>
  <c r="E856" i="3"/>
  <c r="I855" i="3"/>
  <c r="E855" i="3"/>
  <c r="F855" i="3" s="1"/>
  <c r="I854" i="3"/>
  <c r="F854" i="3"/>
  <c r="E854" i="3"/>
  <c r="I853" i="3"/>
  <c r="E853" i="3"/>
  <c r="F853" i="3" s="1"/>
  <c r="I852" i="3"/>
  <c r="F852" i="3"/>
  <c r="E852" i="3"/>
  <c r="I851" i="3"/>
  <c r="F851" i="3"/>
  <c r="E851" i="3"/>
  <c r="I850" i="3"/>
  <c r="F850" i="3"/>
  <c r="E850" i="3"/>
  <c r="I849" i="3"/>
  <c r="E849" i="3"/>
  <c r="F849" i="3" s="1"/>
  <c r="I848" i="3"/>
  <c r="F848" i="3"/>
  <c r="E848" i="3"/>
  <c r="I847" i="3"/>
  <c r="E847" i="3"/>
  <c r="F847" i="3" s="1"/>
  <c r="I846" i="3"/>
  <c r="E846" i="3"/>
  <c r="F846" i="3" s="1"/>
  <c r="I845" i="3"/>
  <c r="E845" i="3"/>
  <c r="F845" i="3" s="1"/>
  <c r="I844" i="3"/>
  <c r="F844" i="3"/>
  <c r="E844" i="3"/>
  <c r="I843" i="3"/>
  <c r="F843" i="3"/>
  <c r="E843" i="3"/>
  <c r="I842" i="3"/>
  <c r="F842" i="3"/>
  <c r="E842" i="3"/>
  <c r="I841" i="3"/>
  <c r="E841" i="3"/>
  <c r="F841" i="3" s="1"/>
  <c r="I840" i="3"/>
  <c r="F840" i="3"/>
  <c r="E840" i="3"/>
  <c r="I839" i="3"/>
  <c r="E839" i="3"/>
  <c r="F839" i="3" s="1"/>
  <c r="I838" i="3"/>
  <c r="E838" i="3"/>
  <c r="F838" i="3" s="1"/>
  <c r="I837" i="3"/>
  <c r="E837" i="3"/>
  <c r="F837" i="3" s="1"/>
  <c r="I836" i="3"/>
  <c r="F836" i="3"/>
  <c r="E836" i="3"/>
  <c r="I835" i="3"/>
  <c r="F835" i="3"/>
  <c r="E835" i="3"/>
  <c r="I834" i="3"/>
  <c r="F834" i="3"/>
  <c r="E834" i="3"/>
  <c r="I833" i="3"/>
  <c r="E833" i="3"/>
  <c r="F833" i="3" s="1"/>
  <c r="I832" i="3"/>
  <c r="F832" i="3"/>
  <c r="E832" i="3"/>
  <c r="I831" i="3"/>
  <c r="E831" i="3"/>
  <c r="F831" i="3" s="1"/>
  <c r="I830" i="3"/>
  <c r="F830" i="3"/>
  <c r="E830" i="3"/>
  <c r="I829" i="3"/>
  <c r="E829" i="3"/>
  <c r="F829" i="3" s="1"/>
  <c r="I828" i="3"/>
  <c r="F828" i="3"/>
  <c r="E828" i="3"/>
  <c r="I827" i="3"/>
  <c r="F827" i="3"/>
  <c r="E827" i="3"/>
  <c r="I826" i="3"/>
  <c r="F826" i="3"/>
  <c r="E826" i="3"/>
  <c r="I825" i="3"/>
  <c r="E825" i="3"/>
  <c r="F825" i="3" s="1"/>
  <c r="I824" i="3"/>
  <c r="F824" i="3"/>
  <c r="E824" i="3"/>
  <c r="I823" i="3"/>
  <c r="E823" i="3"/>
  <c r="F823" i="3" s="1"/>
  <c r="I822" i="3"/>
  <c r="F822" i="3"/>
  <c r="E822" i="3"/>
  <c r="I821" i="3"/>
  <c r="E821" i="3"/>
  <c r="F821" i="3" s="1"/>
  <c r="I820" i="3"/>
  <c r="F820" i="3"/>
  <c r="E820" i="3"/>
  <c r="I819" i="3"/>
  <c r="F819" i="3"/>
  <c r="E819" i="3"/>
  <c r="I818" i="3"/>
  <c r="F818" i="3"/>
  <c r="E818" i="3"/>
  <c r="I817" i="3"/>
  <c r="E817" i="3"/>
  <c r="F817" i="3" s="1"/>
  <c r="I816" i="3"/>
  <c r="F816" i="3"/>
  <c r="E816" i="3"/>
  <c r="I815" i="3"/>
  <c r="E815" i="3"/>
  <c r="F815" i="3" s="1"/>
  <c r="I814" i="3"/>
  <c r="E814" i="3"/>
  <c r="F814" i="3" s="1"/>
  <c r="I813" i="3"/>
  <c r="E813" i="3"/>
  <c r="F813" i="3" s="1"/>
  <c r="I812" i="3"/>
  <c r="F812" i="3"/>
  <c r="E812" i="3"/>
  <c r="I811" i="3"/>
  <c r="F811" i="3"/>
  <c r="E811" i="3"/>
  <c r="I810" i="3"/>
  <c r="F810" i="3"/>
  <c r="E810" i="3"/>
  <c r="I809" i="3"/>
  <c r="E809" i="3"/>
  <c r="F809" i="3" s="1"/>
  <c r="I808" i="3"/>
  <c r="F808" i="3"/>
  <c r="E808" i="3"/>
  <c r="I807" i="3"/>
  <c r="E807" i="3"/>
  <c r="F807" i="3" s="1"/>
  <c r="I806" i="3"/>
  <c r="F806" i="3"/>
  <c r="E806" i="3"/>
  <c r="I805" i="3"/>
  <c r="E805" i="3"/>
  <c r="F805" i="3" s="1"/>
  <c r="I804" i="3"/>
  <c r="F804" i="3"/>
  <c r="E804" i="3"/>
  <c r="I803" i="3"/>
  <c r="F803" i="3"/>
  <c r="E803" i="3"/>
  <c r="I802" i="3"/>
  <c r="F802" i="3"/>
  <c r="E802" i="3"/>
  <c r="I801" i="3"/>
  <c r="E801" i="3"/>
  <c r="F801" i="3" s="1"/>
  <c r="I800" i="3"/>
  <c r="F800" i="3"/>
  <c r="E800" i="3"/>
  <c r="I799" i="3"/>
  <c r="E799" i="3"/>
  <c r="F799" i="3" s="1"/>
  <c r="I798" i="3"/>
  <c r="F798" i="3"/>
  <c r="E798" i="3"/>
  <c r="I797" i="3"/>
  <c r="E797" i="3"/>
  <c r="F797" i="3" s="1"/>
  <c r="I796" i="3"/>
  <c r="F796" i="3"/>
  <c r="E796" i="3"/>
  <c r="I795" i="3"/>
  <c r="F795" i="3"/>
  <c r="E795" i="3"/>
  <c r="I794" i="3"/>
  <c r="F794" i="3"/>
  <c r="E794" i="3"/>
  <c r="I793" i="3"/>
  <c r="E793" i="3"/>
  <c r="F793" i="3" s="1"/>
  <c r="I792" i="3"/>
  <c r="F792" i="3"/>
  <c r="E792" i="3"/>
  <c r="I791" i="3"/>
  <c r="E791" i="3"/>
  <c r="F791" i="3" s="1"/>
  <c r="I790" i="3"/>
  <c r="F790" i="3"/>
  <c r="E790" i="3"/>
  <c r="I789" i="3"/>
  <c r="E789" i="3"/>
  <c r="F789" i="3" s="1"/>
  <c r="I788" i="3"/>
  <c r="F788" i="3"/>
  <c r="E788" i="3"/>
  <c r="I787" i="3"/>
  <c r="F787" i="3"/>
  <c r="E787" i="3"/>
  <c r="I786" i="3"/>
  <c r="F786" i="3"/>
  <c r="E786" i="3"/>
  <c r="I785" i="3"/>
  <c r="E785" i="3"/>
  <c r="F785" i="3" s="1"/>
  <c r="I784" i="3"/>
  <c r="F784" i="3"/>
  <c r="E784" i="3"/>
  <c r="I783" i="3"/>
  <c r="E783" i="3"/>
  <c r="F783" i="3" s="1"/>
  <c r="I782" i="3"/>
  <c r="E782" i="3"/>
  <c r="F782" i="3" s="1"/>
  <c r="I781" i="3"/>
  <c r="E781" i="3"/>
  <c r="F781" i="3" s="1"/>
  <c r="I780" i="3"/>
  <c r="F780" i="3"/>
  <c r="E780" i="3"/>
  <c r="I779" i="3"/>
  <c r="F779" i="3"/>
  <c r="E779" i="3"/>
  <c r="I778" i="3"/>
  <c r="F778" i="3"/>
  <c r="E778" i="3"/>
  <c r="I777" i="3"/>
  <c r="E777" i="3"/>
  <c r="F777" i="3" s="1"/>
  <c r="I776" i="3"/>
  <c r="F776" i="3"/>
  <c r="E776" i="3"/>
  <c r="I775" i="3"/>
  <c r="E775" i="3"/>
  <c r="F775" i="3" s="1"/>
  <c r="I774" i="3"/>
  <c r="E774" i="3"/>
  <c r="F774" i="3" s="1"/>
  <c r="I773" i="3"/>
  <c r="E773" i="3"/>
  <c r="F773" i="3" s="1"/>
  <c r="I772" i="3"/>
  <c r="F772" i="3"/>
  <c r="E772" i="3"/>
  <c r="I771" i="3"/>
  <c r="F771" i="3"/>
  <c r="E771" i="3"/>
  <c r="I770" i="3"/>
  <c r="F770" i="3"/>
  <c r="E770" i="3"/>
  <c r="I769" i="3"/>
  <c r="E769" i="3"/>
  <c r="F769" i="3" s="1"/>
  <c r="I768" i="3"/>
  <c r="F768" i="3"/>
  <c r="E768" i="3"/>
  <c r="I767" i="3"/>
  <c r="E767" i="3"/>
  <c r="F767" i="3" s="1"/>
  <c r="I766" i="3"/>
  <c r="F766" i="3"/>
  <c r="E766" i="3"/>
  <c r="I765" i="3"/>
  <c r="E765" i="3"/>
  <c r="F765" i="3" s="1"/>
  <c r="I764" i="3"/>
  <c r="F764" i="3"/>
  <c r="E764" i="3"/>
  <c r="I763" i="3"/>
  <c r="F763" i="3"/>
  <c r="E763" i="3"/>
  <c r="I762" i="3"/>
  <c r="F762" i="3"/>
  <c r="E762" i="3"/>
  <c r="I761" i="3"/>
  <c r="E761" i="3"/>
  <c r="F761" i="3" s="1"/>
  <c r="I760" i="3"/>
  <c r="F760" i="3"/>
  <c r="E760" i="3"/>
  <c r="I759" i="3"/>
  <c r="E759" i="3"/>
  <c r="F759" i="3" s="1"/>
  <c r="I758" i="3"/>
  <c r="F758" i="3"/>
  <c r="E758" i="3"/>
  <c r="I757" i="3"/>
  <c r="E757" i="3"/>
  <c r="F757" i="3" s="1"/>
  <c r="I756" i="3"/>
  <c r="F756" i="3"/>
  <c r="E756" i="3"/>
  <c r="I755" i="3"/>
  <c r="F755" i="3"/>
  <c r="E755" i="3"/>
  <c r="I754" i="3"/>
  <c r="F754" i="3"/>
  <c r="E754" i="3"/>
  <c r="I753" i="3"/>
  <c r="E753" i="3"/>
  <c r="F753" i="3" s="1"/>
  <c r="I752" i="3"/>
  <c r="F752" i="3"/>
  <c r="E752" i="3"/>
  <c r="I751" i="3"/>
  <c r="E751" i="3"/>
  <c r="F751" i="3" s="1"/>
  <c r="I750" i="3"/>
  <c r="E750" i="3"/>
  <c r="F750" i="3" s="1"/>
  <c r="I749" i="3"/>
  <c r="E749" i="3"/>
  <c r="F749" i="3" s="1"/>
  <c r="I748" i="3"/>
  <c r="F748" i="3"/>
  <c r="E748" i="3"/>
  <c r="I747" i="3"/>
  <c r="F747" i="3"/>
  <c r="E747" i="3"/>
  <c r="I746" i="3"/>
  <c r="F746" i="3"/>
  <c r="E746" i="3"/>
  <c r="I745" i="3"/>
  <c r="E745" i="3"/>
  <c r="F745" i="3" s="1"/>
  <c r="I744" i="3"/>
  <c r="F744" i="3"/>
  <c r="E744" i="3"/>
  <c r="I743" i="3"/>
  <c r="E743" i="3"/>
  <c r="F743" i="3" s="1"/>
  <c r="I742" i="3"/>
  <c r="F742" i="3"/>
  <c r="E742" i="3"/>
  <c r="I741" i="3"/>
  <c r="E741" i="3"/>
  <c r="F741" i="3" s="1"/>
  <c r="I740" i="3"/>
  <c r="F740" i="3"/>
  <c r="E740" i="3"/>
  <c r="I739" i="3"/>
  <c r="F739" i="3"/>
  <c r="E739" i="3"/>
  <c r="I738" i="3"/>
  <c r="F738" i="3"/>
  <c r="E738" i="3"/>
  <c r="I737" i="3"/>
  <c r="E737" i="3"/>
  <c r="F737" i="3" s="1"/>
  <c r="I736" i="3"/>
  <c r="F736" i="3"/>
  <c r="E736" i="3"/>
  <c r="I735" i="3"/>
  <c r="E735" i="3"/>
  <c r="F735" i="3" s="1"/>
  <c r="I734" i="3"/>
  <c r="F734" i="3"/>
  <c r="E734" i="3"/>
  <c r="I733" i="3"/>
  <c r="E733" i="3"/>
  <c r="F733" i="3" s="1"/>
  <c r="I732" i="3"/>
  <c r="F732" i="3"/>
  <c r="E732" i="3"/>
  <c r="I731" i="3"/>
  <c r="F731" i="3"/>
  <c r="E731" i="3"/>
  <c r="I730" i="3"/>
  <c r="F730" i="3"/>
  <c r="E730" i="3"/>
  <c r="I729" i="3"/>
  <c r="E729" i="3"/>
  <c r="F729" i="3" s="1"/>
  <c r="I728" i="3"/>
  <c r="F728" i="3"/>
  <c r="E728" i="3"/>
  <c r="I727" i="3"/>
  <c r="E727" i="3"/>
  <c r="F727" i="3" s="1"/>
  <c r="I726" i="3"/>
  <c r="F726" i="3"/>
  <c r="E726" i="3"/>
  <c r="I725" i="3"/>
  <c r="E725" i="3"/>
  <c r="F725" i="3" s="1"/>
  <c r="I724" i="3"/>
  <c r="F724" i="3"/>
  <c r="E724" i="3"/>
  <c r="I723" i="3"/>
  <c r="F723" i="3"/>
  <c r="E723" i="3"/>
  <c r="I722" i="3"/>
  <c r="F722" i="3"/>
  <c r="E722" i="3"/>
  <c r="I721" i="3"/>
  <c r="E721" i="3"/>
  <c r="F721" i="3" s="1"/>
  <c r="I720" i="3"/>
  <c r="F720" i="3"/>
  <c r="E720" i="3"/>
  <c r="I719" i="3"/>
  <c r="E719" i="3"/>
  <c r="F719" i="3" s="1"/>
  <c r="I718" i="3"/>
  <c r="E718" i="3"/>
  <c r="F718" i="3" s="1"/>
  <c r="I717" i="3"/>
  <c r="E717" i="3"/>
  <c r="F717" i="3" s="1"/>
  <c r="I716" i="3"/>
  <c r="F716" i="3"/>
  <c r="E716" i="3"/>
  <c r="I715" i="3"/>
  <c r="F715" i="3"/>
  <c r="E715" i="3"/>
  <c r="I714" i="3"/>
  <c r="F714" i="3"/>
  <c r="E714" i="3"/>
  <c r="I713" i="3"/>
  <c r="E713" i="3"/>
  <c r="F713" i="3" s="1"/>
  <c r="I712" i="3"/>
  <c r="F712" i="3"/>
  <c r="E712" i="3"/>
  <c r="I711" i="3"/>
  <c r="E711" i="3"/>
  <c r="F711" i="3" s="1"/>
  <c r="I710" i="3"/>
  <c r="E710" i="3"/>
  <c r="F710" i="3" s="1"/>
  <c r="I709" i="3"/>
  <c r="E709" i="3"/>
  <c r="F709" i="3" s="1"/>
  <c r="I708" i="3"/>
  <c r="F708" i="3"/>
  <c r="E708" i="3"/>
  <c r="I707" i="3"/>
  <c r="F707" i="3"/>
  <c r="E707" i="3"/>
  <c r="I706" i="3"/>
  <c r="F706" i="3"/>
  <c r="E706" i="3"/>
  <c r="I705" i="3"/>
  <c r="E705" i="3"/>
  <c r="F705" i="3" s="1"/>
  <c r="I704" i="3"/>
  <c r="F704" i="3"/>
  <c r="E704" i="3"/>
  <c r="I703" i="3"/>
  <c r="E703" i="3"/>
  <c r="F703" i="3" s="1"/>
  <c r="I702" i="3"/>
  <c r="F702" i="3"/>
  <c r="E702" i="3"/>
  <c r="I701" i="3"/>
  <c r="E701" i="3"/>
  <c r="F701" i="3" s="1"/>
  <c r="I700" i="3"/>
  <c r="F700" i="3"/>
  <c r="E700" i="3"/>
  <c r="I699" i="3"/>
  <c r="F699" i="3"/>
  <c r="E699" i="3"/>
  <c r="I698" i="3"/>
  <c r="F698" i="3"/>
  <c r="E698" i="3"/>
  <c r="I697" i="3"/>
  <c r="E697" i="3"/>
  <c r="F697" i="3" s="1"/>
  <c r="I696" i="3"/>
  <c r="F696" i="3"/>
  <c r="E696" i="3"/>
  <c r="I695" i="3"/>
  <c r="E695" i="3"/>
  <c r="F695" i="3" s="1"/>
  <c r="I694" i="3"/>
  <c r="F694" i="3"/>
  <c r="E694" i="3"/>
  <c r="I693" i="3"/>
  <c r="E693" i="3"/>
  <c r="F693" i="3" s="1"/>
  <c r="I692" i="3"/>
  <c r="F692" i="3"/>
  <c r="E692" i="3"/>
  <c r="I691" i="3"/>
  <c r="F691" i="3"/>
  <c r="E691" i="3"/>
  <c r="I690" i="3"/>
  <c r="F690" i="3"/>
  <c r="E690" i="3"/>
  <c r="I689" i="3"/>
  <c r="E689" i="3"/>
  <c r="F689" i="3" s="1"/>
  <c r="I688" i="3"/>
  <c r="F688" i="3"/>
  <c r="E688" i="3"/>
  <c r="I687" i="3"/>
  <c r="E687" i="3"/>
  <c r="F687" i="3" s="1"/>
  <c r="I686" i="3"/>
  <c r="E686" i="3"/>
  <c r="F686" i="3" s="1"/>
  <c r="I685" i="3"/>
  <c r="E685" i="3"/>
  <c r="F685" i="3" s="1"/>
  <c r="I684" i="3"/>
  <c r="F684" i="3"/>
  <c r="E684" i="3"/>
  <c r="I683" i="3"/>
  <c r="E683" i="3"/>
  <c r="F683" i="3" s="1"/>
  <c r="I682" i="3"/>
  <c r="F682" i="3"/>
  <c r="E682" i="3"/>
  <c r="I681" i="3"/>
  <c r="E681" i="3"/>
  <c r="F681" i="3" s="1"/>
  <c r="I680" i="3"/>
  <c r="F680" i="3"/>
  <c r="E680" i="3"/>
  <c r="I679" i="3"/>
  <c r="E679" i="3"/>
  <c r="F679" i="3" s="1"/>
  <c r="I678" i="3"/>
  <c r="F678" i="3"/>
  <c r="E678" i="3"/>
  <c r="I677" i="3"/>
  <c r="E677" i="3"/>
  <c r="F677" i="3" s="1"/>
  <c r="I676" i="3"/>
  <c r="F676" i="3"/>
  <c r="E676" i="3"/>
  <c r="I675" i="3"/>
  <c r="F675" i="3"/>
  <c r="E675" i="3"/>
  <c r="I674" i="3"/>
  <c r="F674" i="3"/>
  <c r="E674" i="3"/>
  <c r="I673" i="3"/>
  <c r="E673" i="3"/>
  <c r="F673" i="3" s="1"/>
  <c r="I672" i="3"/>
  <c r="F672" i="3"/>
  <c r="E672" i="3"/>
  <c r="I671" i="3"/>
  <c r="E671" i="3"/>
  <c r="F671" i="3" s="1"/>
  <c r="I670" i="3"/>
  <c r="F670" i="3"/>
  <c r="E670" i="3"/>
  <c r="I669" i="3"/>
  <c r="E669" i="3"/>
  <c r="F669" i="3" s="1"/>
  <c r="I668" i="3"/>
  <c r="F668" i="3"/>
  <c r="E668" i="3"/>
  <c r="I667" i="3"/>
  <c r="F667" i="3"/>
  <c r="E667" i="3"/>
  <c r="I666" i="3"/>
  <c r="F666" i="3"/>
  <c r="E666" i="3"/>
  <c r="I665" i="3"/>
  <c r="E665" i="3"/>
  <c r="F665" i="3" s="1"/>
  <c r="I664" i="3"/>
  <c r="F664" i="3"/>
  <c r="E664" i="3"/>
  <c r="I663" i="3"/>
  <c r="E663" i="3"/>
  <c r="F663" i="3" s="1"/>
  <c r="I662" i="3"/>
  <c r="F662" i="3"/>
  <c r="E662" i="3"/>
  <c r="I661" i="3"/>
  <c r="E661" i="3"/>
  <c r="F661" i="3" s="1"/>
  <c r="I660" i="3"/>
  <c r="F660" i="3"/>
  <c r="E660" i="3"/>
  <c r="I659" i="3"/>
  <c r="F659" i="3"/>
  <c r="E659" i="3"/>
  <c r="I658" i="3"/>
  <c r="F658" i="3"/>
  <c r="E658" i="3"/>
  <c r="I657" i="3"/>
  <c r="E657" i="3"/>
  <c r="F657" i="3" s="1"/>
  <c r="I656" i="3"/>
  <c r="F656" i="3"/>
  <c r="E656" i="3"/>
  <c r="I655" i="3"/>
  <c r="E655" i="3"/>
  <c r="F655" i="3" s="1"/>
  <c r="I654" i="3"/>
  <c r="E654" i="3"/>
  <c r="F654" i="3" s="1"/>
  <c r="I653" i="3"/>
  <c r="E653" i="3"/>
  <c r="F653" i="3" s="1"/>
  <c r="I652" i="3"/>
  <c r="F652" i="3"/>
  <c r="E652" i="3"/>
  <c r="I651" i="3"/>
  <c r="E651" i="3"/>
  <c r="F651" i="3" s="1"/>
  <c r="I650" i="3"/>
  <c r="F650" i="3"/>
  <c r="E650" i="3"/>
  <c r="I649" i="3"/>
  <c r="E649" i="3"/>
  <c r="F649" i="3" s="1"/>
  <c r="I648" i="3"/>
  <c r="F648" i="3"/>
  <c r="E648" i="3"/>
  <c r="I647" i="3"/>
  <c r="E647" i="3"/>
  <c r="F647" i="3" s="1"/>
  <c r="I646" i="3"/>
  <c r="F646" i="3"/>
  <c r="E646" i="3"/>
  <c r="I645" i="3"/>
  <c r="E645" i="3"/>
  <c r="F645" i="3" s="1"/>
  <c r="I644" i="3"/>
  <c r="F644" i="3"/>
  <c r="E644" i="3"/>
  <c r="I643" i="3"/>
  <c r="F643" i="3"/>
  <c r="E643" i="3"/>
  <c r="I642" i="3"/>
  <c r="F642" i="3"/>
  <c r="E642" i="3"/>
  <c r="I641" i="3"/>
  <c r="E641" i="3"/>
  <c r="F641" i="3" s="1"/>
  <c r="I640" i="3"/>
  <c r="F640" i="3"/>
  <c r="E640" i="3"/>
  <c r="I639" i="3"/>
  <c r="E639" i="3"/>
  <c r="F639" i="3" s="1"/>
  <c r="I638" i="3"/>
  <c r="E638" i="3"/>
  <c r="F638" i="3" s="1"/>
  <c r="I637" i="3"/>
  <c r="E637" i="3"/>
  <c r="F637" i="3" s="1"/>
  <c r="I636" i="3"/>
  <c r="F636" i="3"/>
  <c r="E636" i="3"/>
  <c r="I635" i="3"/>
  <c r="F635" i="3"/>
  <c r="E635" i="3"/>
  <c r="I634" i="3"/>
  <c r="F634" i="3"/>
  <c r="E634" i="3"/>
  <c r="I633" i="3"/>
  <c r="E633" i="3"/>
  <c r="F633" i="3" s="1"/>
  <c r="I632" i="3"/>
  <c r="F632" i="3"/>
  <c r="E632" i="3"/>
  <c r="I631" i="3"/>
  <c r="E631" i="3"/>
  <c r="F631" i="3" s="1"/>
  <c r="I630" i="3"/>
  <c r="F630" i="3"/>
  <c r="E630" i="3"/>
  <c r="I629" i="3"/>
  <c r="E629" i="3"/>
  <c r="F629" i="3" s="1"/>
  <c r="I628" i="3"/>
  <c r="F628" i="3"/>
  <c r="E628" i="3"/>
  <c r="I627" i="3"/>
  <c r="F627" i="3"/>
  <c r="E627" i="3"/>
  <c r="I626" i="3"/>
  <c r="F626" i="3"/>
  <c r="E626" i="3"/>
  <c r="I625" i="3"/>
  <c r="E625" i="3"/>
  <c r="F625" i="3" s="1"/>
  <c r="I624" i="3"/>
  <c r="F624" i="3"/>
  <c r="E624" i="3"/>
  <c r="I623" i="3"/>
  <c r="E623" i="3"/>
  <c r="F623" i="3" s="1"/>
  <c r="I622" i="3"/>
  <c r="E622" i="3"/>
  <c r="F622" i="3" s="1"/>
  <c r="I621" i="3"/>
  <c r="E621" i="3"/>
  <c r="F621" i="3" s="1"/>
  <c r="I620" i="3"/>
  <c r="F620" i="3"/>
  <c r="E620" i="3"/>
  <c r="I619" i="3"/>
  <c r="E619" i="3"/>
  <c r="F619" i="3" s="1"/>
  <c r="I618" i="3"/>
  <c r="F618" i="3"/>
  <c r="E618" i="3"/>
  <c r="I617" i="3"/>
  <c r="E617" i="3"/>
  <c r="F617" i="3" s="1"/>
  <c r="I616" i="3"/>
  <c r="F616" i="3"/>
  <c r="E616" i="3"/>
  <c r="I615" i="3"/>
  <c r="E615" i="3"/>
  <c r="F615" i="3" s="1"/>
  <c r="I614" i="3"/>
  <c r="F614" i="3"/>
  <c r="E614" i="3"/>
  <c r="I613" i="3"/>
  <c r="E613" i="3"/>
  <c r="F613" i="3" s="1"/>
  <c r="I612" i="3"/>
  <c r="F612" i="3"/>
  <c r="E612" i="3"/>
  <c r="I611" i="3"/>
  <c r="F611" i="3"/>
  <c r="E611" i="3"/>
  <c r="I610" i="3"/>
  <c r="F610" i="3"/>
  <c r="E610" i="3"/>
  <c r="I609" i="3"/>
  <c r="E609" i="3"/>
  <c r="F609" i="3" s="1"/>
  <c r="I608" i="3"/>
  <c r="F608" i="3"/>
  <c r="E608" i="3"/>
  <c r="I607" i="3"/>
  <c r="E607" i="3"/>
  <c r="F607" i="3" s="1"/>
  <c r="I606" i="3"/>
  <c r="F606" i="3"/>
  <c r="E606" i="3"/>
  <c r="I605" i="3"/>
  <c r="E605" i="3"/>
  <c r="F605" i="3" s="1"/>
  <c r="I604" i="3"/>
  <c r="F604" i="3"/>
  <c r="E604" i="3"/>
  <c r="I603" i="3"/>
  <c r="F603" i="3"/>
  <c r="E603" i="3"/>
  <c r="I602" i="3"/>
  <c r="F602" i="3"/>
  <c r="E602" i="3"/>
  <c r="I601" i="3"/>
  <c r="E601" i="3"/>
  <c r="F601" i="3" s="1"/>
  <c r="I600" i="3"/>
  <c r="F600" i="3"/>
  <c r="E600" i="3"/>
  <c r="I599" i="3"/>
  <c r="E599" i="3"/>
  <c r="F599" i="3" s="1"/>
  <c r="I598" i="3"/>
  <c r="F598" i="3"/>
  <c r="E598" i="3"/>
  <c r="I597" i="3"/>
  <c r="E597" i="3"/>
  <c r="F597" i="3" s="1"/>
  <c r="I596" i="3"/>
  <c r="F596" i="3"/>
  <c r="E596" i="3"/>
  <c r="I595" i="3"/>
  <c r="F595" i="3"/>
  <c r="E595" i="3"/>
  <c r="I594" i="3"/>
  <c r="F594" i="3"/>
  <c r="E594" i="3"/>
  <c r="I593" i="3"/>
  <c r="E593" i="3"/>
  <c r="F593" i="3" s="1"/>
  <c r="I592" i="3"/>
  <c r="F592" i="3"/>
  <c r="E592" i="3"/>
  <c r="I591" i="3"/>
  <c r="E591" i="3"/>
  <c r="F591" i="3" s="1"/>
  <c r="I590" i="3"/>
  <c r="E590" i="3"/>
  <c r="F590" i="3" s="1"/>
  <c r="I589" i="3"/>
  <c r="E589" i="3"/>
  <c r="F589" i="3" s="1"/>
  <c r="I588" i="3"/>
  <c r="F588" i="3"/>
  <c r="E588" i="3"/>
  <c r="I587" i="3"/>
  <c r="E587" i="3"/>
  <c r="F587" i="3" s="1"/>
  <c r="I586" i="3"/>
  <c r="F586" i="3"/>
  <c r="E586" i="3"/>
  <c r="I585" i="3"/>
  <c r="E585" i="3"/>
  <c r="F585" i="3" s="1"/>
  <c r="I584" i="3"/>
  <c r="F584" i="3"/>
  <c r="E584" i="3"/>
  <c r="I583" i="3"/>
  <c r="E583" i="3"/>
  <c r="F583" i="3" s="1"/>
  <c r="I582" i="3"/>
  <c r="E582" i="3"/>
  <c r="F582" i="3" s="1"/>
  <c r="I581" i="3"/>
  <c r="E581" i="3"/>
  <c r="F581" i="3" s="1"/>
  <c r="I580" i="3"/>
  <c r="F580" i="3"/>
  <c r="E580" i="3"/>
  <c r="I579" i="3"/>
  <c r="E579" i="3"/>
  <c r="F579" i="3" s="1"/>
  <c r="I578" i="3"/>
  <c r="F578" i="3"/>
  <c r="E578" i="3"/>
  <c r="I577" i="3"/>
  <c r="E577" i="3"/>
  <c r="F577" i="3" s="1"/>
  <c r="I576" i="3"/>
  <c r="F576" i="3"/>
  <c r="E576" i="3"/>
  <c r="I575" i="3"/>
  <c r="E575" i="3"/>
  <c r="F575" i="3" s="1"/>
  <c r="I574" i="3"/>
  <c r="F574" i="3"/>
  <c r="E574" i="3"/>
  <c r="I573" i="3"/>
  <c r="E573" i="3"/>
  <c r="F573" i="3" s="1"/>
  <c r="I572" i="3"/>
  <c r="F572" i="3"/>
  <c r="E572" i="3"/>
  <c r="I571" i="3"/>
  <c r="F571" i="3"/>
  <c r="E571" i="3"/>
  <c r="I570" i="3"/>
  <c r="F570" i="3"/>
  <c r="E570" i="3"/>
  <c r="I569" i="3"/>
  <c r="E569" i="3"/>
  <c r="F569" i="3" s="1"/>
  <c r="I568" i="3"/>
  <c r="F568" i="3"/>
  <c r="E568" i="3"/>
  <c r="I567" i="3"/>
  <c r="E567" i="3"/>
  <c r="F567" i="3" s="1"/>
  <c r="I566" i="3"/>
  <c r="F566" i="3"/>
  <c r="E566" i="3"/>
  <c r="I565" i="3"/>
  <c r="E565" i="3"/>
  <c r="F565" i="3" s="1"/>
  <c r="I564" i="3"/>
  <c r="F564" i="3"/>
  <c r="E564" i="3"/>
  <c r="I563" i="3"/>
  <c r="F563" i="3"/>
  <c r="E563" i="3"/>
  <c r="I562" i="3"/>
  <c r="F562" i="3"/>
  <c r="E562" i="3"/>
  <c r="I561" i="3"/>
  <c r="E561" i="3"/>
  <c r="F561" i="3" s="1"/>
  <c r="I560" i="3"/>
  <c r="F560" i="3"/>
  <c r="E560" i="3"/>
  <c r="I559" i="3"/>
  <c r="E559" i="3"/>
  <c r="F559" i="3" s="1"/>
  <c r="I558" i="3"/>
  <c r="E558" i="3"/>
  <c r="F558" i="3" s="1"/>
  <c r="I557" i="3"/>
  <c r="E557" i="3"/>
  <c r="F557" i="3" s="1"/>
  <c r="I556" i="3"/>
  <c r="F556" i="3"/>
  <c r="E556" i="3"/>
  <c r="I555" i="3"/>
  <c r="E555" i="3"/>
  <c r="F555" i="3" s="1"/>
  <c r="I554" i="3"/>
  <c r="F554" i="3"/>
  <c r="E554" i="3"/>
  <c r="I553" i="3"/>
  <c r="E553" i="3"/>
  <c r="F553" i="3" s="1"/>
  <c r="I552" i="3"/>
  <c r="F552" i="3"/>
  <c r="E552" i="3"/>
  <c r="I551" i="3"/>
  <c r="E551" i="3"/>
  <c r="F551" i="3" s="1"/>
  <c r="I550" i="3"/>
  <c r="F550" i="3"/>
  <c r="E550" i="3"/>
  <c r="I549" i="3"/>
  <c r="E549" i="3"/>
  <c r="F549" i="3" s="1"/>
  <c r="I548" i="3"/>
  <c r="F548" i="3"/>
  <c r="E548" i="3"/>
  <c r="I547" i="3"/>
  <c r="F547" i="3"/>
  <c r="E547" i="3"/>
  <c r="I546" i="3"/>
  <c r="F546" i="3"/>
  <c r="E546" i="3"/>
  <c r="I545" i="3"/>
  <c r="E545" i="3"/>
  <c r="F545" i="3" s="1"/>
  <c r="I544" i="3"/>
  <c r="F544" i="3"/>
  <c r="E544" i="3"/>
  <c r="I543" i="3"/>
  <c r="E543" i="3"/>
  <c r="F543" i="3" s="1"/>
  <c r="I542" i="3"/>
  <c r="F542" i="3"/>
  <c r="E542" i="3"/>
  <c r="I541" i="3"/>
  <c r="E541" i="3"/>
  <c r="F541" i="3" s="1"/>
  <c r="I540" i="3"/>
  <c r="F540" i="3"/>
  <c r="E540" i="3"/>
  <c r="I539" i="3"/>
  <c r="F539" i="3"/>
  <c r="E539" i="3"/>
  <c r="I538" i="3"/>
  <c r="F538" i="3"/>
  <c r="E538" i="3"/>
  <c r="I537" i="3"/>
  <c r="E537" i="3"/>
  <c r="F537" i="3" s="1"/>
  <c r="I536" i="3"/>
  <c r="F536" i="3"/>
  <c r="E536" i="3"/>
  <c r="I535" i="3"/>
  <c r="E535" i="3"/>
  <c r="F535" i="3" s="1"/>
  <c r="I534" i="3"/>
  <c r="F534" i="3"/>
  <c r="E534" i="3"/>
  <c r="I533" i="3"/>
  <c r="E533" i="3"/>
  <c r="F533" i="3" s="1"/>
  <c r="I532" i="3"/>
  <c r="F532" i="3"/>
  <c r="E532" i="3"/>
  <c r="I531" i="3"/>
  <c r="F531" i="3"/>
  <c r="E531" i="3"/>
  <c r="I530" i="3"/>
  <c r="F530" i="3"/>
  <c r="E530" i="3"/>
  <c r="I529" i="3"/>
  <c r="E529" i="3"/>
  <c r="F529" i="3" s="1"/>
  <c r="I528" i="3"/>
  <c r="F528" i="3"/>
  <c r="E528" i="3"/>
  <c r="I527" i="3"/>
  <c r="E527" i="3"/>
  <c r="F527" i="3" s="1"/>
  <c r="I526" i="3"/>
  <c r="E526" i="3"/>
  <c r="F526" i="3" s="1"/>
  <c r="I525" i="3"/>
  <c r="E525" i="3"/>
  <c r="F525" i="3" s="1"/>
  <c r="I524" i="3"/>
  <c r="F524" i="3"/>
  <c r="E524" i="3"/>
  <c r="I523" i="3"/>
  <c r="E523" i="3"/>
  <c r="F523" i="3" s="1"/>
  <c r="I522" i="3"/>
  <c r="F522" i="3"/>
  <c r="E522" i="3"/>
  <c r="I521" i="3"/>
  <c r="E521" i="3"/>
  <c r="F521" i="3" s="1"/>
  <c r="I520" i="3"/>
  <c r="F520" i="3"/>
  <c r="E520" i="3"/>
  <c r="I519" i="3"/>
  <c r="E519" i="3"/>
  <c r="F519" i="3" s="1"/>
  <c r="I518" i="3"/>
  <c r="E518" i="3"/>
  <c r="F518" i="3" s="1"/>
  <c r="I517" i="3"/>
  <c r="E517" i="3"/>
  <c r="F517" i="3" s="1"/>
  <c r="I516" i="3"/>
  <c r="F516" i="3"/>
  <c r="E516" i="3"/>
  <c r="I515" i="3"/>
  <c r="E515" i="3"/>
  <c r="F515" i="3" s="1"/>
  <c r="I514" i="3"/>
  <c r="F514" i="3"/>
  <c r="E514" i="3"/>
  <c r="I513" i="3"/>
  <c r="E513" i="3"/>
  <c r="F513" i="3" s="1"/>
  <c r="I512" i="3"/>
  <c r="F512" i="3"/>
  <c r="E512" i="3"/>
  <c r="I511" i="3"/>
  <c r="E511" i="3"/>
  <c r="F511" i="3" s="1"/>
  <c r="I510" i="3"/>
  <c r="F510" i="3"/>
  <c r="E510" i="3"/>
  <c r="I509" i="3"/>
  <c r="E509" i="3"/>
  <c r="F509" i="3" s="1"/>
  <c r="I508" i="3"/>
  <c r="F508" i="3"/>
  <c r="E508" i="3"/>
  <c r="I507" i="3"/>
  <c r="F507" i="3"/>
  <c r="E507" i="3"/>
  <c r="I506" i="3"/>
  <c r="F506" i="3"/>
  <c r="E506" i="3"/>
  <c r="I505" i="3"/>
  <c r="E505" i="3"/>
  <c r="F505" i="3" s="1"/>
  <c r="I504" i="3"/>
  <c r="F504" i="3"/>
  <c r="E504" i="3"/>
  <c r="I503" i="3"/>
  <c r="E503" i="3"/>
  <c r="F503" i="3" s="1"/>
  <c r="I502" i="3"/>
  <c r="F502" i="3"/>
  <c r="E502" i="3"/>
  <c r="I501" i="3"/>
  <c r="E501" i="3"/>
  <c r="F501" i="3" s="1"/>
  <c r="I500" i="3"/>
  <c r="F500" i="3"/>
  <c r="E500" i="3"/>
  <c r="I499" i="3"/>
  <c r="F499" i="3"/>
  <c r="E499" i="3"/>
  <c r="I498" i="3"/>
  <c r="F498" i="3"/>
  <c r="E498" i="3"/>
  <c r="I497" i="3"/>
  <c r="E497" i="3"/>
  <c r="F497" i="3" s="1"/>
  <c r="I496" i="3"/>
  <c r="F496" i="3"/>
  <c r="E496" i="3"/>
  <c r="I495" i="3"/>
  <c r="E495" i="3"/>
  <c r="F495" i="3" s="1"/>
  <c r="I494" i="3"/>
  <c r="E494" i="3"/>
  <c r="F494" i="3" s="1"/>
  <c r="I493" i="3"/>
  <c r="E493" i="3"/>
  <c r="F493" i="3" s="1"/>
  <c r="I492" i="3"/>
  <c r="F492" i="3"/>
  <c r="E492" i="3"/>
  <c r="I491" i="3"/>
  <c r="E491" i="3"/>
  <c r="F491" i="3" s="1"/>
  <c r="I490" i="3"/>
  <c r="F490" i="3"/>
  <c r="E490" i="3"/>
  <c r="I489" i="3"/>
  <c r="E489" i="3"/>
  <c r="F489" i="3" s="1"/>
  <c r="I488" i="3"/>
  <c r="F488" i="3"/>
  <c r="E488" i="3"/>
  <c r="I487" i="3"/>
  <c r="E487" i="3"/>
  <c r="F487" i="3" s="1"/>
  <c r="I486" i="3"/>
  <c r="F486" i="3"/>
  <c r="E486" i="3"/>
  <c r="I485" i="3"/>
  <c r="E485" i="3"/>
  <c r="F485" i="3" s="1"/>
  <c r="I484" i="3"/>
  <c r="F484" i="3"/>
  <c r="E484" i="3"/>
  <c r="I483" i="3"/>
  <c r="F483" i="3"/>
  <c r="E483" i="3"/>
  <c r="I482" i="3"/>
  <c r="F482" i="3"/>
  <c r="E482" i="3"/>
  <c r="I481" i="3"/>
  <c r="E481" i="3"/>
  <c r="F481" i="3" s="1"/>
  <c r="I480" i="3"/>
  <c r="F480" i="3"/>
  <c r="E480" i="3"/>
  <c r="I479" i="3"/>
  <c r="E479" i="3"/>
  <c r="F479" i="3" s="1"/>
  <c r="I478" i="3"/>
  <c r="F478" i="3"/>
  <c r="E478" i="3"/>
  <c r="I477" i="3"/>
  <c r="E477" i="3"/>
  <c r="F477" i="3" s="1"/>
  <c r="I476" i="3"/>
  <c r="F476" i="3"/>
  <c r="E476" i="3"/>
  <c r="I475" i="3"/>
  <c r="F475" i="3"/>
  <c r="E475" i="3"/>
  <c r="I474" i="3"/>
  <c r="F474" i="3"/>
  <c r="E474" i="3"/>
  <c r="I473" i="3"/>
  <c r="E473" i="3"/>
  <c r="F473" i="3" s="1"/>
  <c r="I472" i="3"/>
  <c r="F472" i="3"/>
  <c r="E472" i="3"/>
  <c r="I471" i="3"/>
  <c r="E471" i="3"/>
  <c r="F471" i="3" s="1"/>
  <c r="I470" i="3"/>
  <c r="F470" i="3"/>
  <c r="E470" i="3"/>
  <c r="I469" i="3"/>
  <c r="E469" i="3"/>
  <c r="F469" i="3" s="1"/>
  <c r="I468" i="3"/>
  <c r="F468" i="3"/>
  <c r="E468" i="3"/>
  <c r="I467" i="3"/>
  <c r="F467" i="3"/>
  <c r="E467" i="3"/>
  <c r="I466" i="3"/>
  <c r="F466" i="3"/>
  <c r="E466" i="3"/>
  <c r="I465" i="3"/>
  <c r="E465" i="3"/>
  <c r="F465" i="3" s="1"/>
  <c r="I464" i="3"/>
  <c r="F464" i="3"/>
  <c r="E464" i="3"/>
  <c r="I463" i="3"/>
  <c r="E463" i="3"/>
  <c r="F463" i="3" s="1"/>
  <c r="I462" i="3"/>
  <c r="E462" i="3"/>
  <c r="F462" i="3" s="1"/>
  <c r="I461" i="3"/>
  <c r="E461" i="3"/>
  <c r="F461" i="3" s="1"/>
  <c r="I460" i="3"/>
  <c r="F460" i="3"/>
  <c r="E460" i="3"/>
  <c r="I459" i="3"/>
  <c r="E459" i="3"/>
  <c r="F459" i="3" s="1"/>
  <c r="I458" i="3"/>
  <c r="F458" i="3"/>
  <c r="E458" i="3"/>
  <c r="I457" i="3"/>
  <c r="E457" i="3"/>
  <c r="F457" i="3" s="1"/>
  <c r="I456" i="3"/>
  <c r="E456" i="3"/>
  <c r="F456" i="3" s="1"/>
  <c r="I455" i="3"/>
  <c r="E455" i="3"/>
  <c r="F455" i="3" s="1"/>
  <c r="I454" i="3"/>
  <c r="E454" i="3"/>
  <c r="F454" i="3" s="1"/>
  <c r="I453" i="3"/>
  <c r="E453" i="3"/>
  <c r="F453" i="3" s="1"/>
  <c r="I452" i="3"/>
  <c r="F452" i="3"/>
  <c r="E452" i="3"/>
  <c r="I451" i="3"/>
  <c r="F451" i="3"/>
  <c r="E451" i="3"/>
  <c r="I450" i="3"/>
  <c r="F450" i="3"/>
  <c r="E450" i="3"/>
  <c r="I449" i="3"/>
  <c r="E449" i="3"/>
  <c r="F449" i="3" s="1"/>
  <c r="I448" i="3"/>
  <c r="F448" i="3"/>
  <c r="E448" i="3"/>
  <c r="I447" i="3"/>
  <c r="E447" i="3"/>
  <c r="F447" i="3" s="1"/>
  <c r="I446" i="3"/>
  <c r="F446" i="3"/>
  <c r="E446" i="3"/>
  <c r="I445" i="3"/>
  <c r="F445" i="3"/>
  <c r="E445" i="3"/>
  <c r="I444" i="3"/>
  <c r="F444" i="3"/>
  <c r="E444" i="3"/>
  <c r="I443" i="3"/>
  <c r="E443" i="3"/>
  <c r="F443" i="3" s="1"/>
  <c r="I442" i="3"/>
  <c r="F442" i="3"/>
  <c r="E442" i="3"/>
  <c r="I441" i="3"/>
  <c r="E441" i="3"/>
  <c r="F441" i="3" s="1"/>
  <c r="I440" i="3"/>
  <c r="E440" i="3"/>
  <c r="F440" i="3" s="1"/>
  <c r="I439" i="3"/>
  <c r="E439" i="3"/>
  <c r="F439" i="3" s="1"/>
  <c r="I438" i="3"/>
  <c r="F438" i="3"/>
  <c r="E438" i="3"/>
  <c r="I437" i="3"/>
  <c r="E437" i="3"/>
  <c r="F437" i="3" s="1"/>
  <c r="I436" i="3"/>
  <c r="F436" i="3"/>
  <c r="E436" i="3"/>
  <c r="I435" i="3"/>
  <c r="E435" i="3"/>
  <c r="F435" i="3" s="1"/>
  <c r="I434" i="3"/>
  <c r="F434" i="3"/>
  <c r="E434" i="3"/>
  <c r="I433" i="3"/>
  <c r="E433" i="3"/>
  <c r="F433" i="3" s="1"/>
  <c r="I432" i="3"/>
  <c r="E432" i="3"/>
  <c r="F432" i="3" s="1"/>
  <c r="I431" i="3"/>
  <c r="E431" i="3"/>
  <c r="F431" i="3" s="1"/>
  <c r="I430" i="3"/>
  <c r="E430" i="3"/>
  <c r="F430" i="3" s="1"/>
  <c r="I429" i="3"/>
  <c r="E429" i="3"/>
  <c r="F429" i="3" s="1"/>
  <c r="I428" i="3"/>
  <c r="F428" i="3"/>
  <c r="E428" i="3"/>
  <c r="I427" i="3"/>
  <c r="E427" i="3"/>
  <c r="F427" i="3" s="1"/>
  <c r="I426" i="3"/>
  <c r="F426" i="3"/>
  <c r="E426" i="3"/>
  <c r="I425" i="3"/>
  <c r="E425" i="3"/>
  <c r="F425" i="3" s="1"/>
  <c r="I424" i="3"/>
  <c r="E424" i="3"/>
  <c r="F424" i="3" s="1"/>
  <c r="I423" i="3"/>
  <c r="E423" i="3"/>
  <c r="F423" i="3" s="1"/>
  <c r="I422" i="3"/>
  <c r="E422" i="3"/>
  <c r="F422" i="3" s="1"/>
  <c r="I421" i="3"/>
  <c r="E421" i="3"/>
  <c r="F421" i="3" s="1"/>
  <c r="I420" i="3"/>
  <c r="F420" i="3"/>
  <c r="E420" i="3"/>
  <c r="I419" i="3"/>
  <c r="F419" i="3"/>
  <c r="E419" i="3"/>
  <c r="I418" i="3"/>
  <c r="F418" i="3"/>
  <c r="E418" i="3"/>
  <c r="I417" i="3"/>
  <c r="E417" i="3"/>
  <c r="F417" i="3" s="1"/>
  <c r="I416" i="3"/>
  <c r="F416" i="3"/>
  <c r="E416" i="3"/>
  <c r="I415" i="3"/>
  <c r="E415" i="3"/>
  <c r="F415" i="3" s="1"/>
  <c r="I414" i="3"/>
  <c r="F414" i="3"/>
  <c r="E414" i="3"/>
  <c r="I413" i="3"/>
  <c r="F413" i="3"/>
  <c r="E413" i="3"/>
  <c r="I412" i="3"/>
  <c r="F412" i="3"/>
  <c r="E412" i="3"/>
  <c r="I411" i="3"/>
  <c r="E411" i="3"/>
  <c r="F411" i="3" s="1"/>
  <c r="I410" i="3"/>
  <c r="F410" i="3"/>
  <c r="E410" i="3"/>
  <c r="I409" i="3"/>
  <c r="E409" i="3"/>
  <c r="F409" i="3" s="1"/>
  <c r="I408" i="3"/>
  <c r="E408" i="3"/>
  <c r="F408" i="3" s="1"/>
  <c r="I407" i="3"/>
  <c r="E407" i="3"/>
  <c r="F407" i="3" s="1"/>
  <c r="I406" i="3"/>
  <c r="F406" i="3"/>
  <c r="E406" i="3"/>
  <c r="I405" i="3"/>
  <c r="E405" i="3"/>
  <c r="F405" i="3" s="1"/>
  <c r="I404" i="3"/>
  <c r="F404" i="3"/>
  <c r="E404" i="3"/>
  <c r="I403" i="3"/>
  <c r="E403" i="3"/>
  <c r="F403" i="3" s="1"/>
  <c r="I402" i="3"/>
  <c r="F402" i="3"/>
  <c r="E402" i="3"/>
  <c r="I401" i="3"/>
  <c r="E401" i="3"/>
  <c r="F401" i="3" s="1"/>
  <c r="I400" i="3"/>
  <c r="E400" i="3"/>
  <c r="F400" i="3" s="1"/>
  <c r="I399" i="3"/>
  <c r="E399" i="3"/>
  <c r="F399" i="3" s="1"/>
  <c r="I398" i="3"/>
  <c r="F398" i="3"/>
  <c r="E398" i="3"/>
  <c r="I397" i="3"/>
  <c r="E397" i="3"/>
  <c r="F397" i="3" s="1"/>
  <c r="I396" i="3"/>
  <c r="F396" i="3"/>
  <c r="E396" i="3"/>
  <c r="I395" i="3"/>
  <c r="E395" i="3"/>
  <c r="I394" i="3"/>
  <c r="F394" i="3"/>
  <c r="E394" i="3"/>
  <c r="I393" i="3"/>
  <c r="E393" i="3"/>
  <c r="F393" i="3" s="1"/>
  <c r="I392" i="3"/>
  <c r="E392" i="3"/>
  <c r="F392" i="3" s="1"/>
  <c r="I391" i="3"/>
  <c r="E391" i="3"/>
  <c r="F391" i="3" s="1"/>
  <c r="I390" i="3"/>
  <c r="F390" i="3"/>
  <c r="E390" i="3"/>
  <c r="I389" i="3"/>
  <c r="E389" i="3"/>
  <c r="F389" i="3" s="1"/>
  <c r="I388" i="3"/>
  <c r="F388" i="3"/>
  <c r="E388" i="3"/>
  <c r="I387" i="3"/>
  <c r="F387" i="3"/>
  <c r="E387" i="3"/>
  <c r="I386" i="3"/>
  <c r="F386" i="3"/>
  <c r="E386" i="3"/>
  <c r="I385" i="3"/>
  <c r="E385" i="3"/>
  <c r="F385" i="3" s="1"/>
  <c r="I384" i="3"/>
  <c r="F384" i="3"/>
  <c r="E384" i="3"/>
  <c r="I383" i="3"/>
  <c r="E383" i="3"/>
  <c r="F383" i="3" s="1"/>
  <c r="I382" i="3"/>
  <c r="F382" i="3"/>
  <c r="E382" i="3"/>
  <c r="I381" i="3"/>
  <c r="F381" i="3"/>
  <c r="E381" i="3"/>
  <c r="I380" i="3"/>
  <c r="F380" i="3"/>
  <c r="E380" i="3"/>
  <c r="I379" i="3"/>
  <c r="E379" i="3"/>
  <c r="F379" i="3" s="1"/>
  <c r="I378" i="3"/>
  <c r="F378" i="3"/>
  <c r="E378" i="3"/>
  <c r="I377" i="3"/>
  <c r="E377" i="3"/>
  <c r="F377" i="3" s="1"/>
  <c r="I376" i="3"/>
  <c r="E376" i="3"/>
  <c r="F376" i="3" s="1"/>
  <c r="I375" i="3"/>
  <c r="E375" i="3"/>
  <c r="F375" i="3" s="1"/>
  <c r="I374" i="3"/>
  <c r="F374" i="3"/>
  <c r="E374" i="3"/>
  <c r="I373" i="3"/>
  <c r="E373" i="3"/>
  <c r="F373" i="3" s="1"/>
  <c r="I372" i="3"/>
  <c r="F372" i="3"/>
  <c r="E372" i="3"/>
  <c r="I371" i="3"/>
  <c r="E371" i="3"/>
  <c r="F371" i="3" s="1"/>
  <c r="I370" i="3"/>
  <c r="F370" i="3"/>
  <c r="E370" i="3"/>
  <c r="I369" i="3"/>
  <c r="E369" i="3"/>
  <c r="F369" i="3" s="1"/>
  <c r="I368" i="3"/>
  <c r="E368" i="3"/>
  <c r="F368" i="3" s="1"/>
  <c r="I367" i="3"/>
  <c r="E367" i="3"/>
  <c r="F367" i="3" s="1"/>
  <c r="I366" i="3"/>
  <c r="F366" i="3"/>
  <c r="E366" i="3"/>
  <c r="I365" i="3"/>
  <c r="E365" i="3"/>
  <c r="F365" i="3" s="1"/>
  <c r="I364" i="3"/>
  <c r="E364" i="3"/>
  <c r="F364" i="3" s="1"/>
  <c r="I363" i="3"/>
  <c r="E363" i="3"/>
  <c r="F363" i="3" s="1"/>
  <c r="I362" i="3"/>
  <c r="F362" i="3"/>
  <c r="E362" i="3"/>
  <c r="I361" i="3"/>
  <c r="F361" i="3"/>
  <c r="E361" i="3"/>
  <c r="I360" i="3"/>
  <c r="F360" i="3"/>
  <c r="E360" i="3"/>
  <c r="I359" i="3"/>
  <c r="E359" i="3"/>
  <c r="F359" i="3" s="1"/>
  <c r="I358" i="3"/>
  <c r="F358" i="3"/>
  <c r="E358" i="3"/>
  <c r="I357" i="3"/>
  <c r="F357" i="3"/>
  <c r="E357" i="3"/>
  <c r="I356" i="3"/>
  <c r="E356" i="3"/>
  <c r="F356" i="3" s="1"/>
  <c r="I355" i="3"/>
  <c r="F355" i="3"/>
  <c r="E355" i="3"/>
  <c r="I354" i="3"/>
  <c r="F354" i="3"/>
  <c r="E354" i="3"/>
  <c r="I353" i="3"/>
  <c r="F353" i="3"/>
  <c r="E353" i="3"/>
  <c r="I352" i="3"/>
  <c r="E352" i="3"/>
  <c r="F352" i="3" s="1"/>
  <c r="I351" i="3"/>
  <c r="E351" i="3"/>
  <c r="F351" i="3" s="1"/>
  <c r="I350" i="3"/>
  <c r="F350" i="3"/>
  <c r="E350" i="3"/>
  <c r="I349" i="3"/>
  <c r="E349" i="3"/>
  <c r="F349" i="3" s="1"/>
  <c r="I348" i="3"/>
  <c r="F348" i="3"/>
  <c r="E348" i="3"/>
  <c r="I347" i="3"/>
  <c r="F347" i="3"/>
  <c r="E347" i="3"/>
  <c r="I346" i="3"/>
  <c r="F346" i="3"/>
  <c r="E346" i="3"/>
  <c r="I345" i="3"/>
  <c r="E345" i="3"/>
  <c r="F345" i="3" s="1"/>
  <c r="I344" i="3"/>
  <c r="F344" i="3"/>
  <c r="E344" i="3"/>
  <c r="I343" i="3"/>
  <c r="E343" i="3"/>
  <c r="F343" i="3" s="1"/>
  <c r="I342" i="3"/>
  <c r="E342" i="3"/>
  <c r="F342" i="3" s="1"/>
  <c r="I341" i="3"/>
  <c r="F341" i="3"/>
  <c r="E341" i="3"/>
  <c r="I340" i="3"/>
  <c r="E340" i="3"/>
  <c r="F340" i="3" s="1"/>
  <c r="I339" i="3"/>
  <c r="E339" i="3"/>
  <c r="F339" i="3" s="1"/>
  <c r="I338" i="3"/>
  <c r="F338" i="3"/>
  <c r="E338" i="3"/>
  <c r="I337" i="3"/>
  <c r="F337" i="3"/>
  <c r="E337" i="3"/>
  <c r="I336" i="3"/>
  <c r="F336" i="3"/>
  <c r="E336" i="3"/>
  <c r="I335" i="3"/>
  <c r="E335" i="3"/>
  <c r="F335" i="3" s="1"/>
  <c r="I334" i="3"/>
  <c r="F334" i="3"/>
  <c r="E334" i="3"/>
  <c r="I333" i="3"/>
  <c r="F333" i="3"/>
  <c r="E333" i="3"/>
  <c r="I332" i="3"/>
  <c r="F332" i="3"/>
  <c r="E332" i="3"/>
  <c r="I331" i="3"/>
  <c r="E331" i="3"/>
  <c r="F331" i="3" s="1"/>
  <c r="I330" i="3"/>
  <c r="F330" i="3"/>
  <c r="E330" i="3"/>
  <c r="I329" i="3"/>
  <c r="E329" i="3"/>
  <c r="F329" i="3" s="1"/>
  <c r="I328" i="3"/>
  <c r="F328" i="3"/>
  <c r="E328" i="3"/>
  <c r="I327" i="3"/>
  <c r="E327" i="3"/>
  <c r="F327" i="3" s="1"/>
  <c r="I326" i="3"/>
  <c r="E326" i="3"/>
  <c r="F326" i="3" s="1"/>
  <c r="I325" i="3"/>
  <c r="F325" i="3"/>
  <c r="E325" i="3"/>
  <c r="I324" i="3"/>
  <c r="E324" i="3"/>
  <c r="F324" i="3" s="1"/>
  <c r="I323" i="3"/>
  <c r="F323" i="3"/>
  <c r="E323" i="3"/>
  <c r="I322" i="3"/>
  <c r="F322" i="3"/>
  <c r="E322" i="3"/>
  <c r="I321" i="3"/>
  <c r="F321" i="3"/>
  <c r="E321" i="3"/>
  <c r="I320" i="3"/>
  <c r="E320" i="3"/>
  <c r="F320" i="3" s="1"/>
  <c r="I319" i="3"/>
  <c r="E319" i="3"/>
  <c r="F319" i="3" s="1"/>
  <c r="I318" i="3"/>
  <c r="F318" i="3"/>
  <c r="E318" i="3"/>
  <c r="I317" i="3"/>
  <c r="E317" i="3"/>
  <c r="F317" i="3" s="1"/>
  <c r="I316" i="3"/>
  <c r="F316" i="3"/>
  <c r="E316" i="3"/>
  <c r="I315" i="3"/>
  <c r="E315" i="3"/>
  <c r="F315" i="3" s="1"/>
  <c r="I314" i="3"/>
  <c r="F314" i="3"/>
  <c r="E314" i="3"/>
  <c r="I313" i="3"/>
  <c r="E313" i="3"/>
  <c r="F313" i="3" s="1"/>
  <c r="I312" i="3"/>
  <c r="F312" i="3"/>
  <c r="E312" i="3"/>
  <c r="I311" i="3"/>
  <c r="F311" i="3"/>
  <c r="E311" i="3"/>
  <c r="I310" i="3"/>
  <c r="F310" i="3"/>
  <c r="E310" i="3"/>
  <c r="I309" i="3"/>
  <c r="E309" i="3"/>
  <c r="F309" i="3" s="1"/>
  <c r="I308" i="3"/>
  <c r="F308" i="3"/>
  <c r="E308" i="3"/>
  <c r="I307" i="3"/>
  <c r="E307" i="3"/>
  <c r="F307" i="3" s="1"/>
  <c r="I306" i="3"/>
  <c r="F306" i="3"/>
  <c r="E306" i="3"/>
  <c r="I305" i="3"/>
  <c r="E305" i="3"/>
  <c r="F305" i="3" s="1"/>
  <c r="I304" i="3"/>
  <c r="F304" i="3"/>
  <c r="E304" i="3"/>
  <c r="I303" i="3"/>
  <c r="F303" i="3"/>
  <c r="E303" i="3"/>
  <c r="I302" i="3"/>
  <c r="F302" i="3"/>
  <c r="E302" i="3"/>
  <c r="I301" i="3"/>
  <c r="E301" i="3"/>
  <c r="F301" i="3" s="1"/>
  <c r="I300" i="3"/>
  <c r="F300" i="3"/>
  <c r="E300" i="3"/>
  <c r="I299" i="3"/>
  <c r="E299" i="3"/>
  <c r="F299" i="3" s="1"/>
  <c r="I298" i="3"/>
  <c r="F298" i="3"/>
  <c r="E298" i="3"/>
  <c r="I297" i="3"/>
  <c r="E297" i="3"/>
  <c r="F297" i="3" s="1"/>
  <c r="I296" i="3"/>
  <c r="F296" i="3"/>
  <c r="E296" i="3"/>
  <c r="I295" i="3"/>
  <c r="F295" i="3"/>
  <c r="E295" i="3"/>
  <c r="I294" i="3"/>
  <c r="F294" i="3"/>
  <c r="E294" i="3"/>
  <c r="I293" i="3"/>
  <c r="E293" i="3"/>
  <c r="F293" i="3" s="1"/>
  <c r="I292" i="3"/>
  <c r="F292" i="3"/>
  <c r="E292" i="3"/>
  <c r="I291" i="3"/>
  <c r="E291" i="3"/>
  <c r="F291" i="3" s="1"/>
  <c r="I290" i="3"/>
  <c r="E290" i="3"/>
  <c r="F290" i="3" s="1"/>
  <c r="I289" i="3"/>
  <c r="E289" i="3"/>
  <c r="F289" i="3" s="1"/>
  <c r="I288" i="3"/>
  <c r="F288" i="3"/>
  <c r="E288" i="3"/>
  <c r="I287" i="3"/>
  <c r="F287" i="3"/>
  <c r="E287" i="3"/>
  <c r="I286" i="3"/>
  <c r="F286" i="3"/>
  <c r="E286" i="3"/>
  <c r="I285" i="3"/>
  <c r="E285" i="3"/>
  <c r="F285" i="3" s="1"/>
  <c r="I284" i="3"/>
  <c r="F284" i="3"/>
  <c r="E284" i="3"/>
  <c r="I283" i="3"/>
  <c r="E283" i="3"/>
  <c r="F283" i="3" s="1"/>
  <c r="I282" i="3"/>
  <c r="F282" i="3"/>
  <c r="E282" i="3"/>
  <c r="I281" i="3"/>
  <c r="E281" i="3"/>
  <c r="F281" i="3" s="1"/>
  <c r="I280" i="3"/>
  <c r="F280" i="3"/>
  <c r="E280" i="3"/>
  <c r="I279" i="3"/>
  <c r="F279" i="3"/>
  <c r="E279" i="3"/>
  <c r="I278" i="3"/>
  <c r="F278" i="3"/>
  <c r="E278" i="3"/>
  <c r="I277" i="3"/>
  <c r="E277" i="3"/>
  <c r="F277" i="3" s="1"/>
  <c r="I276" i="3"/>
  <c r="F276" i="3"/>
  <c r="E276" i="3"/>
  <c r="I275" i="3"/>
  <c r="E275" i="3"/>
  <c r="F275" i="3" s="1"/>
  <c r="I274" i="3"/>
  <c r="F274" i="3"/>
  <c r="E274" i="3"/>
  <c r="I273" i="3"/>
  <c r="E273" i="3"/>
  <c r="F273" i="3" s="1"/>
  <c r="I272" i="3"/>
  <c r="F272" i="3"/>
  <c r="E272" i="3"/>
  <c r="I271" i="3"/>
  <c r="F271" i="3"/>
  <c r="E271" i="3"/>
  <c r="I270" i="3"/>
  <c r="F270" i="3"/>
  <c r="E270" i="3"/>
  <c r="I269" i="3"/>
  <c r="E269" i="3"/>
  <c r="F269" i="3" s="1"/>
  <c r="I268" i="3"/>
  <c r="F268" i="3"/>
  <c r="E268" i="3"/>
  <c r="I267" i="3"/>
  <c r="E267" i="3"/>
  <c r="F267" i="3" s="1"/>
  <c r="I266" i="3"/>
  <c r="F266" i="3"/>
  <c r="E266" i="3"/>
  <c r="I265" i="3"/>
  <c r="E265" i="3"/>
  <c r="F265" i="3" s="1"/>
  <c r="I264" i="3"/>
  <c r="F264" i="3"/>
  <c r="E264" i="3"/>
  <c r="I263" i="3"/>
  <c r="F263" i="3"/>
  <c r="E263" i="3"/>
  <c r="I262" i="3"/>
  <c r="F262" i="3"/>
  <c r="E262" i="3"/>
  <c r="I261" i="3"/>
  <c r="E261" i="3"/>
  <c r="F261" i="3" s="1"/>
  <c r="I260" i="3"/>
  <c r="F260" i="3"/>
  <c r="E260" i="3"/>
  <c r="I259" i="3"/>
  <c r="E259" i="3"/>
  <c r="F259" i="3" s="1"/>
  <c r="I258" i="3"/>
  <c r="F258" i="3"/>
  <c r="E258" i="3"/>
  <c r="I257" i="3"/>
  <c r="E257" i="3"/>
  <c r="F257" i="3" s="1"/>
  <c r="I256" i="3"/>
  <c r="F256" i="3"/>
  <c r="E256" i="3"/>
  <c r="I255" i="3"/>
  <c r="F255" i="3"/>
  <c r="E255" i="3"/>
  <c r="I254" i="3"/>
  <c r="F254" i="3"/>
  <c r="E254" i="3"/>
  <c r="I253" i="3"/>
  <c r="E253" i="3"/>
  <c r="F253" i="3" s="1"/>
  <c r="I252" i="3"/>
  <c r="F252" i="3"/>
  <c r="E252" i="3"/>
  <c r="I251" i="3"/>
  <c r="E251" i="3"/>
  <c r="F251" i="3" s="1"/>
  <c r="I250" i="3"/>
  <c r="E250" i="3"/>
  <c r="F250" i="3" s="1"/>
  <c r="I249" i="3"/>
  <c r="E249" i="3"/>
  <c r="F249" i="3" s="1"/>
  <c r="I248" i="3"/>
  <c r="F248" i="3"/>
  <c r="E248" i="3"/>
  <c r="I247" i="3"/>
  <c r="F247" i="3"/>
  <c r="E247" i="3"/>
  <c r="I246" i="3"/>
  <c r="F246" i="3"/>
  <c r="E246" i="3"/>
  <c r="I245" i="3"/>
  <c r="E245" i="3"/>
  <c r="F245" i="3" s="1"/>
  <c r="I244" i="3"/>
  <c r="F244" i="3"/>
  <c r="E244" i="3"/>
  <c r="I243" i="3"/>
  <c r="E243" i="3"/>
  <c r="F243" i="3" s="1"/>
  <c r="I242" i="3"/>
  <c r="E242" i="3"/>
  <c r="F242" i="3" s="1"/>
  <c r="I241" i="3"/>
  <c r="E241" i="3"/>
  <c r="F241" i="3" s="1"/>
  <c r="I240" i="3"/>
  <c r="F240" i="3"/>
  <c r="E240" i="3"/>
  <c r="I239" i="3"/>
  <c r="F239" i="3"/>
  <c r="E239" i="3"/>
  <c r="I238" i="3"/>
  <c r="F238" i="3"/>
  <c r="E238" i="3"/>
  <c r="I237" i="3"/>
  <c r="E237" i="3"/>
  <c r="F237" i="3" s="1"/>
  <c r="I236" i="3"/>
  <c r="F236" i="3"/>
  <c r="E236" i="3"/>
  <c r="I235" i="3"/>
  <c r="E235" i="3"/>
  <c r="F235" i="3" s="1"/>
  <c r="I234" i="3"/>
  <c r="E234" i="3"/>
  <c r="F234" i="3" s="1"/>
  <c r="I233" i="3"/>
  <c r="E233" i="3"/>
  <c r="F233" i="3" s="1"/>
  <c r="I232" i="3"/>
  <c r="F232" i="3"/>
  <c r="E232" i="3"/>
  <c r="I231" i="3"/>
  <c r="F231" i="3"/>
  <c r="E231" i="3"/>
  <c r="I230" i="3"/>
  <c r="F230" i="3"/>
  <c r="E230" i="3"/>
  <c r="I229" i="3"/>
  <c r="E229" i="3"/>
  <c r="F229" i="3" s="1"/>
  <c r="I228" i="3"/>
  <c r="F228" i="3"/>
  <c r="E228" i="3"/>
  <c r="I227" i="3"/>
  <c r="E227" i="3"/>
  <c r="F227" i="3" s="1"/>
  <c r="I226" i="3"/>
  <c r="E226" i="3"/>
  <c r="F226" i="3" s="1"/>
  <c r="I225" i="3"/>
  <c r="E225" i="3"/>
  <c r="F225" i="3" s="1"/>
  <c r="I224" i="3"/>
  <c r="F224" i="3"/>
  <c r="E224" i="3"/>
  <c r="I223" i="3"/>
  <c r="F223" i="3"/>
  <c r="E223" i="3"/>
  <c r="I222" i="3"/>
  <c r="F222" i="3"/>
  <c r="E222" i="3"/>
  <c r="I221" i="3"/>
  <c r="E221" i="3"/>
  <c r="F221" i="3" s="1"/>
  <c r="I220" i="3"/>
  <c r="F220" i="3"/>
  <c r="E220" i="3"/>
  <c r="I219" i="3"/>
  <c r="E219" i="3"/>
  <c r="F219" i="3" s="1"/>
  <c r="I218" i="3"/>
  <c r="E218" i="3"/>
  <c r="F218" i="3" s="1"/>
  <c r="I217" i="3"/>
  <c r="E217" i="3"/>
  <c r="F217" i="3" s="1"/>
  <c r="I216" i="3"/>
  <c r="F216" i="3"/>
  <c r="E216" i="3"/>
  <c r="I215" i="3"/>
  <c r="F215" i="3"/>
  <c r="E215" i="3"/>
  <c r="I214" i="3"/>
  <c r="F214" i="3"/>
  <c r="E214" i="3"/>
  <c r="I213" i="3"/>
  <c r="E213" i="3"/>
  <c r="F213" i="3" s="1"/>
  <c r="I212" i="3"/>
  <c r="F212" i="3"/>
  <c r="E212" i="3"/>
  <c r="I211" i="3"/>
  <c r="E211" i="3"/>
  <c r="F211" i="3" s="1"/>
  <c r="I210" i="3"/>
  <c r="E210" i="3"/>
  <c r="F210" i="3" s="1"/>
  <c r="I209" i="3"/>
  <c r="E209" i="3"/>
  <c r="F209" i="3" s="1"/>
  <c r="I208" i="3"/>
  <c r="F208" i="3"/>
  <c r="E208" i="3"/>
  <c r="I207" i="3"/>
  <c r="F207" i="3"/>
  <c r="E207" i="3"/>
  <c r="I206" i="3"/>
  <c r="F206" i="3"/>
  <c r="E206" i="3"/>
  <c r="I205" i="3"/>
  <c r="E205" i="3"/>
  <c r="F205" i="3" s="1"/>
  <c r="I204" i="3"/>
  <c r="F204" i="3"/>
  <c r="E204" i="3"/>
  <c r="I203" i="3"/>
  <c r="E203" i="3"/>
  <c r="F203" i="3" s="1"/>
  <c r="I202" i="3"/>
  <c r="E202" i="3"/>
  <c r="F202" i="3" s="1"/>
  <c r="I201" i="3"/>
  <c r="E201" i="3"/>
  <c r="F201" i="3" s="1"/>
  <c r="I200" i="3"/>
  <c r="F200" i="3"/>
  <c r="E200" i="3"/>
  <c r="I199" i="3"/>
  <c r="F199" i="3"/>
  <c r="E199" i="3"/>
  <c r="I198" i="3"/>
  <c r="F198" i="3"/>
  <c r="E198" i="3"/>
  <c r="I197" i="3"/>
  <c r="E197" i="3"/>
  <c r="F197" i="3" s="1"/>
  <c r="I196" i="3"/>
  <c r="F196" i="3"/>
  <c r="E196" i="3"/>
  <c r="I195" i="3"/>
  <c r="E195" i="3"/>
  <c r="F195" i="3" s="1"/>
  <c r="I194" i="3"/>
  <c r="E194" i="3"/>
  <c r="F194" i="3" s="1"/>
  <c r="I193" i="3"/>
  <c r="E193" i="3"/>
  <c r="F193" i="3" s="1"/>
  <c r="I192" i="3"/>
  <c r="F192" i="3"/>
  <c r="E192" i="3"/>
  <c r="I191" i="3"/>
  <c r="F191" i="3"/>
  <c r="E191" i="3"/>
  <c r="I190" i="3"/>
  <c r="F190" i="3"/>
  <c r="E190" i="3"/>
  <c r="I189" i="3"/>
  <c r="E189" i="3"/>
  <c r="F189" i="3" s="1"/>
  <c r="I188" i="3"/>
  <c r="F188" i="3"/>
  <c r="E188" i="3"/>
  <c r="I187" i="3"/>
  <c r="E187" i="3"/>
  <c r="F187" i="3" s="1"/>
  <c r="I186" i="3"/>
  <c r="E186" i="3"/>
  <c r="F186" i="3" s="1"/>
  <c r="I185" i="3"/>
  <c r="E185" i="3"/>
  <c r="F185" i="3" s="1"/>
  <c r="I184" i="3"/>
  <c r="F184" i="3"/>
  <c r="E184" i="3"/>
  <c r="I183" i="3"/>
  <c r="F183" i="3"/>
  <c r="E183" i="3"/>
  <c r="I182" i="3"/>
  <c r="F182" i="3"/>
  <c r="E182" i="3"/>
  <c r="I181" i="3"/>
  <c r="E181" i="3"/>
  <c r="F181" i="3" s="1"/>
  <c r="I180" i="3"/>
  <c r="F180" i="3"/>
  <c r="E180" i="3"/>
  <c r="I179" i="3"/>
  <c r="E179" i="3"/>
  <c r="F179" i="3" s="1"/>
  <c r="I178" i="3"/>
  <c r="E178" i="3"/>
  <c r="F178" i="3" s="1"/>
  <c r="I177" i="3"/>
  <c r="E177" i="3"/>
  <c r="F177" i="3" s="1"/>
  <c r="I176" i="3"/>
  <c r="F176" i="3"/>
  <c r="E176" i="3"/>
  <c r="I175" i="3"/>
  <c r="F175" i="3"/>
  <c r="E175" i="3"/>
  <c r="I174" i="3"/>
  <c r="F174" i="3"/>
  <c r="E174" i="3"/>
  <c r="I173" i="3"/>
  <c r="E173" i="3"/>
  <c r="F173" i="3" s="1"/>
  <c r="I172" i="3"/>
  <c r="F172" i="3"/>
  <c r="E172" i="3"/>
  <c r="I171" i="3"/>
  <c r="E171" i="3"/>
  <c r="F171" i="3" s="1"/>
  <c r="I170" i="3"/>
  <c r="E170" i="3"/>
  <c r="F170" i="3" s="1"/>
  <c r="I169" i="3"/>
  <c r="E169" i="3"/>
  <c r="F169" i="3" s="1"/>
  <c r="I168" i="3"/>
  <c r="F168" i="3"/>
  <c r="E168" i="3"/>
  <c r="I167" i="3"/>
  <c r="F167" i="3"/>
  <c r="E167" i="3"/>
  <c r="I166" i="3"/>
  <c r="F166" i="3"/>
  <c r="E166" i="3"/>
  <c r="I165" i="3"/>
  <c r="E165" i="3"/>
  <c r="F165" i="3" s="1"/>
  <c r="I164" i="3"/>
  <c r="F164" i="3"/>
  <c r="E164" i="3"/>
  <c r="I163" i="3"/>
  <c r="E163" i="3"/>
  <c r="F163" i="3" s="1"/>
  <c r="I162" i="3"/>
  <c r="E162" i="3"/>
  <c r="F162" i="3" s="1"/>
  <c r="I161" i="3"/>
  <c r="E161" i="3"/>
  <c r="F161" i="3" s="1"/>
  <c r="I160" i="3"/>
  <c r="F160" i="3"/>
  <c r="E160" i="3"/>
  <c r="I159" i="3"/>
  <c r="F159" i="3"/>
  <c r="E159" i="3"/>
  <c r="I158" i="3"/>
  <c r="F158" i="3"/>
  <c r="E158" i="3"/>
  <c r="I157" i="3"/>
  <c r="E157" i="3"/>
  <c r="F157" i="3" s="1"/>
  <c r="I156" i="3"/>
  <c r="F156" i="3"/>
  <c r="E156" i="3"/>
  <c r="I155" i="3"/>
  <c r="E155" i="3"/>
  <c r="F155" i="3" s="1"/>
  <c r="I154" i="3"/>
  <c r="E154" i="3"/>
  <c r="F154" i="3" s="1"/>
  <c r="I153" i="3"/>
  <c r="E153" i="3"/>
  <c r="F153" i="3" s="1"/>
  <c r="I152" i="3"/>
  <c r="F152" i="3"/>
  <c r="E152" i="3"/>
  <c r="I151" i="3"/>
  <c r="F151" i="3"/>
  <c r="E151" i="3"/>
  <c r="I150" i="3"/>
  <c r="F150" i="3"/>
  <c r="E150" i="3"/>
  <c r="I149" i="3"/>
  <c r="E149" i="3"/>
  <c r="F149" i="3" s="1"/>
  <c r="I148" i="3"/>
  <c r="F148" i="3"/>
  <c r="E148" i="3"/>
  <c r="I147" i="3"/>
  <c r="E147" i="3"/>
  <c r="F147" i="3" s="1"/>
  <c r="I146" i="3"/>
  <c r="E146" i="3"/>
  <c r="F146" i="3" s="1"/>
  <c r="I145" i="3"/>
  <c r="E145" i="3"/>
  <c r="F145" i="3" s="1"/>
  <c r="I144" i="3"/>
  <c r="F144" i="3"/>
  <c r="E144" i="3"/>
  <c r="I143" i="3"/>
  <c r="F143" i="3"/>
  <c r="E143" i="3"/>
  <c r="I142" i="3"/>
  <c r="F142" i="3"/>
  <c r="E142" i="3"/>
  <c r="I141" i="3"/>
  <c r="E141" i="3"/>
  <c r="F141" i="3" s="1"/>
  <c r="I140" i="3"/>
  <c r="F140" i="3"/>
  <c r="E140" i="3"/>
  <c r="I139" i="3"/>
  <c r="E139" i="3"/>
  <c r="F139" i="3" s="1"/>
  <c r="I138" i="3"/>
  <c r="E138" i="3"/>
  <c r="F138" i="3" s="1"/>
  <c r="I137" i="3"/>
  <c r="E137" i="3"/>
  <c r="F137" i="3" s="1"/>
  <c r="I136" i="3"/>
  <c r="F136" i="3"/>
  <c r="E136" i="3"/>
  <c r="I135" i="3"/>
  <c r="F135" i="3"/>
  <c r="E135" i="3"/>
  <c r="I134" i="3"/>
  <c r="F134" i="3"/>
  <c r="E134" i="3"/>
  <c r="I133" i="3"/>
  <c r="E133" i="3"/>
  <c r="F133" i="3" s="1"/>
  <c r="I132" i="3"/>
  <c r="F132" i="3"/>
  <c r="E132" i="3"/>
  <c r="I131" i="3"/>
  <c r="E131" i="3"/>
  <c r="F131" i="3" s="1"/>
  <c r="I130" i="3"/>
  <c r="E130" i="3"/>
  <c r="F130" i="3" s="1"/>
  <c r="I129" i="3"/>
  <c r="E129" i="3"/>
  <c r="F129" i="3" s="1"/>
  <c r="I128" i="3"/>
  <c r="F128" i="3"/>
  <c r="E128" i="3"/>
  <c r="I127" i="3"/>
  <c r="F127" i="3"/>
  <c r="E127" i="3"/>
  <c r="I126" i="3"/>
  <c r="F126" i="3"/>
  <c r="E126" i="3"/>
  <c r="I125" i="3"/>
  <c r="E125" i="3"/>
  <c r="F125" i="3" s="1"/>
  <c r="I124" i="3"/>
  <c r="F124" i="3"/>
  <c r="E124" i="3"/>
  <c r="I123" i="3"/>
  <c r="E123" i="3"/>
  <c r="F123" i="3" s="1"/>
  <c r="I122" i="3"/>
  <c r="E122" i="3"/>
  <c r="F122" i="3" s="1"/>
  <c r="I121" i="3"/>
  <c r="E121" i="3"/>
  <c r="F121" i="3" s="1"/>
  <c r="I120" i="3"/>
  <c r="F120" i="3"/>
  <c r="E120" i="3"/>
  <c r="I119" i="3"/>
  <c r="F119" i="3"/>
  <c r="E119" i="3"/>
  <c r="I118" i="3"/>
  <c r="F118" i="3"/>
  <c r="E118" i="3"/>
  <c r="I117" i="3"/>
  <c r="E117" i="3"/>
  <c r="F117" i="3" s="1"/>
  <c r="I116" i="3"/>
  <c r="F116" i="3"/>
  <c r="E116" i="3"/>
  <c r="I115" i="3"/>
  <c r="E115" i="3"/>
  <c r="F115" i="3" s="1"/>
  <c r="I114" i="3"/>
  <c r="E114" i="3"/>
  <c r="F114" i="3" s="1"/>
  <c r="I113" i="3"/>
  <c r="E113" i="3"/>
  <c r="F113" i="3" s="1"/>
  <c r="I112" i="3"/>
  <c r="F112" i="3"/>
  <c r="E112" i="3"/>
  <c r="I111" i="3"/>
  <c r="F111" i="3"/>
  <c r="E111" i="3"/>
  <c r="I110" i="3"/>
  <c r="F110" i="3"/>
  <c r="E110" i="3"/>
  <c r="I109" i="3"/>
  <c r="E109" i="3"/>
  <c r="F109" i="3" s="1"/>
  <c r="I108" i="3"/>
  <c r="F108" i="3"/>
  <c r="E108" i="3"/>
  <c r="I107" i="3"/>
  <c r="E107" i="3"/>
  <c r="F107" i="3" s="1"/>
  <c r="I106" i="3"/>
  <c r="E106" i="3"/>
  <c r="F106" i="3" s="1"/>
  <c r="I105" i="3"/>
  <c r="E105" i="3"/>
  <c r="F105" i="3" s="1"/>
  <c r="I104" i="3"/>
  <c r="F104" i="3"/>
  <c r="E104" i="3"/>
  <c r="I103" i="3"/>
  <c r="F103" i="3"/>
  <c r="E103" i="3"/>
  <c r="I102" i="3"/>
  <c r="F102" i="3"/>
  <c r="E102" i="3"/>
  <c r="I101" i="3"/>
  <c r="E101" i="3"/>
  <c r="F101" i="3" s="1"/>
  <c r="I100" i="3"/>
  <c r="F100" i="3"/>
  <c r="E100" i="3"/>
  <c r="I99" i="3"/>
  <c r="E99" i="3"/>
  <c r="F99" i="3" s="1"/>
  <c r="I98" i="3"/>
  <c r="E98" i="3"/>
  <c r="F98" i="3" s="1"/>
  <c r="I97" i="3"/>
  <c r="E97" i="3"/>
  <c r="F97" i="3" s="1"/>
  <c r="I96" i="3"/>
  <c r="F96" i="3"/>
  <c r="E96" i="3"/>
  <c r="I95" i="3"/>
  <c r="F95" i="3"/>
  <c r="E95" i="3"/>
  <c r="I94" i="3"/>
  <c r="F94" i="3"/>
  <c r="E94" i="3"/>
  <c r="I93" i="3"/>
  <c r="E93" i="3"/>
  <c r="F93" i="3" s="1"/>
  <c r="I92" i="3"/>
  <c r="F92" i="3"/>
  <c r="E92" i="3"/>
  <c r="I91" i="3"/>
  <c r="E91" i="3"/>
  <c r="F91" i="3" s="1"/>
  <c r="I90" i="3"/>
  <c r="E90" i="3"/>
  <c r="F90" i="3" s="1"/>
  <c r="I89" i="3"/>
  <c r="E89" i="3"/>
  <c r="F89" i="3" s="1"/>
  <c r="I88" i="3"/>
  <c r="F88" i="3"/>
  <c r="E88" i="3"/>
  <c r="I87" i="3"/>
  <c r="F87" i="3"/>
  <c r="E87" i="3"/>
  <c r="I86" i="3"/>
  <c r="F86" i="3"/>
  <c r="E86" i="3"/>
  <c r="I85" i="3"/>
  <c r="E85" i="3"/>
  <c r="F85" i="3" s="1"/>
  <c r="I84" i="3"/>
  <c r="F84" i="3"/>
  <c r="E84" i="3"/>
  <c r="I83" i="3"/>
  <c r="E83" i="3"/>
  <c r="F83" i="3" s="1"/>
  <c r="I82" i="3"/>
  <c r="E82" i="3"/>
  <c r="F82" i="3" s="1"/>
  <c r="I81" i="3"/>
  <c r="E81" i="3"/>
  <c r="F81" i="3" s="1"/>
  <c r="I80" i="3"/>
  <c r="F80" i="3"/>
  <c r="E80" i="3"/>
  <c r="I79" i="3"/>
  <c r="F79" i="3"/>
  <c r="E79" i="3"/>
  <c r="I78" i="3"/>
  <c r="F78" i="3"/>
  <c r="E78" i="3"/>
  <c r="I77" i="3"/>
  <c r="E77" i="3"/>
  <c r="F77" i="3" s="1"/>
  <c r="I76" i="3"/>
  <c r="F76" i="3"/>
  <c r="E76" i="3"/>
  <c r="I75" i="3"/>
  <c r="E75" i="3"/>
  <c r="F75" i="3" s="1"/>
  <c r="I74" i="3"/>
  <c r="E74" i="3"/>
  <c r="F74" i="3" s="1"/>
  <c r="I73" i="3"/>
  <c r="E73" i="3"/>
  <c r="F73" i="3" s="1"/>
  <c r="I72" i="3"/>
  <c r="F72" i="3"/>
  <c r="E72" i="3"/>
  <c r="I71" i="3"/>
  <c r="F71" i="3"/>
  <c r="E71" i="3"/>
  <c r="I70" i="3"/>
  <c r="F70" i="3"/>
  <c r="E70" i="3"/>
  <c r="I69" i="3"/>
  <c r="E69" i="3"/>
  <c r="F69" i="3" s="1"/>
  <c r="I68" i="3"/>
  <c r="F68" i="3"/>
  <c r="E68" i="3"/>
  <c r="I67" i="3"/>
  <c r="E67" i="3"/>
  <c r="F67" i="3" s="1"/>
  <c r="I66" i="3"/>
  <c r="E66" i="3"/>
  <c r="F66" i="3" s="1"/>
  <c r="I65" i="3"/>
  <c r="E65" i="3"/>
  <c r="F65" i="3" s="1"/>
  <c r="I64" i="3"/>
  <c r="F64" i="3"/>
  <c r="E64" i="3"/>
  <c r="I63" i="3"/>
  <c r="F63" i="3"/>
  <c r="E63" i="3"/>
  <c r="I62" i="3"/>
  <c r="F62" i="3"/>
  <c r="E62" i="3"/>
  <c r="I61" i="3"/>
  <c r="E61" i="3"/>
  <c r="F61" i="3" s="1"/>
  <c r="I60" i="3"/>
  <c r="F60" i="3"/>
  <c r="E60" i="3"/>
  <c r="I59" i="3"/>
  <c r="E59" i="3"/>
  <c r="F59" i="3" s="1"/>
  <c r="I58" i="3"/>
  <c r="E58" i="3"/>
  <c r="F58" i="3" s="1"/>
  <c r="I57" i="3"/>
  <c r="E57" i="3"/>
  <c r="F57" i="3" s="1"/>
  <c r="I56" i="3"/>
  <c r="F56" i="3"/>
  <c r="E56" i="3"/>
  <c r="I55" i="3"/>
  <c r="F55" i="3"/>
  <c r="E55" i="3"/>
  <c r="I54" i="3"/>
  <c r="F54" i="3"/>
  <c r="E54" i="3"/>
  <c r="I53" i="3"/>
  <c r="E53" i="3"/>
  <c r="F53" i="3" s="1"/>
  <c r="I52" i="3"/>
  <c r="F52" i="3"/>
  <c r="E52" i="3"/>
  <c r="I51" i="3"/>
  <c r="E51" i="3"/>
  <c r="F51" i="3" s="1"/>
  <c r="I50" i="3"/>
  <c r="E50" i="3"/>
  <c r="F50" i="3" s="1"/>
  <c r="I49" i="3"/>
  <c r="E49" i="3"/>
  <c r="F49" i="3" s="1"/>
  <c r="I48" i="3"/>
  <c r="F48" i="3"/>
  <c r="E48" i="3"/>
  <c r="I47" i="3"/>
  <c r="F47" i="3"/>
  <c r="E47" i="3"/>
  <c r="I46" i="3"/>
  <c r="F46" i="3"/>
  <c r="E46" i="3"/>
  <c r="I45" i="3"/>
  <c r="E45" i="3"/>
  <c r="F45" i="3" s="1"/>
  <c r="I44" i="3"/>
  <c r="F44" i="3"/>
  <c r="E44" i="3"/>
  <c r="I43" i="3"/>
  <c r="E43" i="3"/>
  <c r="F43" i="3" s="1"/>
  <c r="I42" i="3"/>
  <c r="E42" i="3"/>
  <c r="F42" i="3" s="1"/>
  <c r="I41" i="3"/>
  <c r="E41" i="3"/>
  <c r="F41" i="3" s="1"/>
  <c r="I40" i="3"/>
  <c r="F40" i="3"/>
  <c r="E40" i="3"/>
  <c r="I39" i="3"/>
  <c r="F39" i="3"/>
  <c r="E39" i="3"/>
  <c r="I38" i="3"/>
  <c r="F38" i="3"/>
  <c r="E38" i="3"/>
  <c r="I37" i="3"/>
  <c r="E37" i="3"/>
  <c r="F37" i="3" s="1"/>
  <c r="I36" i="3"/>
  <c r="F36" i="3"/>
  <c r="E36" i="3"/>
  <c r="I35" i="3"/>
  <c r="E35" i="3"/>
  <c r="F35" i="3" s="1"/>
  <c r="I34" i="3"/>
  <c r="E34" i="3"/>
  <c r="F34" i="3" s="1"/>
  <c r="I33" i="3"/>
  <c r="E33" i="3"/>
  <c r="F33" i="3" s="1"/>
  <c r="I32" i="3"/>
  <c r="F32" i="3"/>
  <c r="E32" i="3"/>
  <c r="I31" i="3"/>
  <c r="F31" i="3"/>
  <c r="E31" i="3"/>
  <c r="I30" i="3"/>
  <c r="F30" i="3"/>
  <c r="E30" i="3"/>
  <c r="I29" i="3"/>
  <c r="E29" i="3"/>
  <c r="F29" i="3" s="1"/>
  <c r="I28" i="3"/>
  <c r="F28" i="3"/>
  <c r="E28" i="3"/>
  <c r="I27" i="3"/>
  <c r="E27" i="3"/>
  <c r="F27" i="3" s="1"/>
  <c r="I26" i="3"/>
  <c r="E26" i="3"/>
  <c r="F26" i="3" s="1"/>
  <c r="I25" i="3"/>
  <c r="E25" i="3"/>
  <c r="F25" i="3" s="1"/>
  <c r="I24" i="3"/>
  <c r="F24" i="3"/>
  <c r="E24" i="3"/>
  <c r="I23" i="3"/>
  <c r="F23" i="3"/>
  <c r="E23" i="3"/>
  <c r="I22" i="3"/>
  <c r="F22" i="3"/>
  <c r="E22" i="3"/>
  <c r="I21" i="3"/>
  <c r="E21" i="3"/>
  <c r="F21" i="3" s="1"/>
  <c r="I20" i="3"/>
  <c r="F20" i="3"/>
  <c r="E20" i="3"/>
  <c r="I19" i="3"/>
  <c r="E19" i="3"/>
  <c r="F19" i="3" s="1"/>
  <c r="I18" i="3"/>
  <c r="E18" i="3"/>
  <c r="F18" i="3" s="1"/>
  <c r="I17" i="3"/>
  <c r="E17" i="3"/>
  <c r="F17" i="3" s="1"/>
  <c r="I16" i="3"/>
  <c r="F16" i="3"/>
  <c r="E16" i="3"/>
  <c r="I15" i="3"/>
  <c r="F15" i="3"/>
  <c r="E15" i="3"/>
  <c r="I14" i="3"/>
  <c r="F14" i="3"/>
  <c r="E14" i="3"/>
  <c r="I13" i="3"/>
  <c r="E13" i="3"/>
  <c r="F13" i="3" s="1"/>
  <c r="I12" i="3"/>
  <c r="F12" i="3"/>
  <c r="E12" i="3"/>
  <c r="I11" i="3"/>
  <c r="E11" i="3"/>
  <c r="F11" i="3" s="1"/>
  <c r="I10" i="3"/>
  <c r="E10" i="3"/>
  <c r="I9" i="3"/>
  <c r="E9" i="3"/>
  <c r="F9" i="3" s="1"/>
  <c r="I8" i="3"/>
  <c r="F8" i="3"/>
  <c r="E8" i="3"/>
  <c r="I7" i="3"/>
  <c r="F7" i="3"/>
  <c r="E7" i="3"/>
  <c r="I6" i="3"/>
  <c r="F6" i="3"/>
  <c r="E6" i="3"/>
  <c r="I5" i="3"/>
  <c r="E5" i="3"/>
  <c r="F5" i="3" s="1"/>
  <c r="I4" i="3"/>
  <c r="F4" i="3"/>
  <c r="E4" i="3"/>
  <c r="I3" i="3"/>
  <c r="E3" i="3"/>
  <c r="F3" i="3" s="1"/>
  <c r="I2" i="3"/>
  <c r="E2" i="3"/>
  <c r="B25" i="2"/>
  <c r="B24" i="2"/>
  <c r="B23" i="2"/>
  <c r="B19" i="2"/>
  <c r="B16" i="2"/>
  <c r="B15" i="2"/>
  <c r="B14" i="2"/>
  <c r="A10" i="2"/>
  <c r="B9" i="2"/>
  <c r="B8" i="2"/>
  <c r="B7" i="2"/>
  <c r="I914" i="1"/>
  <c r="H914" i="1"/>
  <c r="H913" i="1"/>
  <c r="I913" i="1" s="1"/>
  <c r="H912" i="1"/>
  <c r="I912" i="1" s="1"/>
  <c r="I911" i="1"/>
  <c r="H911" i="1"/>
  <c r="I910" i="1"/>
  <c r="H910" i="1"/>
  <c r="I909" i="1"/>
  <c r="H909" i="1"/>
  <c r="H908" i="1"/>
  <c r="I908" i="1" s="1"/>
  <c r="H907" i="1"/>
  <c r="I907" i="1" s="1"/>
  <c r="I906" i="1"/>
  <c r="H906" i="1"/>
  <c r="H905" i="1"/>
  <c r="I905" i="1" s="1"/>
  <c r="H904" i="1"/>
  <c r="I904" i="1" s="1"/>
  <c r="I903" i="1"/>
  <c r="H903" i="1"/>
  <c r="I902" i="1"/>
  <c r="H902" i="1"/>
  <c r="H901" i="1"/>
  <c r="I901" i="1" s="1"/>
  <c r="H900" i="1"/>
  <c r="I900" i="1" s="1"/>
  <c r="H899" i="1"/>
  <c r="I899" i="1" s="1"/>
  <c r="I898" i="1"/>
  <c r="H898" i="1"/>
  <c r="I897" i="1"/>
  <c r="H897" i="1"/>
  <c r="H896" i="1"/>
  <c r="I896" i="1" s="1"/>
  <c r="I895" i="1"/>
  <c r="H895" i="1"/>
  <c r="I894" i="1"/>
  <c r="H894" i="1"/>
  <c r="H893" i="1"/>
  <c r="I893" i="1" s="1"/>
  <c r="H892" i="1"/>
  <c r="I892" i="1" s="1"/>
  <c r="H891" i="1"/>
  <c r="I891" i="1" s="1"/>
  <c r="I890" i="1"/>
  <c r="H890" i="1"/>
  <c r="I889" i="1"/>
  <c r="H889" i="1"/>
  <c r="H888" i="1"/>
  <c r="I888" i="1" s="1"/>
  <c r="H887" i="1"/>
  <c r="I887" i="1" s="1"/>
  <c r="I886" i="1"/>
  <c r="H886" i="1"/>
  <c r="H885" i="1"/>
  <c r="I885" i="1" s="1"/>
  <c r="H884" i="1"/>
  <c r="I884" i="1" s="1"/>
  <c r="I883" i="1"/>
  <c r="H883" i="1"/>
  <c r="I882" i="1"/>
  <c r="H882" i="1"/>
  <c r="H881" i="1"/>
  <c r="I881" i="1" s="1"/>
  <c r="H880" i="1"/>
  <c r="I880" i="1" s="1"/>
  <c r="I879" i="1"/>
  <c r="H879" i="1"/>
  <c r="I878" i="1"/>
  <c r="H878" i="1"/>
  <c r="I877" i="1"/>
  <c r="H877" i="1"/>
  <c r="H876" i="1"/>
  <c r="I876" i="1" s="1"/>
  <c r="H875" i="1"/>
  <c r="I875" i="1" s="1"/>
  <c r="I874" i="1"/>
  <c r="H874" i="1"/>
  <c r="H873" i="1"/>
  <c r="I873" i="1" s="1"/>
  <c r="H872" i="1"/>
  <c r="I872" i="1" s="1"/>
  <c r="I871" i="1"/>
  <c r="H871" i="1"/>
  <c r="I870" i="1"/>
  <c r="H870" i="1"/>
  <c r="I869" i="1"/>
  <c r="H869" i="1"/>
  <c r="H868" i="1"/>
  <c r="I868" i="1" s="1"/>
  <c r="H867" i="1"/>
  <c r="I867" i="1" s="1"/>
  <c r="I866" i="1"/>
  <c r="H866" i="1"/>
  <c r="I865" i="1"/>
  <c r="H865" i="1"/>
  <c r="H864" i="1"/>
  <c r="I864" i="1" s="1"/>
  <c r="I863" i="1"/>
  <c r="H863" i="1"/>
  <c r="I862" i="1"/>
  <c r="H862" i="1"/>
  <c r="H861" i="1"/>
  <c r="I861" i="1" s="1"/>
  <c r="H860" i="1"/>
  <c r="I860" i="1" s="1"/>
  <c r="I859" i="1"/>
  <c r="H859" i="1"/>
  <c r="I858" i="1"/>
  <c r="H858" i="1"/>
  <c r="I857" i="1"/>
  <c r="H857" i="1"/>
  <c r="H856" i="1"/>
  <c r="I856" i="1" s="1"/>
  <c r="H855" i="1"/>
  <c r="I855" i="1" s="1"/>
  <c r="I854" i="1"/>
  <c r="H854" i="1"/>
  <c r="H853" i="1"/>
  <c r="I853" i="1" s="1"/>
  <c r="H852" i="1"/>
  <c r="I852" i="1" s="1"/>
  <c r="I851" i="1"/>
  <c r="H851" i="1"/>
  <c r="I850" i="1"/>
  <c r="H850" i="1"/>
  <c r="H849" i="1"/>
  <c r="I849" i="1" s="1"/>
  <c r="H848" i="1"/>
  <c r="I848" i="1" s="1"/>
  <c r="I847" i="1"/>
  <c r="H847" i="1"/>
  <c r="I846" i="1"/>
  <c r="H846" i="1"/>
  <c r="I845" i="1"/>
  <c r="H845" i="1"/>
  <c r="H844" i="1"/>
  <c r="I844" i="1" s="1"/>
  <c r="H843" i="1"/>
  <c r="I843" i="1" s="1"/>
  <c r="I842" i="1"/>
  <c r="H842" i="1"/>
  <c r="H841" i="1"/>
  <c r="I841" i="1" s="1"/>
  <c r="H840" i="1"/>
  <c r="I840" i="1" s="1"/>
  <c r="H839" i="1"/>
  <c r="I839" i="1" s="1"/>
  <c r="I838" i="1"/>
  <c r="H838" i="1"/>
  <c r="I837" i="1"/>
  <c r="H837" i="1"/>
  <c r="H836" i="1"/>
  <c r="I836" i="1" s="1"/>
  <c r="H835" i="1"/>
  <c r="I835" i="1" s="1"/>
  <c r="I834" i="1"/>
  <c r="H834" i="1"/>
  <c r="I833" i="1"/>
  <c r="H833" i="1"/>
  <c r="H832" i="1"/>
  <c r="I832" i="1" s="1"/>
  <c r="I831" i="1"/>
  <c r="H831" i="1"/>
  <c r="I830" i="1"/>
  <c r="H830" i="1"/>
  <c r="H829" i="1"/>
  <c r="I829" i="1" s="1"/>
  <c r="H828" i="1"/>
  <c r="I828" i="1" s="1"/>
  <c r="I827" i="1"/>
  <c r="H827" i="1"/>
  <c r="I826" i="1"/>
  <c r="H826" i="1"/>
  <c r="H825" i="1"/>
  <c r="I825" i="1" s="1"/>
  <c r="H824" i="1"/>
  <c r="I824" i="1" s="1"/>
  <c r="H823" i="1"/>
  <c r="I823" i="1" s="1"/>
  <c r="I822" i="1"/>
  <c r="H822" i="1"/>
  <c r="H821" i="1"/>
  <c r="I821" i="1" s="1"/>
  <c r="H820" i="1"/>
  <c r="I820" i="1" s="1"/>
  <c r="I819" i="1"/>
  <c r="H819" i="1"/>
  <c r="I818" i="1"/>
  <c r="H818" i="1"/>
  <c r="H817" i="1"/>
  <c r="I817" i="1" s="1"/>
  <c r="H816" i="1"/>
  <c r="I816" i="1" s="1"/>
  <c r="H815" i="1"/>
  <c r="I815" i="1" s="1"/>
  <c r="I814" i="1"/>
  <c r="H814" i="1"/>
  <c r="I813" i="1"/>
  <c r="H813" i="1"/>
  <c r="H812" i="1"/>
  <c r="I812" i="1" s="1"/>
  <c r="H811" i="1"/>
  <c r="I811" i="1" s="1"/>
  <c r="I810" i="1"/>
  <c r="H810" i="1"/>
  <c r="H809" i="1"/>
  <c r="I809" i="1" s="1"/>
  <c r="H808" i="1"/>
  <c r="I808" i="1" s="1"/>
  <c r="H807" i="1"/>
  <c r="I807" i="1" s="1"/>
  <c r="I806" i="1"/>
  <c r="H806" i="1"/>
  <c r="I805" i="1"/>
  <c r="H805" i="1"/>
  <c r="H804" i="1"/>
  <c r="I804" i="1" s="1"/>
  <c r="H803" i="1"/>
  <c r="I803" i="1" s="1"/>
  <c r="I802" i="1"/>
  <c r="H802" i="1"/>
  <c r="H801" i="1"/>
  <c r="I801" i="1" s="1"/>
  <c r="H800" i="1"/>
  <c r="I800" i="1" s="1"/>
  <c r="I799" i="1"/>
  <c r="H799" i="1"/>
  <c r="I798" i="1"/>
  <c r="H798" i="1"/>
  <c r="I797" i="1"/>
  <c r="H797" i="1"/>
  <c r="H796" i="1"/>
  <c r="I796" i="1" s="1"/>
  <c r="I795" i="1"/>
  <c r="H795" i="1"/>
  <c r="I794" i="1"/>
  <c r="H794" i="1"/>
  <c r="H793" i="1"/>
  <c r="I793" i="1" s="1"/>
  <c r="H792" i="1"/>
  <c r="I792" i="1" s="1"/>
  <c r="H791" i="1"/>
  <c r="I791" i="1" s="1"/>
  <c r="I790" i="1"/>
  <c r="H790" i="1"/>
  <c r="H789" i="1"/>
  <c r="I789" i="1" s="1"/>
  <c r="H788" i="1"/>
  <c r="I788" i="1" s="1"/>
  <c r="H787" i="1"/>
  <c r="I787" i="1" s="1"/>
  <c r="I786" i="1"/>
  <c r="H786" i="1"/>
  <c r="H785" i="1"/>
  <c r="I785" i="1" s="1"/>
  <c r="H784" i="1"/>
  <c r="I784" i="1" s="1"/>
  <c r="H783" i="1"/>
  <c r="I783" i="1" s="1"/>
  <c r="I782" i="1"/>
  <c r="H782" i="1"/>
  <c r="I781" i="1"/>
  <c r="H781" i="1"/>
  <c r="H780" i="1"/>
  <c r="I780" i="1" s="1"/>
  <c r="H779" i="1"/>
  <c r="I779" i="1" s="1"/>
  <c r="I778" i="1"/>
  <c r="H778" i="1"/>
  <c r="H777" i="1"/>
  <c r="I777" i="1" s="1"/>
  <c r="H776" i="1"/>
  <c r="I776" i="1" s="1"/>
  <c r="I775" i="1"/>
  <c r="H775" i="1"/>
  <c r="I774" i="1"/>
  <c r="H774" i="1"/>
  <c r="H773" i="1"/>
  <c r="I773" i="1" s="1"/>
  <c r="H772" i="1"/>
  <c r="I772" i="1" s="1"/>
  <c r="H771" i="1"/>
  <c r="I771" i="1" s="1"/>
  <c r="I770" i="1"/>
  <c r="H770" i="1"/>
  <c r="H769" i="1"/>
  <c r="I769" i="1" s="1"/>
  <c r="H768" i="1"/>
  <c r="I768" i="1" s="1"/>
  <c r="H767" i="1"/>
  <c r="I767" i="1" s="1"/>
  <c r="I766" i="1"/>
  <c r="H766" i="1"/>
  <c r="H765" i="1"/>
  <c r="I765" i="1" s="1"/>
  <c r="I764" i="1"/>
  <c r="H764" i="1"/>
  <c r="H763" i="1"/>
  <c r="I763" i="1" s="1"/>
  <c r="I762" i="1"/>
  <c r="H762" i="1"/>
  <c r="I761" i="1"/>
  <c r="H761" i="1"/>
  <c r="H760" i="1"/>
  <c r="I760" i="1" s="1"/>
  <c r="H759" i="1"/>
  <c r="I759" i="1" s="1"/>
  <c r="I758" i="1"/>
  <c r="H758" i="1"/>
  <c r="H757" i="1"/>
  <c r="I757" i="1" s="1"/>
  <c r="H756" i="1"/>
  <c r="I756" i="1" s="1"/>
  <c r="H755" i="1"/>
  <c r="I755" i="1" s="1"/>
  <c r="I754" i="1"/>
  <c r="H754" i="1"/>
  <c r="I753" i="1"/>
  <c r="H753" i="1"/>
  <c r="I752" i="1"/>
  <c r="H752" i="1"/>
  <c r="H751" i="1"/>
  <c r="I751" i="1" s="1"/>
  <c r="I750" i="1"/>
  <c r="H750" i="1"/>
  <c r="H749" i="1"/>
  <c r="I749" i="1" s="1"/>
  <c r="H748" i="1"/>
  <c r="I748" i="1" s="1"/>
  <c r="H747" i="1"/>
  <c r="I747" i="1" s="1"/>
  <c r="I746" i="1"/>
  <c r="H746" i="1"/>
  <c r="H745" i="1"/>
  <c r="I745" i="1" s="1"/>
  <c r="I744" i="1"/>
  <c r="H744" i="1"/>
  <c r="H743" i="1"/>
  <c r="I743" i="1" s="1"/>
  <c r="I742" i="1"/>
  <c r="H742" i="1"/>
  <c r="I741" i="1"/>
  <c r="H741" i="1"/>
  <c r="H740" i="1"/>
  <c r="I740" i="1" s="1"/>
  <c r="H739" i="1"/>
  <c r="I739" i="1" s="1"/>
  <c r="I738" i="1"/>
  <c r="H738" i="1"/>
  <c r="H737" i="1"/>
  <c r="I737" i="1" s="1"/>
  <c r="H736" i="1"/>
  <c r="I736" i="1" s="1"/>
  <c r="H735" i="1"/>
  <c r="I735" i="1" s="1"/>
  <c r="I734" i="1"/>
  <c r="H734" i="1"/>
  <c r="H733" i="1"/>
  <c r="I733" i="1" s="1"/>
  <c r="I732" i="1"/>
  <c r="H732" i="1"/>
  <c r="H731" i="1"/>
  <c r="I731" i="1" s="1"/>
  <c r="I730" i="1"/>
  <c r="H730" i="1"/>
  <c r="I729" i="1"/>
  <c r="H729" i="1"/>
  <c r="H728" i="1"/>
  <c r="I728" i="1" s="1"/>
  <c r="H727" i="1"/>
  <c r="I727" i="1" s="1"/>
  <c r="I726" i="1"/>
  <c r="H726" i="1"/>
  <c r="H725" i="1"/>
  <c r="I725" i="1" s="1"/>
  <c r="H724" i="1"/>
  <c r="I724" i="1" s="1"/>
  <c r="H723" i="1"/>
  <c r="I723" i="1" s="1"/>
  <c r="I722" i="1"/>
  <c r="H722" i="1"/>
  <c r="I721" i="1"/>
  <c r="H721" i="1"/>
  <c r="I720" i="1"/>
  <c r="H720" i="1"/>
  <c r="H719" i="1"/>
  <c r="I719" i="1" s="1"/>
  <c r="I718" i="1"/>
  <c r="H718" i="1"/>
  <c r="H717" i="1"/>
  <c r="I717" i="1" s="1"/>
  <c r="H716" i="1"/>
  <c r="I716" i="1" s="1"/>
  <c r="H715" i="1"/>
  <c r="I715" i="1" s="1"/>
  <c r="I714" i="1"/>
  <c r="H714" i="1"/>
  <c r="H713" i="1"/>
  <c r="I713" i="1" s="1"/>
  <c r="I712" i="1"/>
  <c r="H712" i="1"/>
  <c r="H711" i="1"/>
  <c r="I711" i="1" s="1"/>
  <c r="I710" i="1"/>
  <c r="H710" i="1"/>
  <c r="I709" i="1"/>
  <c r="H709" i="1"/>
  <c r="H708" i="1"/>
  <c r="I708" i="1" s="1"/>
  <c r="H707" i="1"/>
  <c r="I707" i="1" s="1"/>
  <c r="I706" i="1"/>
  <c r="H706" i="1"/>
  <c r="H705" i="1"/>
  <c r="I705" i="1" s="1"/>
  <c r="H704" i="1"/>
  <c r="I704" i="1" s="1"/>
  <c r="H703" i="1"/>
  <c r="I703" i="1" s="1"/>
  <c r="I702" i="1"/>
  <c r="H702" i="1"/>
  <c r="H701" i="1"/>
  <c r="I701" i="1" s="1"/>
  <c r="I700" i="1"/>
  <c r="H700" i="1"/>
  <c r="H699" i="1"/>
  <c r="I699" i="1" s="1"/>
  <c r="I698" i="1"/>
  <c r="H698" i="1"/>
  <c r="I697" i="1"/>
  <c r="H697" i="1"/>
  <c r="H696" i="1"/>
  <c r="I696" i="1" s="1"/>
  <c r="H695" i="1"/>
  <c r="I695" i="1" s="1"/>
  <c r="I694" i="1"/>
  <c r="H694" i="1"/>
  <c r="H693" i="1"/>
  <c r="I693" i="1" s="1"/>
  <c r="H692" i="1"/>
  <c r="I692" i="1" s="1"/>
  <c r="H691" i="1"/>
  <c r="I691" i="1" s="1"/>
  <c r="I690" i="1"/>
  <c r="H690" i="1"/>
  <c r="I689" i="1"/>
  <c r="H689" i="1"/>
  <c r="I688" i="1"/>
  <c r="H688" i="1"/>
  <c r="H687" i="1"/>
  <c r="I687" i="1" s="1"/>
  <c r="I686" i="1"/>
  <c r="H686" i="1"/>
  <c r="H685" i="1"/>
  <c r="I685" i="1" s="1"/>
  <c r="H684" i="1"/>
  <c r="I684" i="1" s="1"/>
  <c r="H683" i="1"/>
  <c r="I683" i="1" s="1"/>
  <c r="I682" i="1"/>
  <c r="H682" i="1"/>
  <c r="H681" i="1"/>
  <c r="I681" i="1" s="1"/>
  <c r="I680" i="1"/>
  <c r="H680" i="1"/>
  <c r="H679" i="1"/>
  <c r="I679" i="1" s="1"/>
  <c r="I678" i="1"/>
  <c r="H678" i="1"/>
  <c r="I677" i="1"/>
  <c r="H677" i="1"/>
  <c r="H676" i="1"/>
  <c r="I676" i="1" s="1"/>
  <c r="H675" i="1"/>
  <c r="I675" i="1" s="1"/>
  <c r="I674" i="1"/>
  <c r="H674" i="1"/>
  <c r="H673" i="1"/>
  <c r="I673" i="1" s="1"/>
  <c r="H672" i="1"/>
  <c r="I672" i="1" s="1"/>
  <c r="H671" i="1"/>
  <c r="I671" i="1" s="1"/>
  <c r="I670" i="1"/>
  <c r="H670" i="1"/>
  <c r="H669" i="1"/>
  <c r="I669" i="1" s="1"/>
  <c r="I668" i="1"/>
  <c r="H668" i="1"/>
  <c r="H667" i="1"/>
  <c r="I667" i="1" s="1"/>
  <c r="I666" i="1"/>
  <c r="H666" i="1"/>
  <c r="I665" i="1"/>
  <c r="H665" i="1"/>
  <c r="H664" i="1"/>
  <c r="I664" i="1" s="1"/>
  <c r="H663" i="1"/>
  <c r="I663" i="1" s="1"/>
  <c r="I662" i="1"/>
  <c r="H662" i="1"/>
  <c r="H661" i="1"/>
  <c r="I661" i="1" s="1"/>
  <c r="H660" i="1"/>
  <c r="I660" i="1" s="1"/>
  <c r="H659" i="1"/>
  <c r="I659" i="1" s="1"/>
  <c r="I658" i="1"/>
  <c r="H658" i="1"/>
  <c r="I657" i="1"/>
  <c r="H657" i="1"/>
  <c r="I656" i="1"/>
  <c r="H656" i="1"/>
  <c r="H655" i="1"/>
  <c r="I655" i="1" s="1"/>
  <c r="I654" i="1"/>
  <c r="H654" i="1"/>
  <c r="I653" i="1"/>
  <c r="H653" i="1"/>
  <c r="H652" i="1"/>
  <c r="I652" i="1" s="1"/>
  <c r="H651" i="1"/>
  <c r="I651" i="1" s="1"/>
  <c r="I650" i="1"/>
  <c r="H650" i="1"/>
  <c r="H649" i="1"/>
  <c r="I649" i="1" s="1"/>
  <c r="I648" i="1"/>
  <c r="H648" i="1"/>
  <c r="H647" i="1"/>
  <c r="I647" i="1" s="1"/>
  <c r="I646" i="1"/>
  <c r="H646" i="1"/>
  <c r="I645" i="1"/>
  <c r="H645" i="1"/>
  <c r="I644" i="1"/>
  <c r="H644" i="1"/>
  <c r="H643" i="1"/>
  <c r="I643" i="1" s="1"/>
  <c r="I642" i="1"/>
  <c r="H642" i="1"/>
  <c r="H641" i="1"/>
  <c r="I641" i="1" s="1"/>
  <c r="H640" i="1"/>
  <c r="I640" i="1" s="1"/>
  <c r="H639" i="1"/>
  <c r="I639" i="1" s="1"/>
  <c r="I638" i="1"/>
  <c r="H638" i="1"/>
  <c r="H637" i="1"/>
  <c r="I637" i="1" s="1"/>
  <c r="I636" i="1"/>
  <c r="H636" i="1"/>
  <c r="H635" i="1"/>
  <c r="I635" i="1" s="1"/>
  <c r="I634" i="1"/>
  <c r="H634" i="1"/>
  <c r="I633" i="1"/>
  <c r="H633" i="1"/>
  <c r="H632" i="1"/>
  <c r="I632" i="1" s="1"/>
  <c r="H631" i="1"/>
  <c r="I631" i="1" s="1"/>
  <c r="I630" i="1"/>
  <c r="H630" i="1"/>
  <c r="H629" i="1"/>
  <c r="I629" i="1" s="1"/>
  <c r="H628" i="1"/>
  <c r="I628" i="1" s="1"/>
  <c r="H627" i="1"/>
  <c r="I627" i="1" s="1"/>
  <c r="I626" i="1"/>
  <c r="H626" i="1"/>
  <c r="I625" i="1"/>
  <c r="H625" i="1"/>
  <c r="I624" i="1"/>
  <c r="H624" i="1"/>
  <c r="H623" i="1"/>
  <c r="I623" i="1" s="1"/>
  <c r="I622" i="1"/>
  <c r="H622" i="1"/>
  <c r="I621" i="1"/>
  <c r="H621" i="1"/>
  <c r="H620" i="1"/>
  <c r="I620" i="1" s="1"/>
  <c r="H619" i="1"/>
  <c r="I619" i="1" s="1"/>
  <c r="I618" i="1"/>
  <c r="H618" i="1"/>
  <c r="H617" i="1"/>
  <c r="I617" i="1" s="1"/>
  <c r="I616" i="1"/>
  <c r="H616" i="1"/>
  <c r="H615" i="1"/>
  <c r="I615" i="1" s="1"/>
  <c r="I614" i="1"/>
  <c r="H614" i="1"/>
  <c r="I613" i="1"/>
  <c r="H613" i="1"/>
  <c r="I612" i="1"/>
  <c r="H612" i="1"/>
  <c r="H611" i="1"/>
  <c r="I611" i="1" s="1"/>
  <c r="I610" i="1"/>
  <c r="H610" i="1"/>
  <c r="H609" i="1"/>
  <c r="I609" i="1" s="1"/>
  <c r="H608" i="1"/>
  <c r="I608" i="1" s="1"/>
  <c r="H607" i="1"/>
  <c r="I607" i="1" s="1"/>
  <c r="I606" i="1"/>
  <c r="H606" i="1"/>
  <c r="H605" i="1"/>
  <c r="I605" i="1" s="1"/>
  <c r="I604" i="1"/>
  <c r="H604" i="1"/>
  <c r="H603" i="1"/>
  <c r="I603" i="1" s="1"/>
  <c r="I602" i="1"/>
  <c r="H602" i="1"/>
  <c r="I601" i="1"/>
  <c r="H601" i="1"/>
  <c r="H600" i="1"/>
  <c r="I600" i="1" s="1"/>
  <c r="H599" i="1"/>
  <c r="I599" i="1" s="1"/>
  <c r="I598" i="1"/>
  <c r="H598" i="1"/>
  <c r="H597" i="1"/>
  <c r="I597" i="1" s="1"/>
  <c r="H596" i="1"/>
  <c r="I596" i="1" s="1"/>
  <c r="H595" i="1"/>
  <c r="I595" i="1" s="1"/>
  <c r="I594" i="1"/>
  <c r="H594" i="1"/>
  <c r="I593" i="1"/>
  <c r="H593" i="1"/>
  <c r="I592" i="1"/>
  <c r="H592" i="1"/>
  <c r="H591" i="1"/>
  <c r="I591" i="1" s="1"/>
  <c r="I590" i="1"/>
  <c r="H590" i="1"/>
  <c r="I589" i="1"/>
  <c r="H589" i="1"/>
  <c r="H588" i="1"/>
  <c r="I588" i="1" s="1"/>
  <c r="H587" i="1"/>
  <c r="I587" i="1" s="1"/>
  <c r="I586" i="1"/>
  <c r="H586" i="1"/>
  <c r="H585" i="1"/>
  <c r="I585" i="1" s="1"/>
  <c r="I584" i="1"/>
  <c r="H584" i="1"/>
  <c r="H583" i="1"/>
  <c r="I583" i="1" s="1"/>
  <c r="I582" i="1"/>
  <c r="H582" i="1"/>
  <c r="I581" i="1"/>
  <c r="H581" i="1"/>
  <c r="I580" i="1"/>
  <c r="H580" i="1"/>
  <c r="H579" i="1"/>
  <c r="I579" i="1" s="1"/>
  <c r="I578" i="1"/>
  <c r="H578" i="1"/>
  <c r="H577" i="1"/>
  <c r="I577" i="1" s="1"/>
  <c r="H576" i="1"/>
  <c r="I576" i="1" s="1"/>
  <c r="H575" i="1"/>
  <c r="I575" i="1" s="1"/>
  <c r="I574" i="1"/>
  <c r="H574" i="1"/>
  <c r="H573" i="1"/>
  <c r="I573" i="1" s="1"/>
  <c r="I572" i="1"/>
  <c r="H572" i="1"/>
  <c r="H571" i="1"/>
  <c r="I571" i="1" s="1"/>
  <c r="I570" i="1"/>
  <c r="H570" i="1"/>
  <c r="I569" i="1"/>
  <c r="H569" i="1"/>
  <c r="H568" i="1"/>
  <c r="I568" i="1" s="1"/>
  <c r="H567" i="1"/>
  <c r="I567" i="1" s="1"/>
  <c r="I566" i="1"/>
  <c r="H566" i="1"/>
  <c r="H565" i="1"/>
  <c r="I565" i="1" s="1"/>
  <c r="H564" i="1"/>
  <c r="I564" i="1" s="1"/>
  <c r="H563" i="1"/>
  <c r="I563" i="1" s="1"/>
  <c r="I562" i="1"/>
  <c r="H562" i="1"/>
  <c r="I561" i="1"/>
  <c r="H561" i="1"/>
  <c r="I560" i="1"/>
  <c r="H560" i="1"/>
  <c r="H559" i="1"/>
  <c r="I559" i="1" s="1"/>
  <c r="I558" i="1"/>
  <c r="H558" i="1"/>
  <c r="I557" i="1"/>
  <c r="H557" i="1"/>
  <c r="H556" i="1"/>
  <c r="I556" i="1" s="1"/>
  <c r="H555" i="1"/>
  <c r="I555" i="1" s="1"/>
  <c r="I554" i="1"/>
  <c r="H554" i="1"/>
  <c r="H553" i="1"/>
  <c r="I553" i="1" s="1"/>
  <c r="I552" i="1"/>
  <c r="H552" i="1"/>
  <c r="H551" i="1"/>
  <c r="I551" i="1" s="1"/>
  <c r="I550" i="1"/>
  <c r="H550" i="1"/>
  <c r="I549" i="1"/>
  <c r="H549" i="1"/>
  <c r="I548" i="1"/>
  <c r="H548" i="1"/>
  <c r="H547" i="1"/>
  <c r="I547" i="1" s="1"/>
  <c r="I546" i="1"/>
  <c r="H546" i="1"/>
  <c r="H545" i="1"/>
  <c r="I545" i="1" s="1"/>
  <c r="H544" i="1"/>
  <c r="I544" i="1" s="1"/>
  <c r="H543" i="1"/>
  <c r="I543" i="1" s="1"/>
  <c r="I542" i="1"/>
  <c r="H542" i="1"/>
  <c r="H541" i="1"/>
  <c r="I541" i="1" s="1"/>
  <c r="I540" i="1"/>
  <c r="H540" i="1"/>
  <c r="H539" i="1"/>
  <c r="I539" i="1" s="1"/>
  <c r="I538" i="1"/>
  <c r="H538" i="1"/>
  <c r="I537" i="1"/>
  <c r="H537" i="1"/>
  <c r="H536" i="1"/>
  <c r="I536" i="1" s="1"/>
  <c r="H535" i="1"/>
  <c r="I535" i="1" s="1"/>
  <c r="I534" i="1"/>
  <c r="H534" i="1"/>
  <c r="H533" i="1"/>
  <c r="I533" i="1" s="1"/>
  <c r="H532" i="1"/>
  <c r="I532" i="1" s="1"/>
  <c r="H531" i="1"/>
  <c r="I531" i="1" s="1"/>
  <c r="I530" i="1"/>
  <c r="H530" i="1"/>
  <c r="I529" i="1"/>
  <c r="H529" i="1"/>
  <c r="I528" i="1"/>
  <c r="H528" i="1"/>
  <c r="H527" i="1"/>
  <c r="I527" i="1" s="1"/>
  <c r="I526" i="1"/>
  <c r="H526" i="1"/>
  <c r="I525" i="1"/>
  <c r="H525" i="1"/>
  <c r="H524" i="1"/>
  <c r="I524" i="1" s="1"/>
  <c r="H523" i="1"/>
  <c r="I523" i="1" s="1"/>
  <c r="I522" i="1"/>
  <c r="H522" i="1"/>
  <c r="H521" i="1"/>
  <c r="I521" i="1" s="1"/>
  <c r="I520" i="1"/>
  <c r="H520" i="1"/>
  <c r="H519" i="1"/>
  <c r="I519" i="1" s="1"/>
  <c r="I518" i="1"/>
  <c r="H518" i="1"/>
  <c r="I517" i="1"/>
  <c r="H517" i="1"/>
  <c r="I516" i="1"/>
  <c r="H516" i="1"/>
  <c r="H515" i="1"/>
  <c r="I515" i="1" s="1"/>
  <c r="I514" i="1"/>
  <c r="H514" i="1"/>
  <c r="H513" i="1"/>
  <c r="I513" i="1" s="1"/>
  <c r="H512" i="1"/>
  <c r="I512" i="1" s="1"/>
  <c r="H511" i="1"/>
  <c r="I511" i="1" s="1"/>
  <c r="I510" i="1"/>
  <c r="H510" i="1"/>
  <c r="H509" i="1"/>
  <c r="I509" i="1" s="1"/>
  <c r="I508" i="1"/>
  <c r="H508" i="1"/>
  <c r="H507" i="1"/>
  <c r="I507" i="1" s="1"/>
  <c r="I506" i="1"/>
  <c r="H506" i="1"/>
  <c r="I505" i="1"/>
  <c r="H505" i="1"/>
  <c r="H504" i="1"/>
  <c r="I504" i="1" s="1"/>
  <c r="H503" i="1"/>
  <c r="I503" i="1" s="1"/>
  <c r="I502" i="1"/>
  <c r="H502" i="1"/>
  <c r="H501" i="1"/>
  <c r="I501" i="1" s="1"/>
  <c r="H500" i="1"/>
  <c r="I500" i="1" s="1"/>
  <c r="H499" i="1"/>
  <c r="I499" i="1" s="1"/>
  <c r="I498" i="1"/>
  <c r="H498" i="1"/>
  <c r="I497" i="1"/>
  <c r="H497" i="1"/>
  <c r="I496" i="1"/>
  <c r="H496" i="1"/>
  <c r="H495" i="1"/>
  <c r="I495" i="1" s="1"/>
  <c r="I494" i="1"/>
  <c r="H494" i="1"/>
  <c r="I493" i="1"/>
  <c r="H493" i="1"/>
  <c r="H492" i="1"/>
  <c r="I492" i="1" s="1"/>
  <c r="H491" i="1"/>
  <c r="I491" i="1" s="1"/>
  <c r="I490" i="1"/>
  <c r="H490" i="1"/>
  <c r="H489" i="1"/>
  <c r="I489" i="1" s="1"/>
  <c r="I488" i="1"/>
  <c r="H488" i="1"/>
  <c r="H487" i="1"/>
  <c r="I487" i="1" s="1"/>
  <c r="I486" i="1"/>
  <c r="H486" i="1"/>
  <c r="I485" i="1"/>
  <c r="H485" i="1"/>
  <c r="I484" i="1"/>
  <c r="H484" i="1"/>
  <c r="H483" i="1"/>
  <c r="I483" i="1" s="1"/>
  <c r="I482" i="1"/>
  <c r="H482" i="1"/>
  <c r="H481" i="1"/>
  <c r="I481" i="1" s="1"/>
  <c r="H480" i="1"/>
  <c r="I480" i="1" s="1"/>
  <c r="I479" i="1"/>
  <c r="H479" i="1"/>
  <c r="I478" i="1"/>
  <c r="H478" i="1"/>
  <c r="H477" i="1"/>
  <c r="I477" i="1" s="1"/>
  <c r="H476" i="1"/>
  <c r="I476" i="1" s="1"/>
  <c r="I475" i="1"/>
  <c r="H475" i="1"/>
  <c r="I474" i="1"/>
  <c r="H474" i="1"/>
  <c r="H473" i="1"/>
  <c r="I473" i="1" s="1"/>
  <c r="H472" i="1"/>
  <c r="I472" i="1" s="1"/>
  <c r="I471" i="1"/>
  <c r="H471" i="1"/>
  <c r="I470" i="1"/>
  <c r="H470" i="1"/>
  <c r="H469" i="1"/>
  <c r="I469" i="1" s="1"/>
  <c r="H468" i="1"/>
  <c r="I468" i="1" s="1"/>
  <c r="I467" i="1"/>
  <c r="H467" i="1"/>
  <c r="I466" i="1"/>
  <c r="H466" i="1"/>
  <c r="H465" i="1"/>
  <c r="I465" i="1" s="1"/>
  <c r="H464" i="1"/>
  <c r="I464" i="1" s="1"/>
  <c r="I463" i="1"/>
  <c r="H463" i="1"/>
  <c r="I462" i="1"/>
  <c r="H462" i="1"/>
  <c r="H461" i="1"/>
  <c r="I461" i="1" s="1"/>
  <c r="H460" i="1"/>
  <c r="I460" i="1" s="1"/>
  <c r="I459" i="1"/>
  <c r="H459" i="1"/>
  <c r="I458" i="1"/>
  <c r="H458" i="1"/>
  <c r="H457" i="1"/>
  <c r="I457" i="1" s="1"/>
  <c r="H456" i="1"/>
  <c r="I456" i="1" s="1"/>
  <c r="I455" i="1"/>
  <c r="H455" i="1"/>
  <c r="I454" i="1"/>
  <c r="H454" i="1"/>
  <c r="H453" i="1"/>
  <c r="I453" i="1" s="1"/>
  <c r="H452" i="1"/>
  <c r="I452" i="1" s="1"/>
  <c r="I451" i="1"/>
  <c r="H451" i="1"/>
  <c r="I450" i="1"/>
  <c r="H450" i="1"/>
  <c r="H449" i="1"/>
  <c r="I449" i="1" s="1"/>
  <c r="H448" i="1"/>
  <c r="I448" i="1" s="1"/>
  <c r="I447" i="1"/>
  <c r="H447" i="1"/>
  <c r="I446" i="1"/>
  <c r="H446" i="1"/>
  <c r="H445" i="1"/>
  <c r="I445" i="1" s="1"/>
  <c r="H444" i="1"/>
  <c r="I444" i="1" s="1"/>
  <c r="I443" i="1"/>
  <c r="H443" i="1"/>
  <c r="I442" i="1"/>
  <c r="H442" i="1"/>
  <c r="H441" i="1"/>
  <c r="I441" i="1" s="1"/>
  <c r="H440" i="1"/>
  <c r="I440" i="1" s="1"/>
  <c r="I439" i="1"/>
  <c r="H439" i="1"/>
  <c r="I438" i="1"/>
  <c r="H438" i="1"/>
  <c r="H437" i="1"/>
  <c r="I437" i="1" s="1"/>
  <c r="H436" i="1"/>
  <c r="I436" i="1" s="1"/>
  <c r="I435" i="1"/>
  <c r="H435" i="1"/>
  <c r="I434" i="1"/>
  <c r="H434" i="1"/>
  <c r="H433" i="1"/>
  <c r="I433" i="1" s="1"/>
  <c r="H432" i="1"/>
  <c r="I432" i="1" s="1"/>
  <c r="I431" i="1"/>
  <c r="H431" i="1"/>
  <c r="I430" i="1"/>
  <c r="H430" i="1"/>
  <c r="H429" i="1"/>
  <c r="I429" i="1" s="1"/>
  <c r="H428" i="1"/>
  <c r="I428" i="1" s="1"/>
  <c r="I427" i="1"/>
  <c r="H427" i="1"/>
  <c r="I426" i="1"/>
  <c r="H426" i="1"/>
  <c r="H425" i="1"/>
  <c r="I425" i="1" s="1"/>
  <c r="H424" i="1"/>
  <c r="I424" i="1" s="1"/>
  <c r="I423" i="1"/>
  <c r="H423" i="1"/>
  <c r="I422" i="1"/>
  <c r="H422" i="1"/>
  <c r="H421" i="1"/>
  <c r="I421" i="1" s="1"/>
  <c r="H420" i="1"/>
  <c r="I420" i="1" s="1"/>
  <c r="I419" i="1"/>
  <c r="H419" i="1"/>
  <c r="I418" i="1"/>
  <c r="H418" i="1"/>
  <c r="H417" i="1"/>
  <c r="I417" i="1" s="1"/>
  <c r="H416" i="1"/>
  <c r="I416" i="1" s="1"/>
  <c r="I415" i="1"/>
  <c r="H415" i="1"/>
  <c r="I414" i="1"/>
  <c r="H414" i="1"/>
  <c r="H413" i="1"/>
  <c r="I413" i="1" s="1"/>
  <c r="H412" i="1"/>
  <c r="I412" i="1" s="1"/>
  <c r="I411" i="1"/>
  <c r="H411" i="1"/>
  <c r="I410" i="1"/>
  <c r="H410" i="1"/>
  <c r="H409" i="1"/>
  <c r="I409" i="1" s="1"/>
  <c r="H408" i="1"/>
  <c r="I408" i="1" s="1"/>
  <c r="I407" i="1"/>
  <c r="H407" i="1"/>
  <c r="I406" i="1"/>
  <c r="H406" i="1"/>
  <c r="H405" i="1"/>
  <c r="I405" i="1" s="1"/>
  <c r="H404" i="1"/>
  <c r="I404" i="1" s="1"/>
  <c r="I403" i="1"/>
  <c r="H403" i="1"/>
  <c r="I402" i="1"/>
  <c r="H402" i="1"/>
  <c r="H401" i="1"/>
  <c r="I401" i="1" s="1"/>
  <c r="H400" i="1"/>
  <c r="I400" i="1" s="1"/>
  <c r="I399" i="1"/>
  <c r="H399" i="1"/>
  <c r="I398" i="1"/>
  <c r="H398" i="1"/>
  <c r="H397" i="1"/>
  <c r="I397" i="1" s="1"/>
  <c r="H396" i="1"/>
  <c r="I396" i="1" s="1"/>
  <c r="I395" i="1"/>
  <c r="H395" i="1"/>
  <c r="I394" i="1"/>
  <c r="H394" i="1"/>
  <c r="H393" i="1"/>
  <c r="I393" i="1" s="1"/>
  <c r="H392" i="1"/>
  <c r="I392" i="1" s="1"/>
  <c r="I391" i="1"/>
  <c r="H391" i="1"/>
  <c r="I390" i="1"/>
  <c r="H390" i="1"/>
  <c r="H389" i="1"/>
  <c r="I389" i="1" s="1"/>
  <c r="H388" i="1"/>
  <c r="I388" i="1" s="1"/>
  <c r="I387" i="1"/>
  <c r="H387" i="1"/>
  <c r="I386" i="1"/>
  <c r="H386" i="1"/>
  <c r="H385" i="1"/>
  <c r="I385" i="1" s="1"/>
  <c r="H384" i="1"/>
  <c r="I384" i="1" s="1"/>
  <c r="I383" i="1"/>
  <c r="H383" i="1"/>
  <c r="I382" i="1"/>
  <c r="H382" i="1"/>
  <c r="H381" i="1"/>
  <c r="I381" i="1" s="1"/>
  <c r="H380" i="1"/>
  <c r="I380" i="1" s="1"/>
  <c r="I379" i="1"/>
  <c r="H379" i="1"/>
  <c r="I378" i="1"/>
  <c r="H378" i="1"/>
  <c r="H377" i="1"/>
  <c r="I377" i="1" s="1"/>
  <c r="H376" i="1"/>
  <c r="I376" i="1" s="1"/>
  <c r="I375" i="1"/>
  <c r="H375" i="1"/>
  <c r="I374" i="1"/>
  <c r="H374" i="1"/>
  <c r="H373" i="1"/>
  <c r="I373" i="1" s="1"/>
  <c r="H372" i="1"/>
  <c r="I372" i="1" s="1"/>
  <c r="I371" i="1"/>
  <c r="H371" i="1"/>
  <c r="I370" i="1"/>
  <c r="H370" i="1"/>
  <c r="H369" i="1"/>
  <c r="I369" i="1" s="1"/>
  <c r="H368" i="1"/>
  <c r="I368" i="1" s="1"/>
  <c r="I367" i="1"/>
  <c r="H367" i="1"/>
  <c r="I366" i="1"/>
  <c r="H366" i="1"/>
  <c r="H365" i="1"/>
  <c r="I365" i="1" s="1"/>
  <c r="H364" i="1"/>
  <c r="I364" i="1" s="1"/>
  <c r="I363" i="1"/>
  <c r="H363" i="1"/>
  <c r="I362" i="1"/>
  <c r="H362" i="1"/>
  <c r="H361" i="1"/>
  <c r="I361" i="1" s="1"/>
  <c r="H360" i="1"/>
  <c r="I360" i="1" s="1"/>
  <c r="I359" i="1"/>
  <c r="H359" i="1"/>
  <c r="I358" i="1"/>
  <c r="H358" i="1"/>
  <c r="H357" i="1"/>
  <c r="I357" i="1" s="1"/>
  <c r="H356" i="1"/>
  <c r="I356" i="1" s="1"/>
  <c r="I355" i="1"/>
  <c r="H355" i="1"/>
  <c r="I354" i="1"/>
  <c r="H354" i="1"/>
  <c r="H353" i="1"/>
  <c r="I353" i="1" s="1"/>
  <c r="H352" i="1"/>
  <c r="I352" i="1" s="1"/>
  <c r="I351" i="1"/>
  <c r="H351" i="1"/>
  <c r="I350" i="1"/>
  <c r="H350" i="1"/>
  <c r="H349" i="1"/>
  <c r="I349" i="1" s="1"/>
  <c r="H348" i="1"/>
  <c r="I348" i="1" s="1"/>
  <c r="I347" i="1"/>
  <c r="H347" i="1"/>
  <c r="I346" i="1"/>
  <c r="H346" i="1"/>
  <c r="H345" i="1"/>
  <c r="I345" i="1" s="1"/>
  <c r="H344" i="1"/>
  <c r="I344" i="1" s="1"/>
  <c r="I343" i="1"/>
  <c r="H343" i="1"/>
  <c r="I342" i="1"/>
  <c r="H342" i="1"/>
  <c r="H341" i="1"/>
  <c r="I341" i="1" s="1"/>
  <c r="H340" i="1"/>
  <c r="I340" i="1" s="1"/>
  <c r="I339" i="1"/>
  <c r="H339" i="1"/>
  <c r="I338" i="1"/>
  <c r="H338" i="1"/>
  <c r="H337" i="1"/>
  <c r="I337" i="1" s="1"/>
  <c r="H336" i="1"/>
  <c r="I336" i="1" s="1"/>
  <c r="I335" i="1"/>
  <c r="H335" i="1"/>
  <c r="I334" i="1"/>
  <c r="H334" i="1"/>
  <c r="H333" i="1"/>
  <c r="I333" i="1" s="1"/>
  <c r="H332" i="1"/>
  <c r="I332" i="1" s="1"/>
  <c r="I331" i="1"/>
  <c r="H331" i="1"/>
  <c r="I330" i="1"/>
  <c r="H330" i="1"/>
  <c r="H329" i="1"/>
  <c r="I329" i="1" s="1"/>
  <c r="H328" i="1"/>
  <c r="I328" i="1" s="1"/>
  <c r="I327" i="1"/>
  <c r="H327" i="1"/>
  <c r="I326" i="1"/>
  <c r="H326" i="1"/>
  <c r="H325" i="1"/>
  <c r="I325" i="1" s="1"/>
  <c r="H324" i="1"/>
  <c r="I324" i="1" s="1"/>
  <c r="I323" i="1"/>
  <c r="H323" i="1"/>
  <c r="I322" i="1"/>
  <c r="H322" i="1"/>
  <c r="H321" i="1"/>
  <c r="I321" i="1" s="1"/>
  <c r="H320" i="1"/>
  <c r="I320" i="1" s="1"/>
  <c r="I319" i="1"/>
  <c r="H319" i="1"/>
  <c r="I318" i="1"/>
  <c r="H318" i="1"/>
  <c r="H317" i="1"/>
  <c r="I317" i="1" s="1"/>
  <c r="H316" i="1"/>
  <c r="I316" i="1" s="1"/>
  <c r="I315" i="1"/>
  <c r="H315" i="1"/>
  <c r="I314" i="1"/>
  <c r="H314" i="1"/>
  <c r="H313" i="1"/>
  <c r="I313" i="1" s="1"/>
  <c r="H312" i="1"/>
  <c r="I312" i="1" s="1"/>
  <c r="I311" i="1"/>
  <c r="H311" i="1"/>
  <c r="I310" i="1"/>
  <c r="H310" i="1"/>
  <c r="H309" i="1"/>
  <c r="I309" i="1" s="1"/>
  <c r="H308" i="1"/>
  <c r="I308" i="1" s="1"/>
  <c r="I307" i="1"/>
  <c r="H307" i="1"/>
  <c r="I306" i="1"/>
  <c r="H306" i="1"/>
  <c r="H305" i="1"/>
  <c r="I305" i="1" s="1"/>
  <c r="H304" i="1"/>
  <c r="I304" i="1" s="1"/>
  <c r="I303" i="1"/>
  <c r="H303" i="1"/>
  <c r="I302" i="1"/>
  <c r="H302" i="1"/>
  <c r="H301" i="1"/>
  <c r="I301" i="1" s="1"/>
  <c r="H300" i="1"/>
  <c r="I300" i="1" s="1"/>
  <c r="I299" i="1"/>
  <c r="H299" i="1"/>
  <c r="I298" i="1"/>
  <c r="H298" i="1"/>
  <c r="H297" i="1"/>
  <c r="I297" i="1" s="1"/>
  <c r="H296" i="1"/>
  <c r="I296" i="1" s="1"/>
  <c r="I295" i="1"/>
  <c r="H295" i="1"/>
  <c r="I294" i="1"/>
  <c r="H294" i="1"/>
  <c r="H293" i="1"/>
  <c r="I293" i="1" s="1"/>
  <c r="H292" i="1"/>
  <c r="I292" i="1" s="1"/>
  <c r="I291" i="1"/>
  <c r="H291" i="1"/>
  <c r="I290" i="1"/>
  <c r="H290" i="1"/>
  <c r="H289" i="1"/>
  <c r="I289" i="1" s="1"/>
  <c r="H288" i="1"/>
  <c r="I288" i="1" s="1"/>
  <c r="I287" i="1"/>
  <c r="H287" i="1"/>
  <c r="I286" i="1"/>
  <c r="H286" i="1"/>
  <c r="H285" i="1"/>
  <c r="I285" i="1" s="1"/>
  <c r="H284" i="1"/>
  <c r="I284" i="1" s="1"/>
  <c r="I283" i="1"/>
  <c r="H283" i="1"/>
  <c r="I282" i="1"/>
  <c r="H282" i="1"/>
  <c r="H281" i="1"/>
  <c r="I281" i="1" s="1"/>
  <c r="H280" i="1"/>
  <c r="I280" i="1" s="1"/>
  <c r="I279" i="1"/>
  <c r="H279" i="1"/>
  <c r="I278" i="1"/>
  <c r="H278" i="1"/>
  <c r="H277" i="1"/>
  <c r="I277" i="1" s="1"/>
  <c r="H276" i="1"/>
  <c r="I276" i="1" s="1"/>
  <c r="I275" i="1"/>
  <c r="H275" i="1"/>
  <c r="I274" i="1"/>
  <c r="H274" i="1"/>
  <c r="H273" i="1"/>
  <c r="I273" i="1" s="1"/>
  <c r="H272" i="1"/>
  <c r="I272" i="1" s="1"/>
  <c r="I271" i="1"/>
  <c r="H271" i="1"/>
  <c r="I270" i="1"/>
  <c r="H270" i="1"/>
  <c r="H269" i="1"/>
  <c r="I269" i="1" s="1"/>
  <c r="H268" i="1"/>
  <c r="I268" i="1" s="1"/>
  <c r="I267" i="1"/>
  <c r="H267" i="1"/>
  <c r="I266" i="1"/>
  <c r="H266" i="1"/>
  <c r="H265" i="1"/>
  <c r="I265" i="1" s="1"/>
  <c r="H264" i="1"/>
  <c r="I264" i="1" s="1"/>
  <c r="I263" i="1"/>
  <c r="H263" i="1"/>
  <c r="I262" i="1"/>
  <c r="H262" i="1"/>
  <c r="H261" i="1"/>
  <c r="I261" i="1" s="1"/>
  <c r="H260" i="1"/>
  <c r="I260" i="1" s="1"/>
  <c r="I259" i="1"/>
  <c r="H259" i="1"/>
  <c r="I258" i="1"/>
  <c r="H258" i="1"/>
  <c r="H257" i="1"/>
  <c r="I257" i="1" s="1"/>
  <c r="H256" i="1"/>
  <c r="I256" i="1" s="1"/>
  <c r="I255" i="1"/>
  <c r="H255" i="1"/>
  <c r="I254" i="1"/>
  <c r="H254" i="1"/>
  <c r="H253" i="1"/>
  <c r="I253" i="1" s="1"/>
  <c r="I252" i="1"/>
  <c r="H252" i="1"/>
  <c r="I251" i="1"/>
  <c r="H251" i="1"/>
  <c r="I250" i="1"/>
  <c r="H250" i="1"/>
  <c r="H249" i="1"/>
  <c r="I249" i="1" s="1"/>
  <c r="H248" i="1"/>
  <c r="I248" i="1" s="1"/>
  <c r="I247" i="1"/>
  <c r="H247" i="1"/>
  <c r="I246" i="1"/>
  <c r="H246" i="1"/>
  <c r="H245" i="1"/>
  <c r="I245" i="1" s="1"/>
  <c r="I244" i="1"/>
  <c r="H244" i="1"/>
  <c r="I243" i="1"/>
  <c r="H243" i="1"/>
  <c r="I242" i="1"/>
  <c r="H242" i="1"/>
  <c r="H241" i="1"/>
  <c r="I241" i="1" s="1"/>
  <c r="I240" i="1"/>
  <c r="H240" i="1"/>
  <c r="I239" i="1"/>
  <c r="H239" i="1"/>
  <c r="I238" i="1"/>
  <c r="H238" i="1"/>
  <c r="H237" i="1"/>
  <c r="I237" i="1" s="1"/>
  <c r="H236" i="1"/>
  <c r="I236" i="1" s="1"/>
  <c r="I235" i="1"/>
  <c r="H235" i="1"/>
  <c r="I234" i="1"/>
  <c r="H234" i="1"/>
  <c r="H233" i="1"/>
  <c r="I233" i="1" s="1"/>
  <c r="I232" i="1"/>
  <c r="H232" i="1"/>
  <c r="I231" i="1"/>
  <c r="H231" i="1"/>
  <c r="I230" i="1"/>
  <c r="H230" i="1"/>
  <c r="H229" i="1"/>
  <c r="I229" i="1" s="1"/>
  <c r="H228" i="1"/>
  <c r="I228" i="1" s="1"/>
  <c r="I227" i="1"/>
  <c r="H227" i="1"/>
  <c r="I226" i="1"/>
  <c r="H226" i="1"/>
  <c r="H225" i="1"/>
  <c r="I225" i="1" s="1"/>
  <c r="H224" i="1"/>
  <c r="I224" i="1" s="1"/>
  <c r="I223" i="1"/>
  <c r="H223" i="1"/>
  <c r="I222" i="1"/>
  <c r="H222" i="1"/>
  <c r="H221" i="1"/>
  <c r="I221" i="1" s="1"/>
  <c r="I220" i="1"/>
  <c r="H220" i="1"/>
  <c r="I219" i="1"/>
  <c r="H219" i="1"/>
  <c r="I218" i="1"/>
  <c r="H218" i="1"/>
  <c r="H217" i="1"/>
  <c r="I217" i="1" s="1"/>
  <c r="H216" i="1"/>
  <c r="I216" i="1" s="1"/>
  <c r="I215" i="1"/>
  <c r="H215" i="1"/>
  <c r="I214" i="1"/>
  <c r="H214" i="1"/>
  <c r="H213" i="1"/>
  <c r="I213" i="1" s="1"/>
  <c r="I212" i="1"/>
  <c r="H212" i="1"/>
  <c r="I211" i="1"/>
  <c r="H211" i="1"/>
  <c r="I210" i="1"/>
  <c r="H210" i="1"/>
  <c r="H209" i="1"/>
  <c r="I209" i="1" s="1"/>
  <c r="I208" i="1"/>
  <c r="H208" i="1"/>
  <c r="I207" i="1"/>
  <c r="H207" i="1"/>
  <c r="I206" i="1"/>
  <c r="H206" i="1"/>
  <c r="H205" i="1"/>
  <c r="I205" i="1" s="1"/>
  <c r="H204" i="1"/>
  <c r="I204" i="1" s="1"/>
  <c r="I203" i="1"/>
  <c r="H203" i="1"/>
  <c r="I202" i="1"/>
  <c r="H202" i="1"/>
  <c r="H201" i="1"/>
  <c r="I201" i="1" s="1"/>
  <c r="I200" i="1"/>
  <c r="H200" i="1"/>
  <c r="I199" i="1"/>
  <c r="H199" i="1"/>
  <c r="I198" i="1"/>
  <c r="H198" i="1"/>
  <c r="H197" i="1"/>
  <c r="I197" i="1" s="1"/>
  <c r="H196" i="1"/>
  <c r="I196" i="1" s="1"/>
  <c r="I195" i="1"/>
  <c r="H195" i="1"/>
  <c r="I194" i="1"/>
  <c r="H194" i="1"/>
  <c r="H193" i="1"/>
  <c r="I193" i="1" s="1"/>
  <c r="H192" i="1"/>
  <c r="I192" i="1" s="1"/>
  <c r="I191" i="1"/>
  <c r="H191" i="1"/>
  <c r="I190" i="1"/>
  <c r="H190" i="1"/>
  <c r="H189" i="1"/>
  <c r="I189" i="1" s="1"/>
  <c r="I188" i="1"/>
  <c r="H188" i="1"/>
  <c r="I187" i="1"/>
  <c r="H187" i="1"/>
  <c r="I186" i="1"/>
  <c r="H186" i="1"/>
  <c r="H185" i="1"/>
  <c r="I185" i="1" s="1"/>
  <c r="H184" i="1"/>
  <c r="I184" i="1" s="1"/>
  <c r="I183" i="1"/>
  <c r="H183" i="1"/>
  <c r="I182" i="1"/>
  <c r="H182" i="1"/>
  <c r="H181" i="1"/>
  <c r="I181" i="1" s="1"/>
  <c r="I180" i="1"/>
  <c r="H180" i="1"/>
  <c r="I179" i="1"/>
  <c r="H179" i="1"/>
  <c r="I178" i="1"/>
  <c r="H178" i="1"/>
  <c r="H177" i="1"/>
  <c r="I177" i="1" s="1"/>
  <c r="I176" i="1"/>
  <c r="H176" i="1"/>
  <c r="I175" i="1"/>
  <c r="H175" i="1"/>
  <c r="I174" i="1"/>
  <c r="H174" i="1"/>
  <c r="H173" i="1"/>
  <c r="I173" i="1" s="1"/>
  <c r="H172" i="1"/>
  <c r="I172" i="1" s="1"/>
  <c r="I171" i="1"/>
  <c r="H171" i="1"/>
  <c r="I170" i="1"/>
  <c r="H170" i="1"/>
  <c r="H169" i="1"/>
  <c r="I169" i="1" s="1"/>
  <c r="I168" i="1"/>
  <c r="H168" i="1"/>
  <c r="I167" i="1"/>
  <c r="H167" i="1"/>
  <c r="I166" i="1"/>
  <c r="H166" i="1"/>
  <c r="H165" i="1"/>
  <c r="I165" i="1" s="1"/>
  <c r="H164" i="1"/>
  <c r="I164" i="1" s="1"/>
  <c r="I163" i="1"/>
  <c r="H163" i="1"/>
  <c r="I162" i="1"/>
  <c r="H162" i="1"/>
  <c r="H161" i="1"/>
  <c r="I161" i="1" s="1"/>
  <c r="H160" i="1"/>
  <c r="I160" i="1" s="1"/>
  <c r="I159" i="1"/>
  <c r="H159" i="1"/>
  <c r="I158" i="1"/>
  <c r="H158" i="1"/>
  <c r="H157" i="1"/>
  <c r="I157" i="1" s="1"/>
  <c r="I156" i="1"/>
  <c r="H156" i="1"/>
  <c r="I155" i="1"/>
  <c r="H155" i="1"/>
  <c r="I154" i="1"/>
  <c r="H154" i="1"/>
  <c r="H153" i="1"/>
  <c r="I153" i="1" s="1"/>
  <c r="H152" i="1"/>
  <c r="I152" i="1" s="1"/>
  <c r="I151" i="1"/>
  <c r="H151" i="1"/>
  <c r="I150" i="1"/>
  <c r="H150" i="1"/>
  <c r="H149" i="1"/>
  <c r="I149" i="1" s="1"/>
  <c r="I148" i="1"/>
  <c r="H148" i="1"/>
  <c r="I147" i="1"/>
  <c r="H147" i="1"/>
  <c r="I146" i="1"/>
  <c r="H146" i="1"/>
  <c r="H145" i="1"/>
  <c r="I145" i="1" s="1"/>
  <c r="I144" i="1"/>
  <c r="H144" i="1"/>
  <c r="I143" i="1"/>
  <c r="H143" i="1"/>
  <c r="I142" i="1"/>
  <c r="H142" i="1"/>
  <c r="H141" i="1"/>
  <c r="I141" i="1" s="1"/>
  <c r="H140" i="1"/>
  <c r="I140" i="1" s="1"/>
  <c r="E139" i="1"/>
  <c r="D139" i="1"/>
  <c r="C139" i="1"/>
  <c r="E138" i="1"/>
  <c r="D138" i="1"/>
  <c r="H138" i="1" s="1"/>
  <c r="I138" i="1" s="1"/>
  <c r="C138" i="1"/>
  <c r="E137" i="1"/>
  <c r="D137" i="1"/>
  <c r="C137" i="1"/>
  <c r="H137" i="1" s="1"/>
  <c r="I137" i="1" s="1"/>
  <c r="I136" i="1"/>
  <c r="H136" i="1"/>
  <c r="E136" i="1"/>
  <c r="D136" i="1"/>
  <c r="C136" i="1"/>
  <c r="E135" i="1"/>
  <c r="D135" i="1"/>
  <c r="C135" i="1"/>
  <c r="H135" i="1" s="1"/>
  <c r="I135" i="1" s="1"/>
  <c r="I134" i="1"/>
  <c r="H134" i="1"/>
  <c r="E134" i="1"/>
  <c r="D134" i="1"/>
  <c r="C134" i="1"/>
  <c r="E133" i="1"/>
  <c r="D133" i="1"/>
  <c r="H133" i="1" s="1"/>
  <c r="I133" i="1" s="1"/>
  <c r="C133" i="1"/>
  <c r="E132" i="1"/>
  <c r="D132" i="1"/>
  <c r="C132" i="1"/>
  <c r="H132" i="1" s="1"/>
  <c r="I132" i="1" s="1"/>
  <c r="E131" i="1"/>
  <c r="H131" i="1" s="1"/>
  <c r="I131" i="1" s="1"/>
  <c r="D131" i="1"/>
  <c r="C131" i="1"/>
  <c r="E130" i="1"/>
  <c r="D130" i="1"/>
  <c r="C130" i="1"/>
  <c r="H130" i="1" s="1"/>
  <c r="I130" i="1" s="1"/>
  <c r="E129" i="1"/>
  <c r="D129" i="1"/>
  <c r="H129" i="1" s="1"/>
  <c r="I129" i="1" s="1"/>
  <c r="C129" i="1"/>
  <c r="E128" i="1"/>
  <c r="D128" i="1"/>
  <c r="H128" i="1" s="1"/>
  <c r="I128" i="1" s="1"/>
  <c r="C128" i="1"/>
  <c r="E127" i="1"/>
  <c r="D127" i="1"/>
  <c r="C127" i="1"/>
  <c r="H127" i="1" s="1"/>
  <c r="I127" i="1" s="1"/>
  <c r="H126" i="1"/>
  <c r="I126" i="1" s="1"/>
  <c r="E126" i="1"/>
  <c r="D126" i="1"/>
  <c r="C126" i="1"/>
  <c r="E125" i="1"/>
  <c r="D125" i="1"/>
  <c r="C125" i="1"/>
  <c r="H125" i="1" s="1"/>
  <c r="I125" i="1" s="1"/>
  <c r="E124" i="1"/>
  <c r="D124" i="1"/>
  <c r="C124" i="1"/>
  <c r="H124" i="1" s="1"/>
  <c r="I124" i="1" s="1"/>
  <c r="E123" i="1"/>
  <c r="H123" i="1" s="1"/>
  <c r="I123" i="1" s="1"/>
  <c r="D123" i="1"/>
  <c r="C123" i="1"/>
  <c r="H122" i="1"/>
  <c r="I122" i="1" s="1"/>
  <c r="E122" i="1"/>
  <c r="D122" i="1"/>
  <c r="C122" i="1"/>
  <c r="E121" i="1"/>
  <c r="D121" i="1"/>
  <c r="C121" i="1"/>
  <c r="H121" i="1" s="1"/>
  <c r="I121" i="1" s="1"/>
  <c r="E120" i="1"/>
  <c r="D120" i="1"/>
  <c r="H120" i="1" s="1"/>
  <c r="I120" i="1" s="1"/>
  <c r="C120" i="1"/>
  <c r="E119" i="1"/>
  <c r="H119" i="1" s="1"/>
  <c r="I119" i="1" s="1"/>
  <c r="D119" i="1"/>
  <c r="C119" i="1"/>
  <c r="H118" i="1"/>
  <c r="I118" i="1" s="1"/>
  <c r="E118" i="1"/>
  <c r="D118" i="1"/>
  <c r="C118" i="1"/>
  <c r="E117" i="1"/>
  <c r="D117" i="1"/>
  <c r="C117" i="1"/>
  <c r="H117" i="1" s="1"/>
  <c r="I117" i="1" s="1"/>
  <c r="E116" i="1"/>
  <c r="D116" i="1"/>
  <c r="C116" i="1"/>
  <c r="H116" i="1" s="1"/>
  <c r="I116" i="1" s="1"/>
  <c r="E115" i="1"/>
  <c r="H115" i="1" s="1"/>
  <c r="I115" i="1" s="1"/>
  <c r="D115" i="1"/>
  <c r="C115" i="1"/>
  <c r="E114" i="1"/>
  <c r="D114" i="1"/>
  <c r="C114" i="1"/>
  <c r="H114" i="1" s="1"/>
  <c r="I114" i="1" s="1"/>
  <c r="E113" i="1"/>
  <c r="D113" i="1"/>
  <c r="C113" i="1"/>
  <c r="H113" i="1" s="1"/>
  <c r="I113" i="1" s="1"/>
  <c r="E112" i="1"/>
  <c r="D112" i="1"/>
  <c r="C112" i="1"/>
  <c r="H112" i="1" s="1"/>
  <c r="I112" i="1" s="1"/>
  <c r="E111" i="1"/>
  <c r="D111" i="1"/>
  <c r="C111" i="1"/>
  <c r="H111" i="1" s="1"/>
  <c r="I111" i="1" s="1"/>
  <c r="H110" i="1"/>
  <c r="I110" i="1" s="1"/>
  <c r="E110" i="1"/>
  <c r="D110" i="1"/>
  <c r="C110" i="1"/>
  <c r="E109" i="1"/>
  <c r="D109" i="1"/>
  <c r="C109" i="1"/>
  <c r="H109" i="1" s="1"/>
  <c r="I109" i="1" s="1"/>
  <c r="E108" i="1"/>
  <c r="D108" i="1"/>
  <c r="C108" i="1"/>
  <c r="H108" i="1" s="1"/>
  <c r="I108" i="1" s="1"/>
  <c r="E107" i="1"/>
  <c r="H107" i="1" s="1"/>
  <c r="I107" i="1" s="1"/>
  <c r="D107" i="1"/>
  <c r="C107" i="1"/>
  <c r="E106" i="1"/>
  <c r="D106" i="1"/>
  <c r="C106" i="1"/>
  <c r="H106" i="1" s="1"/>
  <c r="I106" i="1" s="1"/>
  <c r="E105" i="1"/>
  <c r="D105" i="1"/>
  <c r="C105" i="1"/>
  <c r="H105" i="1" s="1"/>
  <c r="I105" i="1" s="1"/>
  <c r="E104" i="1"/>
  <c r="D104" i="1"/>
  <c r="H104" i="1" s="1"/>
  <c r="I104" i="1" s="1"/>
  <c r="C104" i="1"/>
  <c r="E103" i="1"/>
  <c r="H103" i="1" s="1"/>
  <c r="I103" i="1" s="1"/>
  <c r="D103" i="1"/>
  <c r="C103" i="1"/>
  <c r="H102" i="1"/>
  <c r="I102" i="1" s="1"/>
  <c r="E102" i="1"/>
  <c r="D102" i="1"/>
  <c r="C102" i="1"/>
  <c r="E101" i="1"/>
  <c r="D101" i="1"/>
  <c r="C101" i="1"/>
  <c r="H101" i="1" s="1"/>
  <c r="I101" i="1" s="1"/>
  <c r="E100" i="1"/>
  <c r="D100" i="1"/>
  <c r="C100" i="1"/>
  <c r="H100" i="1" s="1"/>
  <c r="I100" i="1" s="1"/>
  <c r="E99" i="1"/>
  <c r="H99" i="1" s="1"/>
  <c r="I99" i="1" s="1"/>
  <c r="D99" i="1"/>
  <c r="C99" i="1"/>
  <c r="E98" i="1"/>
  <c r="D98" i="1"/>
  <c r="C98" i="1"/>
  <c r="H98" i="1" s="1"/>
  <c r="I98" i="1" s="1"/>
  <c r="E97" i="1"/>
  <c r="D97" i="1"/>
  <c r="C97" i="1"/>
  <c r="H97" i="1" s="1"/>
  <c r="I97" i="1" s="1"/>
  <c r="E96" i="1"/>
  <c r="D96" i="1"/>
  <c r="H96" i="1" s="1"/>
  <c r="I96" i="1" s="1"/>
  <c r="C96" i="1"/>
  <c r="E95" i="1"/>
  <c r="H95" i="1" s="1"/>
  <c r="I95" i="1" s="1"/>
  <c r="D95" i="1"/>
  <c r="C95" i="1"/>
  <c r="H94" i="1"/>
  <c r="I94" i="1" s="1"/>
  <c r="E94" i="1"/>
  <c r="D94" i="1"/>
  <c r="C94" i="1"/>
  <c r="E93" i="1"/>
  <c r="D93" i="1"/>
  <c r="C93" i="1"/>
  <c r="H93" i="1" s="1"/>
  <c r="I93" i="1" s="1"/>
  <c r="E92" i="1"/>
  <c r="D92" i="1"/>
  <c r="C92" i="1"/>
  <c r="H92" i="1" s="1"/>
  <c r="I92" i="1" s="1"/>
  <c r="E91" i="1"/>
  <c r="H91" i="1" s="1"/>
  <c r="I91" i="1" s="1"/>
  <c r="D91" i="1"/>
  <c r="C91" i="1"/>
  <c r="E90" i="1"/>
  <c r="D90" i="1"/>
  <c r="C90" i="1"/>
  <c r="H90" i="1" s="1"/>
  <c r="I90" i="1" s="1"/>
  <c r="E89" i="1"/>
  <c r="D89" i="1"/>
  <c r="C89" i="1"/>
  <c r="H89" i="1" s="1"/>
  <c r="I89" i="1" s="1"/>
  <c r="E88" i="1"/>
  <c r="D88" i="1"/>
  <c r="H88" i="1" s="1"/>
  <c r="I88" i="1" s="1"/>
  <c r="C88" i="1"/>
  <c r="E87" i="1"/>
  <c r="D87" i="1"/>
  <c r="C87" i="1"/>
  <c r="H87" i="1" s="1"/>
  <c r="I87" i="1" s="1"/>
  <c r="H86" i="1"/>
  <c r="I86" i="1" s="1"/>
  <c r="E86" i="1"/>
  <c r="D86" i="1"/>
  <c r="C86" i="1"/>
  <c r="E85" i="1"/>
  <c r="D85" i="1"/>
  <c r="C85" i="1"/>
  <c r="H85" i="1" s="1"/>
  <c r="I85" i="1" s="1"/>
  <c r="E84" i="1"/>
  <c r="D84" i="1"/>
  <c r="C84" i="1"/>
  <c r="H84" i="1" s="1"/>
  <c r="I84" i="1" s="1"/>
  <c r="E83" i="1"/>
  <c r="H83" i="1" s="1"/>
  <c r="I83" i="1" s="1"/>
  <c r="D83" i="1"/>
  <c r="C83" i="1"/>
  <c r="E82" i="1"/>
  <c r="D82" i="1"/>
  <c r="C82" i="1"/>
  <c r="H82" i="1" s="1"/>
  <c r="I82" i="1" s="1"/>
  <c r="E81" i="1"/>
  <c r="D81" i="1"/>
  <c r="C81" i="1"/>
  <c r="H81" i="1" s="1"/>
  <c r="I81" i="1" s="1"/>
  <c r="E80" i="1"/>
  <c r="D80" i="1"/>
  <c r="H80" i="1" s="1"/>
  <c r="I80" i="1" s="1"/>
  <c r="C80" i="1"/>
  <c r="E79" i="1"/>
  <c r="D79" i="1"/>
  <c r="C79" i="1"/>
  <c r="H79" i="1" s="1"/>
  <c r="I79" i="1" s="1"/>
  <c r="H78" i="1"/>
  <c r="I78" i="1" s="1"/>
  <c r="E78" i="1"/>
  <c r="D78" i="1"/>
  <c r="C78" i="1"/>
  <c r="E77" i="1"/>
  <c r="D77" i="1"/>
  <c r="C77" i="1"/>
  <c r="H77" i="1" s="1"/>
  <c r="I77" i="1" s="1"/>
  <c r="E76" i="1"/>
  <c r="D76" i="1"/>
  <c r="C76" i="1"/>
  <c r="H76" i="1" s="1"/>
  <c r="I76" i="1" s="1"/>
  <c r="E75" i="1"/>
  <c r="H75" i="1" s="1"/>
  <c r="I75" i="1" s="1"/>
  <c r="D75" i="1"/>
  <c r="C75" i="1"/>
  <c r="E74" i="1"/>
  <c r="D74" i="1"/>
  <c r="C74" i="1"/>
  <c r="H74" i="1" s="1"/>
  <c r="I74" i="1" s="1"/>
  <c r="E73" i="1"/>
  <c r="D73" i="1"/>
  <c r="C73" i="1"/>
  <c r="H73" i="1" s="1"/>
  <c r="I73" i="1" s="1"/>
  <c r="E72" i="1"/>
  <c r="D72" i="1"/>
  <c r="H72" i="1" s="1"/>
  <c r="I72" i="1" s="1"/>
  <c r="C72" i="1"/>
  <c r="E71" i="1"/>
  <c r="D71" i="1"/>
  <c r="C71" i="1"/>
  <c r="H71" i="1" s="1"/>
  <c r="I71" i="1" s="1"/>
  <c r="H70" i="1"/>
  <c r="I70" i="1" s="1"/>
  <c r="E70" i="1"/>
  <c r="D70" i="1"/>
  <c r="C70" i="1"/>
  <c r="E69" i="1"/>
  <c r="D69" i="1"/>
  <c r="C69" i="1"/>
  <c r="H69" i="1" s="1"/>
  <c r="I69" i="1" s="1"/>
  <c r="E68" i="1"/>
  <c r="D68" i="1"/>
  <c r="C68" i="1"/>
  <c r="H68" i="1" s="1"/>
  <c r="I68" i="1" s="1"/>
  <c r="E67" i="1"/>
  <c r="H67" i="1" s="1"/>
  <c r="I67" i="1" s="1"/>
  <c r="D67" i="1"/>
  <c r="C67" i="1"/>
  <c r="E66" i="1"/>
  <c r="D66" i="1"/>
  <c r="C66" i="1"/>
  <c r="H66" i="1" s="1"/>
  <c r="I66" i="1" s="1"/>
  <c r="E65" i="1"/>
  <c r="D65" i="1"/>
  <c r="C65" i="1"/>
  <c r="H65" i="1" s="1"/>
  <c r="I65" i="1" s="1"/>
  <c r="E64" i="1"/>
  <c r="D64" i="1"/>
  <c r="H64" i="1" s="1"/>
  <c r="I64" i="1" s="1"/>
  <c r="C64" i="1"/>
  <c r="E63" i="1"/>
  <c r="D63" i="1"/>
  <c r="C63" i="1"/>
  <c r="H63" i="1" s="1"/>
  <c r="I63" i="1" s="1"/>
  <c r="H62" i="1"/>
  <c r="I62" i="1" s="1"/>
  <c r="E62" i="1"/>
  <c r="D62" i="1"/>
  <c r="C62" i="1"/>
  <c r="E61" i="1"/>
  <c r="D61" i="1"/>
  <c r="C61" i="1"/>
  <c r="H61" i="1" s="1"/>
  <c r="I61" i="1" s="1"/>
  <c r="E60" i="1"/>
  <c r="D60" i="1"/>
  <c r="C60" i="1"/>
  <c r="H60" i="1" s="1"/>
  <c r="I60" i="1" s="1"/>
  <c r="E59" i="1"/>
  <c r="H59" i="1" s="1"/>
  <c r="I59" i="1" s="1"/>
  <c r="D59" i="1"/>
  <c r="C59" i="1"/>
  <c r="E58" i="1"/>
  <c r="D58" i="1"/>
  <c r="C58" i="1"/>
  <c r="H58" i="1" s="1"/>
  <c r="I58" i="1" s="1"/>
  <c r="E57" i="1"/>
  <c r="D57" i="1"/>
  <c r="C57" i="1"/>
  <c r="H57" i="1" s="1"/>
  <c r="I57" i="1" s="1"/>
  <c r="E56" i="1"/>
  <c r="D56" i="1"/>
  <c r="H56" i="1" s="1"/>
  <c r="I56" i="1" s="1"/>
  <c r="C56" i="1"/>
  <c r="E55" i="1"/>
  <c r="D55" i="1"/>
  <c r="C55" i="1"/>
  <c r="H55" i="1" s="1"/>
  <c r="I55" i="1" s="1"/>
  <c r="H54" i="1"/>
  <c r="I54" i="1" s="1"/>
  <c r="E54" i="1"/>
  <c r="D54" i="1"/>
  <c r="C54" i="1"/>
  <c r="E53" i="1"/>
  <c r="D53" i="1"/>
  <c r="C53" i="1"/>
  <c r="H53" i="1" s="1"/>
  <c r="I53" i="1" s="1"/>
  <c r="E52" i="1"/>
  <c r="D52" i="1"/>
  <c r="C52" i="1"/>
  <c r="H52" i="1" s="1"/>
  <c r="I52" i="1" s="1"/>
  <c r="E51" i="1"/>
  <c r="H51" i="1" s="1"/>
  <c r="I51" i="1" s="1"/>
  <c r="D51" i="1"/>
  <c r="C51" i="1"/>
  <c r="E50" i="1"/>
  <c r="D50" i="1"/>
  <c r="C50" i="1"/>
  <c r="H50" i="1" s="1"/>
  <c r="I50" i="1" s="1"/>
  <c r="E49" i="1"/>
  <c r="D49" i="1"/>
  <c r="C49" i="1"/>
  <c r="H49" i="1" s="1"/>
  <c r="I49" i="1" s="1"/>
  <c r="E48" i="1"/>
  <c r="D48" i="1"/>
  <c r="H48" i="1" s="1"/>
  <c r="I48" i="1" s="1"/>
  <c r="C48" i="1"/>
  <c r="E47" i="1"/>
  <c r="D47" i="1"/>
  <c r="C47" i="1"/>
  <c r="H47" i="1" s="1"/>
  <c r="I47" i="1" s="1"/>
  <c r="H46" i="1"/>
  <c r="I46" i="1" s="1"/>
  <c r="E46" i="1"/>
  <c r="D46" i="1"/>
  <c r="C46" i="1"/>
  <c r="E45" i="1"/>
  <c r="D45" i="1"/>
  <c r="C45" i="1"/>
  <c r="H45" i="1" s="1"/>
  <c r="I45" i="1" s="1"/>
  <c r="E44" i="1"/>
  <c r="D44" i="1"/>
  <c r="C44" i="1"/>
  <c r="H44" i="1" s="1"/>
  <c r="I44" i="1" s="1"/>
  <c r="E43" i="1"/>
  <c r="H43" i="1" s="1"/>
  <c r="I43" i="1" s="1"/>
  <c r="D43" i="1"/>
  <c r="C43" i="1"/>
  <c r="E42" i="1"/>
  <c r="D42" i="1"/>
  <c r="C42" i="1"/>
  <c r="H42" i="1" s="1"/>
  <c r="I42" i="1" s="1"/>
  <c r="E41" i="1"/>
  <c r="D41" i="1"/>
  <c r="C41" i="1"/>
  <c r="H41" i="1" s="1"/>
  <c r="I41" i="1" s="1"/>
  <c r="E40" i="1"/>
  <c r="D40" i="1"/>
  <c r="H40" i="1" s="1"/>
  <c r="I40" i="1" s="1"/>
  <c r="C40" i="1"/>
  <c r="E39" i="1"/>
  <c r="D39" i="1"/>
  <c r="C39" i="1"/>
  <c r="H39" i="1" s="1"/>
  <c r="I39" i="1" s="1"/>
  <c r="H38" i="1"/>
  <c r="I38" i="1" s="1"/>
  <c r="E38" i="1"/>
  <c r="D38" i="1"/>
  <c r="C38" i="1"/>
  <c r="E37" i="1"/>
  <c r="D37" i="1"/>
  <c r="C37" i="1"/>
  <c r="H37" i="1" s="1"/>
  <c r="I37" i="1" s="1"/>
  <c r="E36" i="1"/>
  <c r="D36" i="1"/>
  <c r="C36" i="1"/>
  <c r="H36" i="1" s="1"/>
  <c r="I36" i="1" s="1"/>
  <c r="E35" i="1"/>
  <c r="H35" i="1" s="1"/>
  <c r="I35" i="1" s="1"/>
  <c r="D35" i="1"/>
  <c r="C35" i="1"/>
  <c r="E34" i="1"/>
  <c r="D34" i="1"/>
  <c r="C34" i="1"/>
  <c r="H34" i="1" s="1"/>
  <c r="I34" i="1" s="1"/>
  <c r="E33" i="1"/>
  <c r="D33" i="1"/>
  <c r="C33" i="1"/>
  <c r="H33" i="1" s="1"/>
  <c r="I33" i="1" s="1"/>
  <c r="E32" i="1"/>
  <c r="D32" i="1"/>
  <c r="H32" i="1" s="1"/>
  <c r="I32" i="1" s="1"/>
  <c r="C32" i="1"/>
  <c r="E31" i="1"/>
  <c r="D31" i="1"/>
  <c r="C31" i="1"/>
  <c r="H31" i="1" s="1"/>
  <c r="I31" i="1" s="1"/>
  <c r="H30" i="1"/>
  <c r="I30" i="1" s="1"/>
  <c r="E30" i="1"/>
  <c r="D30" i="1"/>
  <c r="C30" i="1"/>
  <c r="E29" i="1"/>
  <c r="D29" i="1"/>
  <c r="C29" i="1"/>
  <c r="H29" i="1" s="1"/>
  <c r="I29" i="1" s="1"/>
  <c r="E28" i="1"/>
  <c r="D28" i="1"/>
  <c r="C28" i="1"/>
  <c r="H28" i="1" s="1"/>
  <c r="I28" i="1" s="1"/>
  <c r="E27" i="1"/>
  <c r="H27" i="1" s="1"/>
  <c r="I27" i="1" s="1"/>
  <c r="D27" i="1"/>
  <c r="C27" i="1"/>
  <c r="E26" i="1"/>
  <c r="D26" i="1"/>
  <c r="C26" i="1"/>
  <c r="H26" i="1" s="1"/>
  <c r="I26" i="1" s="1"/>
  <c r="E25" i="1"/>
  <c r="D25" i="1"/>
  <c r="C25" i="1"/>
  <c r="H25" i="1" s="1"/>
  <c r="I25" i="1" s="1"/>
  <c r="E24" i="1"/>
  <c r="D24" i="1"/>
  <c r="H24" i="1" s="1"/>
  <c r="I24" i="1" s="1"/>
  <c r="C24" i="1"/>
  <c r="E23" i="1"/>
  <c r="D23" i="1"/>
  <c r="C23" i="1"/>
  <c r="H23" i="1" s="1"/>
  <c r="I23" i="1" s="1"/>
  <c r="H22" i="1"/>
  <c r="I22" i="1" s="1"/>
  <c r="E22" i="1"/>
  <c r="D22" i="1"/>
  <c r="C22" i="1"/>
  <c r="E21" i="1"/>
  <c r="D21" i="1"/>
  <c r="C21" i="1"/>
  <c r="H21" i="1" s="1"/>
  <c r="I21" i="1" s="1"/>
  <c r="E20" i="1"/>
  <c r="D20" i="1"/>
  <c r="C20" i="1"/>
  <c r="H20" i="1" s="1"/>
  <c r="I20" i="1" s="1"/>
  <c r="E19" i="1"/>
  <c r="H19" i="1" s="1"/>
  <c r="I19" i="1" s="1"/>
  <c r="D19" i="1"/>
  <c r="C19" i="1"/>
  <c r="E18" i="1"/>
  <c r="D18" i="1"/>
  <c r="C18" i="1"/>
  <c r="H18" i="1" s="1"/>
  <c r="I18" i="1" s="1"/>
  <c r="E17" i="1"/>
  <c r="D17" i="1"/>
  <c r="C17" i="1"/>
  <c r="H17" i="1" s="1"/>
  <c r="I17" i="1" s="1"/>
  <c r="E16" i="1"/>
  <c r="D16" i="1"/>
  <c r="H16" i="1" s="1"/>
  <c r="I16" i="1" s="1"/>
  <c r="C16" i="1"/>
  <c r="E15" i="1"/>
  <c r="D15" i="1"/>
  <c r="C15" i="1"/>
  <c r="H15" i="1" s="1"/>
  <c r="I15" i="1" s="1"/>
  <c r="H14" i="1"/>
  <c r="I14" i="1" s="1"/>
  <c r="E14" i="1"/>
  <c r="D14" i="1"/>
  <c r="C14" i="1"/>
  <c r="E13" i="1"/>
  <c r="D13" i="1"/>
  <c r="C13" i="1"/>
  <c r="H13" i="1" s="1"/>
  <c r="I13" i="1" s="1"/>
  <c r="E12" i="1"/>
  <c r="D12" i="1"/>
  <c r="C12" i="1"/>
  <c r="H12" i="1" s="1"/>
  <c r="I12" i="1" s="1"/>
  <c r="E11" i="1"/>
  <c r="H11" i="1" s="1"/>
  <c r="I11" i="1" s="1"/>
  <c r="D11" i="1"/>
  <c r="C11" i="1"/>
  <c r="E10" i="1"/>
  <c r="D10" i="1"/>
  <c r="C10" i="1"/>
  <c r="H10" i="1" s="1"/>
  <c r="I10" i="1" s="1"/>
  <c r="E9" i="1"/>
  <c r="D9" i="1"/>
  <c r="C9" i="1"/>
  <c r="H9" i="1" s="1"/>
  <c r="I9" i="1" s="1"/>
  <c r="E8" i="1"/>
  <c r="D8" i="1"/>
  <c r="H8" i="1" s="1"/>
  <c r="I8" i="1" s="1"/>
  <c r="C8" i="1"/>
  <c r="E7" i="1"/>
  <c r="D7" i="1"/>
  <c r="C7" i="1"/>
  <c r="H7" i="1" s="1"/>
  <c r="I7" i="1" s="1"/>
  <c r="H6" i="1"/>
  <c r="I6" i="1" s="1"/>
  <c r="E6" i="1"/>
  <c r="D6" i="1"/>
  <c r="C6" i="1"/>
  <c r="E5" i="1"/>
  <c r="D5" i="1"/>
  <c r="C5" i="1"/>
  <c r="H5" i="1" s="1"/>
  <c r="I5" i="1" s="1"/>
  <c r="E4" i="1"/>
  <c r="D4" i="1"/>
  <c r="C4" i="1"/>
  <c r="H4" i="1" s="1"/>
  <c r="I4" i="1" s="1"/>
  <c r="E3" i="1"/>
  <c r="H3" i="1" s="1"/>
  <c r="I3" i="1" s="1"/>
  <c r="D3" i="1"/>
  <c r="C3" i="1"/>
  <c r="E2" i="1"/>
  <c r="D2" i="1"/>
  <c r="C2" i="1"/>
  <c r="H2" i="1" s="1"/>
  <c r="I2" i="1" s="1"/>
  <c r="F395" i="3" l="1"/>
  <c r="D14" i="2"/>
  <c r="C14" i="2"/>
  <c r="E14" i="2" s="1"/>
  <c r="H9" i="2"/>
  <c r="E9" i="2"/>
  <c r="F9" i="2" s="1"/>
  <c r="H8" i="2"/>
  <c r="E8" i="2"/>
  <c r="F8" i="2" s="1"/>
  <c r="H139" i="1"/>
  <c r="I139" i="1" s="1"/>
  <c r="D8" i="2"/>
  <c r="H7" i="2"/>
  <c r="E7" i="2"/>
  <c r="F7" i="2" s="1"/>
  <c r="D7" i="2"/>
  <c r="D9" i="2"/>
  <c r="G9" i="2" s="1"/>
  <c r="F10" i="3"/>
  <c r="D16" i="2"/>
  <c r="C16" i="2"/>
  <c r="E16" i="2" s="1"/>
  <c r="B22" i="2"/>
  <c r="B21" i="2"/>
  <c r="D15" i="2"/>
  <c r="B20" i="2"/>
  <c r="C15" i="2"/>
  <c r="E15" i="2" s="1"/>
  <c r="F2" i="3"/>
  <c r="G7" i="2" l="1"/>
  <c r="G8" i="2"/>
  <c r="A5" i="2" l="1"/>
</calcChain>
</file>

<file path=xl/sharedStrings.xml><?xml version="1.0" encoding="utf-8"?>
<sst xmlns="http://schemas.openxmlformats.org/spreadsheetml/2006/main" count="8947" uniqueCount="2288">
  <si>
    <t>#</t>
  </si>
  <si>
    <t>Claude's concept</t>
  </si>
  <si>
    <t>Gemini extracted</t>
  </si>
  <si>
    <t>RAKE extracted</t>
  </si>
  <si>
    <t>YAKE extracted</t>
  </si>
  <si>
    <t>Group</t>
  </si>
  <si>
    <t>Short description (from the PDF)</t>
  </si>
  <si>
    <t>Tools that found it</t>
  </si>
  <si>
    <t>Found by</t>
  </si>
  <si>
    <t>Accepted tool phrase 1</t>
  </si>
  <si>
    <t>Accepted tool phrase 2</t>
  </si>
  <si>
    <t>Accepted tool phrase 3</t>
  </si>
  <si>
    <t>Accepted tool phrase 4</t>
  </si>
  <si>
    <t>Accepted tool phrase 5</t>
  </si>
  <si>
    <t>Accepted tool phrase 6</t>
  </si>
  <si>
    <t>Legend</t>
  </si>
  <si>
    <t>Polarization</t>
  </si>
  <si>
    <t>Core</t>
  </si>
  <si>
    <t>Restricting the vibrations of a transverse wave to one plane.</t>
  </si>
  <si>
    <t>Found by all three tools</t>
  </si>
  <si>
    <t>Transverse wave</t>
  </si>
  <si>
    <t>Wave whose vibrations are perpendicular to its direction of propagation.</t>
  </si>
  <si>
    <t>Transverse Wave</t>
  </si>
  <si>
    <t>Found by two tools</t>
  </si>
  <si>
    <t>Longitudinal wave</t>
  </si>
  <si>
    <t>Wave that does not show polarization.</t>
  </si>
  <si>
    <t>Longitudinal Waves</t>
  </si>
  <si>
    <t>Longitudinal Wave</t>
  </si>
  <si>
    <t>Found by none of the tools</t>
  </si>
  <si>
    <t>Polarized light (plane polarized)</t>
  </si>
  <si>
    <t>Light vibrating along only one plane perpendicular to its direction of travel; also called linearly polarized.</t>
  </si>
  <si>
    <t>Polarized Light</t>
  </si>
  <si>
    <t>Plane Polarized Light</t>
  </si>
  <si>
    <t>Plane Polarized</t>
  </si>
  <si>
    <t>Plane-polarized Wave</t>
  </si>
  <si>
    <t>Plane Polarized Wave</t>
  </si>
  <si>
    <t>Linearly Polarized</t>
  </si>
  <si>
    <t>Extracted by tools, not in Claude's list</t>
  </si>
  <si>
    <t>Unpolarized light</t>
  </si>
  <si>
    <t>Light vibrating along all possible directions perpendicular to its direction of propagation.</t>
  </si>
  <si>
    <t>Unpolarized Light</t>
  </si>
  <si>
    <t>Un-polarized Light</t>
  </si>
  <si>
    <t>Un-polarized</t>
  </si>
  <si>
    <t>Dark green cells show the phrase each tool extracted for that concept. If a tool matched more than one phrase they are separated by " | ".</t>
  </si>
  <si>
    <t>Electromagnetic theory of light</t>
  </si>
  <si>
    <t>Light as electric and magnetic vectors vibrating in a plane transverse to the direction of propagation.</t>
  </si>
  <si>
    <t>Electromagnetic Theory</t>
  </si>
  <si>
    <t>Electric and magnetic vectors</t>
  </si>
  <si>
    <t>The vibrating vectors of light; only the electric vector is drawn when explaining polarization.</t>
  </si>
  <si>
    <t>Electric Vector</t>
  </si>
  <si>
    <t>Magnetic Vector</t>
  </si>
  <si>
    <t>Magnetic Field Vectors</t>
  </si>
  <si>
    <t>Rows 2 to 139 are Claude's concepts. The grey rows below them list every other item from the three text files. Columns K to P (grey headers) hold the tool phrases that count as a match; edit them and the green cells update.</t>
  </si>
  <si>
    <t>Tourmaline crystal</t>
  </si>
  <si>
    <t>Example</t>
  </si>
  <si>
    <t>Crystal used to show that rotating it changes the intensity of polarized light but not of unpolarized light.</t>
  </si>
  <si>
    <t>Tourmaline</t>
  </si>
  <si>
    <t>Single Tourmaline Crystal</t>
  </si>
  <si>
    <t>Principal section</t>
  </si>
  <si>
    <t>Plane containing the optic axis and perpendicular to the opposite faces of the crystal.</t>
  </si>
  <si>
    <t>Principal Section</t>
  </si>
  <si>
    <t>Principal plane</t>
  </si>
  <si>
    <t>Plane containing the optic axis and the ordinary ray, or the optic axis and the extraordinary ray.</t>
  </si>
  <si>
    <t>Principal Plane</t>
  </si>
  <si>
    <t>Principal Plane Of The Ordinary Ray</t>
  </si>
  <si>
    <t>Principal Plane Of The Extraordinary Ray</t>
  </si>
  <si>
    <t>Optic axis</t>
  </si>
  <si>
    <t>Direction in the crystal along which double refraction does not take place.</t>
  </si>
  <si>
    <t>Optic Axis</t>
  </si>
  <si>
    <t>Calcite crystal</t>
  </si>
  <si>
    <t>Crystal in which double refraction was first observed (Bartholinus, 1669).</t>
  </si>
  <si>
    <t>Calcite</t>
  </si>
  <si>
    <t>Calcite Crystal</t>
  </si>
  <si>
    <t>Double refraction (birefringence)</t>
  </si>
  <si>
    <t>A crystal produces two refracted rays with different properties.</t>
  </si>
  <si>
    <t>Double Refraction</t>
  </si>
  <si>
    <t>Birefringence</t>
  </si>
  <si>
    <t>Birefringent crystal</t>
  </si>
  <si>
    <t>A crystal that shows double refraction.</t>
  </si>
  <si>
    <t>Doubly Refracting Crystal</t>
  </si>
  <si>
    <t>Birefringent</t>
  </si>
  <si>
    <t>Anisotropic materials</t>
  </si>
  <si>
    <t>Materials that all exhibit double refraction.</t>
  </si>
  <si>
    <t>Anisotropic Materials</t>
  </si>
  <si>
    <t>Ordinary ray (O-ray)</t>
  </si>
  <si>
    <t>The refracted ray that obeys Snell's law.</t>
  </si>
  <si>
    <t>Ordinary Ray</t>
  </si>
  <si>
    <t>O-ray</t>
  </si>
  <si>
    <t>O Ray</t>
  </si>
  <si>
    <t>Extraordinary ray (E-ray)</t>
  </si>
  <si>
    <t>The refracted ray that does not obey Snell's law.</t>
  </si>
  <si>
    <t>Extraordinary Ray</t>
  </si>
  <si>
    <t>E-ray</t>
  </si>
  <si>
    <t>E Ray</t>
  </si>
  <si>
    <t>Snell's law</t>
  </si>
  <si>
    <t>Law of refraction obeyed by the ordinary ray.</t>
  </si>
  <si>
    <t>Snell Law</t>
  </si>
  <si>
    <t>Snell's Law</t>
  </si>
  <si>
    <t>Snells Law</t>
  </si>
  <si>
    <t>Huygens' theory</t>
  </si>
  <si>
    <t>Explains double refraction using the principle of secondary wavelets.</t>
  </si>
  <si>
    <t>Huygen</t>
  </si>
  <si>
    <t>Huygen Theory</t>
  </si>
  <si>
    <t>Huygens Theory</t>
  </si>
  <si>
    <t>Secondary wavelets</t>
  </si>
  <si>
    <t>Each point on the surface sends out two wavefronts, one for each ray.</t>
  </si>
  <si>
    <t>Secondary Wavelets</t>
  </si>
  <si>
    <t>Wavelets</t>
  </si>
  <si>
    <t>Wavefront</t>
  </si>
  <si>
    <t>Surface of constant phase; the O-ray and E-ray have different wavefronts.</t>
  </si>
  <si>
    <t>Wavefronts</t>
  </si>
  <si>
    <t>Spherical wavefront</t>
  </si>
  <si>
    <t>Wavefront of the O-ray, since its speed is the same in all directions.</t>
  </si>
  <si>
    <t>Spherical Wavefront</t>
  </si>
  <si>
    <t>Ellipsoidal wavefront</t>
  </si>
  <si>
    <t>Wavefront of the E-ray, since its speed varies with direction.</t>
  </si>
  <si>
    <t>Ellipsoidal Wavefront</t>
  </si>
  <si>
    <t>Elliptical Wavefront</t>
  </si>
  <si>
    <t>Refractive index (μo, μe)</t>
  </si>
  <si>
    <t>Equals c/v; constant for the O-ray and direction-dependent for the E-ray.</t>
  </si>
  <si>
    <t>Refractive Index</t>
  </si>
  <si>
    <t>Positive crystals</t>
  </si>
  <si>
    <t>Crystals with vo &gt; ve (μo &lt; μe), such as quartz and ice.</t>
  </si>
  <si>
    <t>Positive Crystals</t>
  </si>
  <si>
    <t>Negative crystals</t>
  </si>
  <si>
    <t>Crystals with ve &gt; vo (μe &lt; μo), such as calcite and tourmaline.</t>
  </si>
  <si>
    <t>Negative Crystals</t>
  </si>
  <si>
    <t>Quartz</t>
  </si>
  <si>
    <t>Example of a positive crystal.</t>
  </si>
  <si>
    <t>Ice</t>
  </si>
  <si>
    <t>Nicol prism</t>
  </si>
  <si>
    <t>Calcite device for producing and analyzing plane-polarized light by eliminating the O-ray.</t>
  </si>
  <si>
    <t>Nicol Prism</t>
  </si>
  <si>
    <t>Nicol</t>
  </si>
  <si>
    <t>Canada balsam</t>
  </si>
  <si>
    <t>Cement layer in the Nicol prism whose refractive index lies between those of the O-ray and E-ray.</t>
  </si>
  <si>
    <t>Canada Balsam</t>
  </si>
  <si>
    <t>Canada Balsam Layer</t>
  </si>
  <si>
    <t>Canada Balsam Surface</t>
  </si>
  <si>
    <t>Critical angle</t>
  </si>
  <si>
    <t>Angle of incidence beyond which total internal reflection occurs; sin C = 1/μ.</t>
  </si>
  <si>
    <t>Critical Angle</t>
  </si>
  <si>
    <t>Total internal reflection</t>
  </si>
  <si>
    <t>Complete reflection when the angle of incidence exceeds the critical angle.</t>
  </si>
  <si>
    <t>Total Internal Reflection</t>
  </si>
  <si>
    <t>Totally Internally Reflected</t>
  </si>
  <si>
    <t>Rarer and denser medium</t>
  </si>
  <si>
    <t>Media of lower and higher refractive index, which decide whether total internal reflection can happen.</t>
  </si>
  <si>
    <t>Rarer Medium</t>
  </si>
  <si>
    <t>Denser Medium</t>
  </si>
  <si>
    <t>Sodium light</t>
  </si>
  <si>
    <t>Light of wavelength 5893 Å used to give the refractive indices of calcite.</t>
  </si>
  <si>
    <t>Sodium Light</t>
  </si>
  <si>
    <t>Angle of incidence</t>
  </si>
  <si>
    <t>Angle at which a ray meets a surface.</t>
  </si>
  <si>
    <t>Angle Of Incidence</t>
  </si>
  <si>
    <t>LASER</t>
  </si>
  <si>
    <t>Light amplification by stimulated emission of radiation; a coherent, monochromatic light source.</t>
  </si>
  <si>
    <t>Laser</t>
  </si>
  <si>
    <t>Lasers</t>
  </si>
  <si>
    <t>Principle Of Laser</t>
  </si>
  <si>
    <t>Laser Principle</t>
  </si>
  <si>
    <t>Coherence</t>
  </si>
  <si>
    <t>Radiation in the same phase in space and time, so a beam travels far with negligible divergence.</t>
  </si>
  <si>
    <t>Coherent Light</t>
  </si>
  <si>
    <t>Monochromaticity</t>
  </si>
  <si>
    <t>A laser ideally produces only one wavelength.</t>
  </si>
  <si>
    <t>Monochromatic</t>
  </si>
  <si>
    <t>Fully Monochromatic</t>
  </si>
  <si>
    <t>Line width</t>
  </si>
  <si>
    <t>Frequency band Δν of the wavelengths in a laser beam; about 10^2 Hz for a good laser.</t>
  </si>
  <si>
    <t>Line Width</t>
  </si>
  <si>
    <t>Directionality</t>
  </si>
  <si>
    <t>A laser beam diverges very little (about 10^-3 radians).</t>
  </si>
  <si>
    <t>Degree Of Directionality</t>
  </si>
  <si>
    <t>Brightness</t>
  </si>
  <si>
    <t>Laser energy is concentrated in a narrow beam, giving very high intensity.</t>
  </si>
  <si>
    <t>Divergence</t>
  </si>
  <si>
    <t>Spreading of the beam; about 1 mm per metre for a typical laser.</t>
  </si>
  <si>
    <t>Absorption</t>
  </si>
  <si>
    <t>An atom absorbs a photon of energy hν and rises to a higher energy level.</t>
  </si>
  <si>
    <t>Spontaneous emission</t>
  </si>
  <si>
    <t>Random, incoherent emission when an excited atom drops to a lower level.</t>
  </si>
  <si>
    <t>Spontaneous Emission</t>
  </si>
  <si>
    <t>Stimulated emission</t>
  </si>
  <si>
    <t>A photon stimulates an excited atom to emit a second coherent photon, giving amplification.</t>
  </si>
  <si>
    <t>Stimulated Emission</t>
  </si>
  <si>
    <t>Population inversion</t>
  </si>
  <si>
    <t>Getting a large percentage of atoms into an excited state.</t>
  </si>
  <si>
    <t>Population Inversion</t>
  </si>
  <si>
    <t>Negative temperature states</t>
  </si>
  <si>
    <t>States in which the higher energy level has more population than the lower one.</t>
  </si>
  <si>
    <t>Negative Temperature States</t>
  </si>
  <si>
    <t>Metastable state</t>
  </si>
  <si>
    <t>Excited state with a very low decay probability (lifetime greater than 10^-8 s).</t>
  </si>
  <si>
    <t>Metastable State</t>
  </si>
  <si>
    <t>Metastable States</t>
  </si>
  <si>
    <t>Meta Stable</t>
  </si>
  <si>
    <t>Lifetime of excited state</t>
  </si>
  <si>
    <t>The short time (about 10^-8 s) an atom stays in an excited state.</t>
  </si>
  <si>
    <t>Lifetime</t>
  </si>
  <si>
    <t>Excited state</t>
  </si>
  <si>
    <t>Higher energy state an atom reaches after absorbing energy.</t>
  </si>
  <si>
    <t>Excited State</t>
  </si>
  <si>
    <t>Excited States</t>
  </si>
  <si>
    <t>Excited Energy Level</t>
  </si>
  <si>
    <t>Ground state</t>
  </si>
  <si>
    <t>Lowest energy, stable state of the atom.</t>
  </si>
  <si>
    <t>Ground State</t>
  </si>
  <si>
    <t>Energy levels</t>
  </si>
  <si>
    <t>Allowed energy states of an atom, such as E1 and E2.</t>
  </si>
  <si>
    <t>Energy Levels</t>
  </si>
  <si>
    <t>Energy Level</t>
  </si>
  <si>
    <t>Lower Energy Level</t>
  </si>
  <si>
    <t>Lower Energy Levels</t>
  </si>
  <si>
    <t>Higher Energy Levels</t>
  </si>
  <si>
    <t>Upper Energy Levels</t>
  </si>
  <si>
    <t>Energy level diagram</t>
  </si>
  <si>
    <t>Diagram of the energy levels and transitions of a laser.</t>
  </si>
  <si>
    <t>Energy Level Diagram</t>
  </si>
  <si>
    <t>Photon</t>
  </si>
  <si>
    <t>Quantum of light with energy hν.</t>
  </si>
  <si>
    <t>Photons</t>
  </si>
  <si>
    <t>Planck constant</t>
  </si>
  <si>
    <t>Constant h that links photon energy to frequency.</t>
  </si>
  <si>
    <t>Planck Constant</t>
  </si>
  <si>
    <t>Active medium</t>
  </si>
  <si>
    <t>Medium in which population inversion takes place; may be solid, liquid or gas.</t>
  </si>
  <si>
    <t>Active Medium</t>
  </si>
  <si>
    <t>Active Medium, Pumping</t>
  </si>
  <si>
    <t>Active centres</t>
  </si>
  <si>
    <t>The few atoms of the active medium that take part in stimulated emission.</t>
  </si>
  <si>
    <t>Active Centres</t>
  </si>
  <si>
    <t>Pumping</t>
  </si>
  <si>
    <t>Raising atoms from lower to higher energy levels to achieve population inversion.</t>
  </si>
  <si>
    <t>Pumping methods (optical, electrical)</t>
  </si>
  <si>
    <t>Methods of pumping atoms: optical pumping and electrical pumping.</t>
  </si>
  <si>
    <t>Pumping Method</t>
  </si>
  <si>
    <t>Optical Pumping</t>
  </si>
  <si>
    <t>Electrical Pumping</t>
  </si>
  <si>
    <t>Resonant cavity</t>
  </si>
  <si>
    <t>Cavity of mirrors in which light returns to its original position many times.</t>
  </si>
  <si>
    <t>Resonant Cavity</t>
  </si>
  <si>
    <t>Resonant Cavities</t>
  </si>
  <si>
    <t>Optical Cavity</t>
  </si>
  <si>
    <t>Optical Resonator</t>
  </si>
  <si>
    <t>Partially and fully silvered mirrors</t>
  </si>
  <si>
    <t>One mirror is fully silvered and the other partially silvered, so the beam leaves through it.</t>
  </si>
  <si>
    <t>Partially Silvered</t>
  </si>
  <si>
    <t>Completely Silvered</t>
  </si>
  <si>
    <t>Fully Silvered</t>
  </si>
  <si>
    <t>Laser beam</t>
  </si>
  <si>
    <t>The output light that emerges through the partially silvered mirror.</t>
  </si>
  <si>
    <t>Laser Beam</t>
  </si>
  <si>
    <t>Laser Beams</t>
  </si>
  <si>
    <t>Helium-neon laser</t>
  </si>
  <si>
    <t>Continuous gas laser using a He-Ne mixture (10:1); the first gas laser to operate.</t>
  </si>
  <si>
    <t>Helium-neon Laser</t>
  </si>
  <si>
    <t>He-ne Laser</t>
  </si>
  <si>
    <t>He Ne Laser</t>
  </si>
  <si>
    <t>Helium and neon gases</t>
  </si>
  <si>
    <t>Helium excites neon through collisions; neon provides the lasing transitions.</t>
  </si>
  <si>
    <t>Helium</t>
  </si>
  <si>
    <t>Neon</t>
  </si>
  <si>
    <t>Helium Atoms</t>
  </si>
  <si>
    <t>Neon Atoms</t>
  </si>
  <si>
    <t>Ne</t>
  </si>
  <si>
    <t>He</t>
  </si>
  <si>
    <t>Energy transfer by collision</t>
  </si>
  <si>
    <t>Helium serves as an energy transfer agent that excites neon atoms.</t>
  </si>
  <si>
    <t>Energy Transfer Agent</t>
  </si>
  <si>
    <t>Inelastic collisions</t>
  </si>
  <si>
    <t>Collisions between excited He and ground-state Ne atoms that produce population inversion.</t>
  </si>
  <si>
    <t>Inelastic Collisions</t>
  </si>
  <si>
    <t>Electric discharge pumping</t>
  </si>
  <si>
    <t>Gas lasers are pumped by passing an electric discharge through the gas.</t>
  </si>
  <si>
    <t>Electric Discharge</t>
  </si>
  <si>
    <t>Electrical Discharge</t>
  </si>
  <si>
    <t>Continuous laser</t>
  </si>
  <si>
    <t>Laser with continuous output, such as the He-Ne laser, unlike the ruby laser.</t>
  </si>
  <si>
    <t>Continuous Laser</t>
  </si>
  <si>
    <t>Gas laser</t>
  </si>
  <si>
    <t>Laser whose active medium is a gas.</t>
  </si>
  <si>
    <t>Gas Laser</t>
  </si>
  <si>
    <t>Gas Lasers</t>
  </si>
  <si>
    <t>Solid-state laser</t>
  </si>
  <si>
    <t>Laser whose active medium is a solid, usually pumped by a flash lamp.</t>
  </si>
  <si>
    <t>Solid State Laser</t>
  </si>
  <si>
    <t>Solid-state Laser</t>
  </si>
  <si>
    <t>Solid State</t>
  </si>
  <si>
    <t>Four-level laser</t>
  </si>
  <si>
    <t>Laser with four energy levels, such as Nd:YAG.</t>
  </si>
  <si>
    <t>Four-level Solid-state Laser</t>
  </si>
  <si>
    <t>Four Level Laser</t>
  </si>
  <si>
    <t>Four-level Laser</t>
  </si>
  <si>
    <t>Ruby laser</t>
  </si>
  <si>
    <t>Solid-state laser that the He-Ne laser is contrasted with.</t>
  </si>
  <si>
    <t>Ruby Laser</t>
  </si>
  <si>
    <t>Nd:YAG laser</t>
  </si>
  <si>
    <t>Four-level solid-state laser using neodymium in a YAG crystal; emits at 1.06 μm.</t>
  </si>
  <si>
    <t>Nd Yag Laser</t>
  </si>
  <si>
    <t>Yag Laser</t>
  </si>
  <si>
    <t>Nd-yag Laser</t>
  </si>
  <si>
    <t>Neodymium-based Laser</t>
  </si>
  <si>
    <t>Neodymium (Nd3+) ions</t>
  </si>
  <si>
    <t>Rare-earth ions that replace some Y3+ ions and provide the lasing levels.</t>
  </si>
  <si>
    <t>Neodymium</t>
  </si>
  <si>
    <t>Neodymium Ions</t>
  </si>
  <si>
    <t>Nd</t>
  </si>
  <si>
    <t>Nd3 +) Ions</t>
  </si>
  <si>
    <t>Nd3 +) Atoms</t>
  </si>
  <si>
    <t>YAG (yttrium aluminum garnet)</t>
  </si>
  <si>
    <t>Host crystal (Y3Al5O12) doped with neodymium.</t>
  </si>
  <si>
    <t>Yttrium Aluminum Garnet</t>
  </si>
  <si>
    <t>Yag</t>
  </si>
  <si>
    <t>Yag Crystal</t>
  </si>
  <si>
    <t>Rare earth element</t>
  </si>
  <si>
    <t>Neodymium is a rare earth element.</t>
  </si>
  <si>
    <t>Rare Earth Element</t>
  </si>
  <si>
    <t>Rare Earth</t>
  </si>
  <si>
    <t>Pumping source (flash tube)</t>
  </si>
  <si>
    <t>Krypton or xenon flash tube that optically pumps the Nd:YAG rod.</t>
  </si>
  <si>
    <t>Pumping Source</t>
  </si>
  <si>
    <t>Flash Lamp</t>
  </si>
  <si>
    <t>Flash Tube</t>
  </si>
  <si>
    <t>Krypton Flash Tube</t>
  </si>
  <si>
    <t>Krypton Flash Tubes</t>
  </si>
  <si>
    <t>Krypton Flash Lamp</t>
  </si>
  <si>
    <t>Elliptical reflector cavity</t>
  </si>
  <si>
    <t>Reflecting cavity that holds the laser rod and the flash tube.</t>
  </si>
  <si>
    <t>Elliptical Reflector Cavity</t>
  </si>
  <si>
    <t>Elliptical Cavity</t>
  </si>
  <si>
    <t>Pump bands</t>
  </si>
  <si>
    <t>Upper energy bands E3 and E4 that absorb the pump light.</t>
  </si>
  <si>
    <t>Pump Bands</t>
  </si>
  <si>
    <t>Non-radiative transition</t>
  </si>
  <si>
    <t>Transition without photon emission from the pump bands down to the metastable level E2.</t>
  </si>
  <si>
    <t>Non-radiative Transition</t>
  </si>
  <si>
    <t>Non Radiative Transition</t>
  </si>
  <si>
    <t>Semiconductor diode laser</t>
  </si>
  <si>
    <t>p-n junction device that emits coherent light when forward biased; also called an injection laser.</t>
  </si>
  <si>
    <t>Semiconductor Laser</t>
  </si>
  <si>
    <t>Semiconductor Diode Laser</t>
  </si>
  <si>
    <t>Diode Laser</t>
  </si>
  <si>
    <t>Laser Diode</t>
  </si>
  <si>
    <t>Injection Laser</t>
  </si>
  <si>
    <t>A Semiconductor Diode Laser</t>
  </si>
  <si>
    <t>p-n junction</t>
  </si>
  <si>
    <t>Junction of p-type and n-type semiconductor in the laser diode.</t>
  </si>
  <si>
    <t>P-n Junction</t>
  </si>
  <si>
    <t>P N Junction</t>
  </si>
  <si>
    <t>Forward bias</t>
  </si>
  <si>
    <t>Bias applied to the junction; it acts as the pumping agent.</t>
  </si>
  <si>
    <t>Forward Bias</t>
  </si>
  <si>
    <t>Forward Biased</t>
  </si>
  <si>
    <t>Depletion region</t>
  </si>
  <si>
    <t>Region into which charge carriers are injected.</t>
  </si>
  <si>
    <t>Depletion Region</t>
  </si>
  <si>
    <t>Band gap</t>
  </si>
  <si>
    <t>Energy gap Eg; the photon frequency is ν = Eg/h.</t>
  </si>
  <si>
    <t>Band Gap</t>
  </si>
  <si>
    <t>Conduction band</t>
  </si>
  <si>
    <t>Band whose lower part is occupied by electrons on the heavily doped n-side.</t>
  </si>
  <si>
    <t>Conduction Band</t>
  </si>
  <si>
    <t>Valence band</t>
  </si>
  <si>
    <t>Band in which holes exist on the heavily doped p-side.</t>
  </si>
  <si>
    <t>Valence Band</t>
  </si>
  <si>
    <t>Fermi level</t>
  </si>
  <si>
    <t>Lies in the conduction band on the n-side and in the valence band on the p-side.</t>
  </si>
  <si>
    <t>Fermi Level</t>
  </si>
  <si>
    <t>Heavy doping</t>
  </si>
  <si>
    <t>Very high doping of the p and n regions of the diode.</t>
  </si>
  <si>
    <t>Heavily Doped</t>
  </si>
  <si>
    <t>Heavy Doping</t>
  </si>
  <si>
    <t>High Doping</t>
  </si>
  <si>
    <t>Highly Doped P-region</t>
  </si>
  <si>
    <t>Highly Doped P</t>
  </si>
  <si>
    <t>Donor level</t>
  </si>
  <si>
    <t>Level occupied by electrons on the heavily doped n-side.</t>
  </si>
  <si>
    <t>Donor Level</t>
  </si>
  <si>
    <t>Electron-hole recombination</t>
  </si>
  <si>
    <t>Electrons recombine with holes and emit photons of energy equal to the band gap.</t>
  </si>
  <si>
    <t>Electron-hole Recombination</t>
  </si>
  <si>
    <t>Recombination</t>
  </si>
  <si>
    <t>Active region</t>
  </si>
  <si>
    <t>Region where population inversion is achieved in the diode.</t>
  </si>
  <si>
    <t>Active Region</t>
  </si>
  <si>
    <t>LED action</t>
  </si>
  <si>
    <t>At low forward current the junction emits spontaneously, like an LED.</t>
  </si>
  <si>
    <t>LED</t>
  </si>
  <si>
    <t>Led</t>
  </si>
  <si>
    <t>GaAs and GaAsP lasers</t>
  </si>
  <si>
    <t>Diode lasers emitting at 9000 Å (infra-red) and 6500 Å (visible).</t>
  </si>
  <si>
    <t>Gaas Laser</t>
  </si>
  <si>
    <t>Gaas Laser Wavelength</t>
  </si>
  <si>
    <t>Applications of lasers</t>
  </si>
  <si>
    <t>Uses of lasers in industry, medicine and computers.</t>
  </si>
  <si>
    <t>Applications Of Lasers</t>
  </si>
  <si>
    <t>Engineering and industry applications</t>
  </si>
  <si>
    <t>Cutting, welding, drilling, micromachining and surveying.</t>
  </si>
  <si>
    <t>1 Engineering / Industry</t>
  </si>
  <si>
    <t>Industrial Application</t>
  </si>
  <si>
    <t>Important Industrial Application</t>
  </si>
  <si>
    <t>Engineering Applications</t>
  </si>
  <si>
    <t>Cutting</t>
  </si>
  <si>
    <t>A focused laser beam cuts metal sheets and fabric with high precision.</t>
  </si>
  <si>
    <t>Welding</t>
  </si>
  <si>
    <t>Laser used as a heat source to weld metals, such as thermocouple wires.</t>
  </si>
  <si>
    <t>Drilling</t>
  </si>
  <si>
    <t>Drilling micron-size holes, for example in printed circuit boards.</t>
  </si>
  <si>
    <t>Micromachining</t>
  </si>
  <si>
    <t>Machining a surface slowly and accurately for a very smooth finish.</t>
  </si>
  <si>
    <t>Micro Machining</t>
  </si>
  <si>
    <t>Surveying</t>
  </si>
  <si>
    <t>Using the laser's intensity and directionality, for example to check tunnel alignment.</t>
  </si>
  <si>
    <t>Laser radar (Lidar)</t>
  </si>
  <si>
    <t>Laser beams find the distance, velocity and direction of distant objects from echoes.</t>
  </si>
  <si>
    <t>Laser Radar</t>
  </si>
  <si>
    <t>Lidar</t>
  </si>
  <si>
    <t>Medical applications</t>
  </si>
  <si>
    <t>Uses of lasers in medicine.</t>
  </si>
  <si>
    <t>2 Medicine</t>
  </si>
  <si>
    <t>Medicine</t>
  </si>
  <si>
    <t>Bloodless cancer surgery</t>
  </si>
  <si>
    <t>A focused beam destroys harmful tissue without damaging the surrounding region.</t>
  </si>
  <si>
    <t>Bloodless Cancer Surgeries</t>
  </si>
  <si>
    <t>Bloodless Cancer Surgery</t>
  </si>
  <si>
    <t>Bloodless Cancer</t>
  </si>
  <si>
    <t>Ophthalmology</t>
  </si>
  <si>
    <t>Treating detached retinas and welding the cornea.</t>
  </si>
  <si>
    <t>Micro-surgery</t>
  </si>
  <si>
    <t>Lasers attached to microscopes for micro-surgery and micro-burning.</t>
  </si>
  <si>
    <t>Microsurgery</t>
  </si>
  <si>
    <t>Laser microprobes (dental drills)</t>
  </si>
  <si>
    <t>Used as dental drills, with no heating, anesthetic or pain.</t>
  </si>
  <si>
    <t>Laser Microprobes</t>
  </si>
  <si>
    <t>Dental Drills</t>
  </si>
  <si>
    <t>CD writer devices</t>
  </si>
  <si>
    <t>A laser writes and reads data on a compact disk as pits and lands.</t>
  </si>
  <si>
    <t>Cd Writer Devices</t>
  </si>
  <si>
    <t>Compact Disk</t>
  </si>
  <si>
    <t>CD</t>
  </si>
  <si>
    <t>Laser printers</t>
  </si>
  <si>
    <t>A laser beam produces the image on the photosensitive drum.</t>
  </si>
  <si>
    <t>Laser Printers</t>
  </si>
  <si>
    <t>Optical fibre</t>
  </si>
  <si>
    <t>Fibre that carries light by total internal reflection.</t>
  </si>
  <si>
    <t>Optic Fibre</t>
  </si>
  <si>
    <t>Optical Fibre</t>
  </si>
  <si>
    <t>Optical Fiber</t>
  </si>
  <si>
    <t>Optical Fibers</t>
  </si>
  <si>
    <t>Fibre Optics</t>
  </si>
  <si>
    <t>Fiber Optics</t>
  </si>
  <si>
    <t>Core of the fibre</t>
  </si>
  <si>
    <t>Inner layer that carries the light signals.</t>
  </si>
  <si>
    <t>Core Material</t>
  </si>
  <si>
    <t>Cladding</t>
  </si>
  <si>
    <t>Layer that keeps the light in the core.</t>
  </si>
  <si>
    <t>Clad Material</t>
  </si>
  <si>
    <t>Coating (buffer)</t>
  </si>
  <si>
    <t>Outer layer that protects the cladding from damage.</t>
  </si>
  <si>
    <t>Coating</t>
  </si>
  <si>
    <t>Buffer Coating</t>
  </si>
  <si>
    <t>Core-cladding interface</t>
  </si>
  <si>
    <t>Boundary where total internal reflection takes place.</t>
  </si>
  <si>
    <t>Core-cladding Interface</t>
  </si>
  <si>
    <t>Cladding Interface</t>
  </si>
  <si>
    <t>Cladding Boundary</t>
  </si>
  <si>
    <t>Acceptance angle</t>
  </si>
  <si>
    <t>Maximum angle to the fibre axis at which light is still guided down the fibre.</t>
  </si>
  <si>
    <t>Acceptance Angle</t>
  </si>
  <si>
    <t>Angle Of Acceptance</t>
  </si>
  <si>
    <t>Acceptance Angles</t>
  </si>
  <si>
    <t>Acceptance Angle, Acceptance Cone</t>
  </si>
  <si>
    <t>Acceptance cone</t>
  </si>
  <si>
    <t>Cone of full angle 2θ0 within which light is accepted and transmitted.</t>
  </si>
  <si>
    <t>Acceptance Cone</t>
  </si>
  <si>
    <t>Numerical aperture</t>
  </si>
  <si>
    <t>Light-gathering power of the fibre; NA = sqrt(μ1² − μ2²).</t>
  </si>
  <si>
    <t>Numerical Aperture</t>
  </si>
  <si>
    <t>Light gathering ability</t>
  </si>
  <si>
    <t>Depends on the core size and the numerical aperture.</t>
  </si>
  <si>
    <t>Light Gathering Ability</t>
  </si>
  <si>
    <t>Light Gathering Power</t>
  </si>
  <si>
    <t>Gathering Ability</t>
  </si>
  <si>
    <t>Fractional refractive index difference</t>
  </si>
  <si>
    <t>Fractional difference between the refractive indices of core and cladding.</t>
  </si>
  <si>
    <t>Fractional Refractive Index</t>
  </si>
  <si>
    <t>Fractional Difference</t>
  </si>
  <si>
    <t>Relative Refractive Index Difference</t>
  </si>
  <si>
    <t>Types of optical fibres</t>
  </si>
  <si>
    <t>Classified by material, refractive index and mode of propagation.</t>
  </si>
  <si>
    <t>Types Of Optical Fibers</t>
  </si>
  <si>
    <t>Types Of Optical Fibres</t>
  </si>
  <si>
    <t>Plastic optical fibre</t>
  </si>
  <si>
    <t>Fibre with a polymethylmethacrylate core.</t>
  </si>
  <si>
    <t>Plastic Optical Fibers</t>
  </si>
  <si>
    <t>Plastic Optical Fibres</t>
  </si>
  <si>
    <t>Glass fibre</t>
  </si>
  <si>
    <t>Fibre made of extremely fine glass.</t>
  </si>
  <si>
    <t>Glass Fibers</t>
  </si>
  <si>
    <t>Glass Fibres</t>
  </si>
  <si>
    <t>Step-index fibre</t>
  </si>
  <si>
    <t>Core and cladding each have a constant refractive index.</t>
  </si>
  <si>
    <t>Step Index Fiber</t>
  </si>
  <si>
    <t>Step Index Fibers</t>
  </si>
  <si>
    <t>Step-index Optical Fiber</t>
  </si>
  <si>
    <t>Step Index Fibre</t>
  </si>
  <si>
    <t>Step Index</t>
  </si>
  <si>
    <t>Graded-index fibre</t>
  </si>
  <si>
    <t>Core refractive index decreases gradually from the centre outward.</t>
  </si>
  <si>
    <t>Graded Index Fiber</t>
  </si>
  <si>
    <t>Graded Index Fibers</t>
  </si>
  <si>
    <t>Graded Index</t>
  </si>
  <si>
    <t>Graded Index Optical Fiber</t>
  </si>
  <si>
    <t>Graded Index Fibre</t>
  </si>
  <si>
    <t>Single-mode fibre</t>
  </si>
  <si>
    <t>Only one ray path; small core, used for long-distance transmission.</t>
  </si>
  <si>
    <t>Single-mode Fiber</t>
  </si>
  <si>
    <t>Single-mode Fibers</t>
  </si>
  <si>
    <t>Single Mode Fiber</t>
  </si>
  <si>
    <t>Single-mode</t>
  </si>
  <si>
    <t>Multimode fibre</t>
  </si>
  <si>
    <t>Many modes; larger core, used for short-distance transmission.</t>
  </si>
  <si>
    <t>Multi-mode Fiber</t>
  </si>
  <si>
    <t>Multimode Fiber</t>
  </si>
  <si>
    <t>Multimode Fibers</t>
  </si>
  <si>
    <t>Multi-mode</t>
  </si>
  <si>
    <t>Multimode</t>
  </si>
  <si>
    <t>Modes of propagation</t>
  </si>
  <si>
    <t>The number of ray paths a fibre allows.</t>
  </si>
  <si>
    <t>Number Of Modes</t>
  </si>
  <si>
    <t>Modes</t>
  </si>
  <si>
    <t>Meridional rays</t>
  </si>
  <si>
    <t>Rays in a step-index fibre that cross the fibre axis at every reflection.</t>
  </si>
  <si>
    <t>Meridional Rays</t>
  </si>
  <si>
    <t>Skew and helical rays</t>
  </si>
  <si>
    <t>Rays in a graded-index fibre that never cross the fibre axis.</t>
  </si>
  <si>
    <t>Skew Rays</t>
  </si>
  <si>
    <t>Helical Rays</t>
  </si>
  <si>
    <t>Dispersion</t>
  </si>
  <si>
    <t>Spreading of the signal, which limits multimode fibres.</t>
  </si>
  <si>
    <t>Attenuation</t>
  </si>
  <si>
    <t>Loss of signal strength along the fibre.</t>
  </si>
  <si>
    <t>Communication kit</t>
  </si>
  <si>
    <t>Transmitter, optical fibre and receiver used in telecommunication.</t>
  </si>
  <si>
    <t>Communication Kit</t>
  </si>
  <si>
    <t>Transmitter</t>
  </si>
  <si>
    <t>Light source (laser diode) supported by a drive circuit.</t>
  </si>
  <si>
    <t>Receiver</t>
  </si>
  <si>
    <t>Detects, amplifies and decodes the light signal.</t>
  </si>
  <si>
    <t>Photodetector</t>
  </si>
  <si>
    <t>Converts the light signal back into an electrical signal.</t>
  </si>
  <si>
    <t>Photo-detector</t>
  </si>
  <si>
    <t>Photo Detector</t>
  </si>
  <si>
    <t>Transducer</t>
  </si>
  <si>
    <t>Converts non-electrical signals into electrical signals.</t>
  </si>
  <si>
    <t>Analog and digital modulation</t>
  </si>
  <si>
    <t>Varying intensity is analog modulation; switching ON/OFF is digital modulation.</t>
  </si>
  <si>
    <t>Analog Modulation</t>
  </si>
  <si>
    <t>Digital Modulation</t>
  </si>
  <si>
    <t>Applications of optic fibre</t>
  </si>
  <si>
    <t>Uses of optical fibre, mainly telecommunication.</t>
  </si>
  <si>
    <t>Applications Of Optic Fibre</t>
  </si>
  <si>
    <t>—</t>
  </si>
  <si>
    <t>Advantages</t>
  </si>
  <si>
    <t>Not in Claude's list</t>
  </si>
  <si>
    <t>Slide heading</t>
  </si>
  <si>
    <t>Angle</t>
  </si>
  <si>
    <t>Angle | Angles</t>
  </si>
  <si>
    <t>Extracted by a tool; not a concept in Claude's list</t>
  </si>
  <si>
    <t>Applications</t>
  </si>
  <si>
    <t>Application | Applications</t>
  </si>
  <si>
    <t>Atomic System</t>
  </si>
  <si>
    <t>Communication Kit Consists</t>
  </si>
  <si>
    <t>Destroyed Without Damaging</t>
  </si>
  <si>
    <t>Emission</t>
  </si>
  <si>
    <t>Energy</t>
  </si>
  <si>
    <t>Fabric Cutting</t>
  </si>
  <si>
    <t>Form Optical Cavity</t>
  </si>
  <si>
    <t>High</t>
  </si>
  <si>
    <t>High Energy Density</t>
  </si>
  <si>
    <t>High Energy Output</t>
  </si>
  <si>
    <t>Large Percentage</t>
  </si>
  <si>
    <t>Levels</t>
  </si>
  <si>
    <t>Level | Levels</t>
  </si>
  <si>
    <t>Light Rays Return</t>
  </si>
  <si>
    <t>Original Position</t>
  </si>
  <si>
    <t>Principle</t>
  </si>
  <si>
    <t>Prism Surface</t>
  </si>
  <si>
    <t>Radiated Photon</t>
  </si>
  <si>
    <t>Semiconductor Laser Working</t>
  </si>
  <si>
    <t>Sin</t>
  </si>
  <si>
    <t>Part of a formula</t>
  </si>
  <si>
    <t>Spontaneous Emission Occurs</t>
  </si>
  <si>
    <t>State | States</t>
  </si>
  <si>
    <t>Stimulated</t>
  </si>
  <si>
    <t>Surrounding Region</t>
  </si>
  <si>
    <t>Type</t>
  </si>
  <si>
    <t>Type | Types</t>
  </si>
  <si>
    <t>Types | Type</t>
  </si>
  <si>
    <t>Absorbed Energy</t>
  </si>
  <si>
    <t>Acceptance</t>
  </si>
  <si>
    <t>Active</t>
  </si>
  <si>
    <t>Aluminum Garnet</t>
  </si>
  <si>
    <t>Amplification By Stimulated</t>
  </si>
  <si>
    <t>Applications Of Optic</t>
  </si>
  <si>
    <t>Area</t>
  </si>
  <si>
    <t>Areas Of Application</t>
  </si>
  <si>
    <t>Atom | Atoms</t>
  </si>
  <si>
    <t>Atoms | Atom</t>
  </si>
  <si>
    <t>Band</t>
  </si>
  <si>
    <t>Beams</t>
  </si>
  <si>
    <t>Beam</t>
  </si>
  <si>
    <t>Calculate</t>
  </si>
  <si>
    <t>Called</t>
  </si>
  <si>
    <t>Called Negative Crystals</t>
  </si>
  <si>
    <t>Called Polarized</t>
  </si>
  <si>
    <t>Called Positive Crystals</t>
  </si>
  <si>
    <t>Called Principal Plane</t>
  </si>
  <si>
    <t>Cancer Surgeries</t>
  </si>
  <si>
    <t>Classification Based</t>
  </si>
  <si>
    <t>Communication</t>
  </si>
  <si>
    <t>Computer –</t>
  </si>
  <si>
    <t>Computer</t>
  </si>
  <si>
    <t>Cone</t>
  </si>
  <si>
    <t>Constant</t>
  </si>
  <si>
    <t>Construction</t>
  </si>
  <si>
    <t>Continuous</t>
  </si>
  <si>
    <t>Critical</t>
  </si>
  <si>
    <t>Crystal | Crystals</t>
  </si>
  <si>
    <t>Crystals | Crystal</t>
  </si>
  <si>
    <t>Devices</t>
  </si>
  <si>
    <t>Device | Devices</t>
  </si>
  <si>
    <t>Diode</t>
  </si>
  <si>
    <t>Direction | Directions</t>
  </si>
  <si>
    <t>Disadvantages</t>
  </si>
  <si>
    <t>Discovered</t>
  </si>
  <si>
    <t>Disk</t>
  </si>
  <si>
    <t>Distances Without Deviation</t>
  </si>
  <si>
    <t>Due</t>
  </si>
  <si>
    <t>Electron | Electrons</t>
  </si>
  <si>
    <t>Electrons</t>
  </si>
  <si>
    <t>Electrons Are Initially</t>
  </si>
  <si>
    <t>Emits Coherent Light</t>
  </si>
  <si>
    <t>Emitted</t>
  </si>
  <si>
    <t>Energy Band</t>
  </si>
  <si>
    <t>Energy State</t>
  </si>
  <si>
    <t>Energy State | Energy States</t>
  </si>
  <si>
    <t>Engineering</t>
  </si>
  <si>
    <t>Equals The Difference</t>
  </si>
  <si>
    <t>Erasmus Bartholinus</t>
  </si>
  <si>
    <t>Excited</t>
  </si>
  <si>
    <t>Excited Atom</t>
  </si>
  <si>
    <t>Faces</t>
  </si>
  <si>
    <t>Fermi Level Lies</t>
  </si>
  <si>
    <t>Fiber | Fibers</t>
  </si>
  <si>
    <t>Fiber Axis</t>
  </si>
  <si>
    <t>Fig. Shows</t>
  </si>
  <si>
    <t>Figure Shows</t>
  </si>
  <si>
    <t>Slide caption fragment, not a concept</t>
  </si>
  <si>
    <t>Form</t>
  </si>
  <si>
    <t>Formulas</t>
  </si>
  <si>
    <t>Forward</t>
  </si>
  <si>
    <t>Forward Bias Acts</t>
  </si>
  <si>
    <t>Frequency Of Radiated</t>
  </si>
  <si>
    <t>Gradually Decreases</t>
  </si>
  <si>
    <t>Hard Metal Sheets</t>
  </si>
  <si>
    <t>Harmful Tissue</t>
  </si>
  <si>
    <t>Helium-neon Laser Principle</t>
  </si>
  <si>
    <t>High Energy</t>
  </si>
  <si>
    <t>Higher Energy</t>
  </si>
  <si>
    <t>Higher Energy State</t>
  </si>
  <si>
    <t>Important Areas</t>
  </si>
  <si>
    <t>Important Industrial</t>
  </si>
  <si>
    <t>Incidence</t>
  </si>
  <si>
    <t>Incident</t>
  </si>
  <si>
    <t>Intense Laser Light</t>
  </si>
  <si>
    <t>Introduction</t>
  </si>
  <si>
    <t>Inversion</t>
  </si>
  <si>
    <t>Junction</t>
  </si>
  <si>
    <t>Kit</t>
  </si>
  <si>
    <t>Large Distances</t>
  </si>
  <si>
    <t>Large Number</t>
  </si>
  <si>
    <t>Laser Beam Diverges</t>
  </si>
  <si>
    <t>Laser Beam Emerges</t>
  </si>
  <si>
    <t>Laser Beam Starts</t>
  </si>
  <si>
    <t>Laser Construction</t>
  </si>
  <si>
    <t>Laser Light</t>
  </si>
  <si>
    <t>Laser Produces</t>
  </si>
  <si>
    <t>Laser Radiates Light</t>
  </si>
  <si>
    <t>Laser Working</t>
  </si>
  <si>
    <t>Lasers Computer</t>
  </si>
  <si>
    <t>Light</t>
  </si>
  <si>
    <t>Light Amplification</t>
  </si>
  <si>
    <t>Light Is Incident</t>
  </si>
  <si>
    <t>Light Ray</t>
  </si>
  <si>
    <t>Light Ray | Light Rays</t>
  </si>
  <si>
    <t>Light Rays Propagate</t>
  </si>
  <si>
    <t>Light Rays Traveling</t>
  </si>
  <si>
    <t>Light Source</t>
  </si>
  <si>
    <t>Light Wave</t>
  </si>
  <si>
    <t>Low Forward Current</t>
  </si>
  <si>
    <t>Lower Energy</t>
  </si>
  <si>
    <t>Lower Energy State</t>
  </si>
  <si>
    <t>Material</t>
  </si>
  <si>
    <t>Maximum Angle</t>
  </si>
  <si>
    <t>Metal</t>
  </si>
  <si>
    <t>Metastable</t>
  </si>
  <si>
    <t>Metastable Excited States</t>
  </si>
  <si>
    <t>Mode Fiber</t>
  </si>
  <si>
    <t>Mode Fibers</t>
  </si>
  <si>
    <t>Neon Atoms De-excite</t>
  </si>
  <si>
    <t>Number Of Times</t>
  </si>
  <si>
    <t>Numericals</t>
  </si>
  <si>
    <t>Numerical</t>
  </si>
  <si>
    <t>Slide heading (numerical problems) or partial term</t>
  </si>
  <si>
    <t>O-ray Passes</t>
  </si>
  <si>
    <t>Opposite Faces</t>
  </si>
  <si>
    <t>Optical</t>
  </si>
  <si>
    <t>Optical Fiber Based</t>
  </si>
  <si>
    <t>Optical Fiber Decreases</t>
  </si>
  <si>
    <t>Optical Fibers Depend</t>
  </si>
  <si>
    <t>Optics</t>
  </si>
  <si>
    <t>Optics | Optic</t>
  </si>
  <si>
    <t>Passes</t>
  </si>
  <si>
    <t>Percentage Of Atoms</t>
  </si>
  <si>
    <t>Perpendicular</t>
  </si>
  <si>
    <t>Phenomenon</t>
  </si>
  <si>
    <t>Photon Equals</t>
  </si>
  <si>
    <t>Plane</t>
  </si>
  <si>
    <t>Plane Perpendicular</t>
  </si>
  <si>
    <t>Polarization – Nicol Prism</t>
  </si>
  <si>
    <t>Polarization – Polarized Light</t>
  </si>
  <si>
    <t>Population</t>
  </si>
  <si>
    <t>Position After Travelling</t>
  </si>
  <si>
    <t>Positive Crystals Negative Crystals</t>
  </si>
  <si>
    <t>Power Output</t>
  </si>
  <si>
    <t>Principal Section Cuts</t>
  </si>
  <si>
    <t>Prism</t>
  </si>
  <si>
    <t>Probability</t>
  </si>
  <si>
    <t>Process</t>
  </si>
  <si>
    <t>Produces The Popular</t>
  </si>
  <si>
    <t>Properties</t>
  </si>
  <si>
    <t>Radiation</t>
  </si>
  <si>
    <t>Ray | Rays</t>
  </si>
  <si>
    <t>Rays Obeys Snell</t>
  </si>
  <si>
    <t>Rays Return</t>
  </si>
  <si>
    <t>Refracted</t>
  </si>
  <si>
    <t>Refracted Rays</t>
  </si>
  <si>
    <t>Refraction</t>
  </si>
  <si>
    <t>Refractive Index Lies</t>
  </si>
  <si>
    <t>Region</t>
  </si>
  <si>
    <t>Rod</t>
  </si>
  <si>
    <t>Signal</t>
  </si>
  <si>
    <t>Simplest Transverse Wave</t>
  </si>
  <si>
    <t>Single</t>
  </si>
  <si>
    <t>Single Plane</t>
  </si>
  <si>
    <t>Single Plane Perpendicular</t>
  </si>
  <si>
    <t>Small</t>
  </si>
  <si>
    <t>Source</t>
  </si>
  <si>
    <t>Stable State</t>
  </si>
  <si>
    <t>State Laser</t>
  </si>
  <si>
    <t>Studies</t>
  </si>
  <si>
    <t>Suitable Lenses</t>
  </si>
  <si>
    <t>Surfaces</t>
  </si>
  <si>
    <t>Surface</t>
  </si>
  <si>
    <t>System</t>
  </si>
  <si>
    <t>Term</t>
  </si>
  <si>
    <t>Term Laser</t>
  </si>
  <si>
    <t>Term Laser Stands</t>
  </si>
  <si>
    <t>Theory</t>
  </si>
  <si>
    <t>Theory Huygen Explained</t>
  </si>
  <si>
    <t>Time</t>
  </si>
  <si>
    <t>Time | Times</t>
  </si>
  <si>
    <t>Total Active Medium</t>
  </si>
  <si>
    <t>Transducer Converts</t>
  </si>
  <si>
    <t>Transition</t>
  </si>
  <si>
    <t>Transmission</t>
  </si>
  <si>
    <t>Transverse Nature</t>
  </si>
  <si>
    <t>Uniform Refractive Index</t>
  </si>
  <si>
    <t>Unlike The Ruby</t>
  </si>
  <si>
    <t>Vibration</t>
  </si>
  <si>
    <t>Vibrations</t>
  </si>
  <si>
    <t>Wavelength</t>
  </si>
  <si>
    <t>Wavelengths Included</t>
  </si>
  <si>
    <t>Waves</t>
  </si>
  <si>
    <t>Wave</t>
  </si>
  <si>
    <t>Waves Leads</t>
  </si>
  <si>
    <t>Working</t>
  </si>
  <si>
    <t>Working The Figure</t>
  </si>
  <si>
    <t>Writer Devices</t>
  </si>
  <si>
    <t>Yag Laser Construction</t>
  </si>
  <si>
    <t>Yag Rod</t>
  </si>
  <si>
    <t>Yttrium Ions</t>
  </si>
  <si>
    <t>Δλ</t>
  </si>
  <si>
    <t>2 Types</t>
  </si>
  <si>
    <t>5893a , Μc</t>
  </si>
  <si>
    <t>658 Refractive Index</t>
  </si>
  <si>
    <t>658  C</t>
  </si>
  <si>
    <t>8 Sec</t>
  </si>
  <si>
    <t>Number fragment (10^-8 s)</t>
  </si>
  <si>
    <t>Ac Accept Angle</t>
  </si>
  <si>
    <t>Accept</t>
  </si>
  <si>
    <t>Accept Large Amount</t>
  </si>
  <si>
    <t>Acceptance Angles Make</t>
  </si>
  <si>
    <t>Accepted</t>
  </si>
  <si>
    <t>According</t>
  </si>
  <si>
    <t>Stop word</t>
  </si>
  <si>
    <t>Achieve Population Inversion</t>
  </si>
  <si>
    <t>Achieving Population Inversion</t>
  </si>
  <si>
    <t>Active Element</t>
  </si>
  <si>
    <t>Active Medium May</t>
  </si>
  <si>
    <t>Active Medium Must</t>
  </si>
  <si>
    <t>Active Medium Nd</t>
  </si>
  <si>
    <t>Active System</t>
  </si>
  <si>
    <t>Advantages Of Semiconductor</t>
  </si>
  <si>
    <t>Advantages Of Semiconductor Laser</t>
  </si>
  <si>
    <t>Along Bc Making</t>
  </si>
  <si>
    <t>Along Bd Making</t>
  </si>
  <si>
    <t>Also</t>
  </si>
  <si>
    <t>Also Classified</t>
  </si>
  <si>
    <t>Also Constant</t>
  </si>
  <si>
    <t>Also Termed</t>
  </si>
  <si>
    <t>Amount Of Yttrium</t>
  </si>
  <si>
    <t>Analyzing Plane</t>
  </si>
  <si>
    <t>Analyzing Plane-polarized</t>
  </si>
  <si>
    <t>Analyzing Plane-polarized Light</t>
  </si>
  <si>
    <t>Angles 109 </t>
  </si>
  <si>
    <t>Anisotropic Materials Exhibit</t>
  </si>
  <si>
    <t>Anisotropic Materials Exhibit Double</t>
  </si>
  <si>
    <t>Aperture</t>
  </si>
  <si>
    <t>Approximately 10 Times</t>
  </si>
  <si>
    <t>Approximately 70 Watts</t>
  </si>
  <si>
    <t>As 'metastable</t>
  </si>
  <si>
    <t>As 'population Inversion‘</t>
  </si>
  <si>
    <t>As Acceptance Cone</t>
  </si>
  <si>
    <t>As Active Region</t>
  </si>
  <si>
    <t>At One End Of The Tube</t>
  </si>
  <si>
    <t>Atom Absorbs</t>
  </si>
  <si>
    <t>Atom Gets Excited</t>
  </si>
  <si>
    <t>Atomic</t>
  </si>
  <si>
    <t>Atoms Or Molecules</t>
  </si>
  <si>
    <t>Axis</t>
  </si>
  <si>
    <t>Axis Gets Emitted</t>
  </si>
  <si>
    <t>Balsam</t>
  </si>
  <si>
    <t>Bartholinus</t>
  </si>
  <si>
    <t>Based</t>
  </si>
  <si>
    <t>Based On Refractive</t>
  </si>
  <si>
    <t>Beam Diverges</t>
  </si>
  <si>
    <t>Bloodless</t>
  </si>
  <si>
    <t>Blunt Corner</t>
  </si>
  <si>
    <t>Broad Absorption Bands</t>
  </si>
  <si>
    <t>Bubbles</t>
  </si>
  <si>
    <t>Calcite Crystal Making</t>
  </si>
  <si>
    <t>Calcite Crystal Polarization</t>
  </si>
  <si>
    <t>Called Active Centres</t>
  </si>
  <si>
    <t>Called Birefringence</t>
  </si>
  <si>
    <t>Called Polarization</t>
  </si>
  <si>
    <t>Called Principal</t>
  </si>
  <si>
    <t>Called The Principal</t>
  </si>
  <si>
    <t>Canada</t>
  </si>
  <si>
    <t>Categories Based</t>
  </si>
  <si>
    <t>Cavities</t>
  </si>
  <si>
    <t>Cavity</t>
  </si>
  <si>
    <t>Cavity Formed</t>
  </si>
  <si>
    <t>Center Towards</t>
  </si>
  <si>
    <t>Certain Number</t>
  </si>
  <si>
    <t>Characteristic Phenomenon</t>
  </si>
  <si>
    <t>Characteristic Phenomenon Called</t>
  </si>
  <si>
    <t>Characteristics | Characteristic</t>
  </si>
  <si>
    <t>Characteristics Of Laser</t>
  </si>
  <si>
    <t>Circuit Boards</t>
  </si>
  <si>
    <t>Circuits</t>
  </si>
  <si>
    <t>Clad</t>
  </si>
  <si>
    <t>Classified</t>
  </si>
  <si>
    <t>Collision Process Maintains</t>
  </si>
  <si>
    <t>Combination</t>
  </si>
  <si>
    <t>Cone Known</t>
  </si>
  <si>
    <t>Connected</t>
  </si>
  <si>
    <t>Connections</t>
  </si>
  <si>
    <t>Consists</t>
  </si>
  <si>
    <t>Constructed Using Mirrors</t>
  </si>
  <si>
    <t>Continued</t>
  </si>
  <si>
    <t>Continued Population Inversion</t>
  </si>
  <si>
    <t>Continuous High-power Lamp</t>
  </si>
  <si>
    <t>Conventional Light Sources</t>
  </si>
  <si>
    <t>Core Index</t>
  </si>
  <si>
    <t>Core Is Constant</t>
  </si>
  <si>
    <t>Corresponding Frequency</t>
  </si>
  <si>
    <t>Corresponding Optical Energy</t>
  </si>
  <si>
    <t>Cost</t>
  </si>
  <si>
    <t>Creates Microscopic Bubble</t>
  </si>
  <si>
    <t>Cross</t>
  </si>
  <si>
    <t>Crystal Is Large</t>
  </si>
  <si>
    <t>Crystals Negative</t>
  </si>
  <si>
    <t>Crystals Negative Crystals</t>
  </si>
  <si>
    <t>Crystals Positive</t>
  </si>
  <si>
    <t>Crystals Positive Crystals</t>
  </si>
  <si>
    <t>Current</t>
  </si>
  <si>
    <t>Cut</t>
  </si>
  <si>
    <t>Cylindrical</t>
  </si>
  <si>
    <t>Cylindrical Rod</t>
  </si>
  <si>
    <t>Damaging The Surrounding</t>
  </si>
  <si>
    <t>Decay</t>
  </si>
  <si>
    <t>Degree</t>
  </si>
  <si>
    <t>Dental Drills Giving</t>
  </si>
  <si>
    <t>Depletion Region Reaches</t>
  </si>
  <si>
    <t>Detects Echoes Even</t>
  </si>
  <si>
    <t>Determine Precisely</t>
  </si>
  <si>
    <t>Deviation</t>
  </si>
  <si>
    <t>Device That Emits</t>
  </si>
  <si>
    <t>Different</t>
  </si>
  <si>
    <t>Different Biological</t>
  </si>
  <si>
    <t>Different Frequencies Present</t>
  </si>
  <si>
    <t>Direction Of Propagation | Directions Of Propagation</t>
  </si>
  <si>
    <t>Direction Widely Varying</t>
  </si>
  <si>
    <t>Directions Perpendicular</t>
  </si>
  <si>
    <t>Directly Proportional</t>
  </si>
  <si>
    <t>Discharge And Excitation Of Helium</t>
  </si>
  <si>
    <t>Discovered By Erasmus</t>
  </si>
  <si>
    <t>Distance</t>
  </si>
  <si>
    <t>Distance Communication Due</t>
  </si>
  <si>
    <t>Double</t>
  </si>
  <si>
    <t>Double Refraction Based</t>
  </si>
  <si>
    <t>Drawing Simplicity</t>
  </si>
  <si>
    <t>Drill Holes</t>
  </si>
  <si>
    <t>Due To Coherence</t>
  </si>
  <si>
    <t>E-ray Is Transmitted</t>
  </si>
  <si>
    <t>E-ray Passes</t>
  </si>
  <si>
    <t>E2 – E1</t>
  </si>
  <si>
    <t>Electric Components Industries</t>
  </si>
  <si>
    <t>Electron Energy Level</t>
  </si>
  <si>
    <t>Electrons May Stay</t>
  </si>
  <si>
    <t>Electrons Must Remain</t>
  </si>
  <si>
    <t>Electrons REST</t>
  </si>
  <si>
    <t>Electrons Stay</t>
  </si>
  <si>
    <t>Eliminates One</t>
  </si>
  <si>
    <t>Ellipsoidal Wavefronts Touch</t>
  </si>
  <si>
    <t>Emergent Light</t>
  </si>
  <si>
    <t>Emission Occurs</t>
  </si>
  <si>
    <t>Emission Of Radiation</t>
  </si>
  <si>
    <t>Emit Many Wavelengths</t>
  </si>
  <si>
    <t>Emits Coherent</t>
  </si>
  <si>
    <t>Emitted Radiations</t>
  </si>
  <si>
    <t>Emitting</t>
  </si>
  <si>
    <t>End</t>
  </si>
  <si>
    <t>End Faces</t>
  </si>
  <si>
    <t>Energy Density</t>
  </si>
  <si>
    <t>Energy E</t>
  </si>
  <si>
    <t>Energy Equal</t>
  </si>
  <si>
    <t>Energy Hν</t>
  </si>
  <si>
    <t>Energy Output</t>
  </si>
  <si>
    <t>Ent</t>
  </si>
  <si>
    <t>Erasmus</t>
  </si>
  <si>
    <t>Every Reflection</t>
  </si>
  <si>
    <t>Examples</t>
  </si>
  <si>
    <t>Excited Energy</t>
  </si>
  <si>
    <t>Excited Helium Atoms</t>
  </si>
  <si>
    <t>Excited Level</t>
  </si>
  <si>
    <t>Excited State E2</t>
  </si>
  <si>
    <t>Exhibit Double</t>
  </si>
  <si>
    <t>Exhibit Double Refraction</t>
  </si>
  <si>
    <t>Exhibit The Characteristic</t>
  </si>
  <si>
    <t>Explained</t>
  </si>
  <si>
    <t>Explained The Phenomenon</t>
  </si>
  <si>
    <t>Explaining Polarization</t>
  </si>
  <si>
    <t>Extraordinarily Smooth Finish</t>
  </si>
  <si>
    <t>Extremely High Intensity</t>
  </si>
  <si>
    <t>Extremely Small</t>
  </si>
  <si>
    <t>Fiber Axis Increases</t>
  </si>
  <si>
    <t>Fibre</t>
  </si>
  <si>
    <t>Fibre Cable</t>
  </si>
  <si>
    <t>Fibre Depends</t>
  </si>
  <si>
    <t>Fig</t>
  </si>
  <si>
    <t>Slide caption word, not a concept</t>
  </si>
  <si>
    <t>Fig. Acceptance Angle</t>
  </si>
  <si>
    <t>Figure</t>
  </si>
  <si>
    <t>Finds</t>
  </si>
  <si>
    <t>Finds Many Applications</t>
  </si>
  <si>
    <t>First Gas Laser</t>
  </si>
  <si>
    <t>Flash</t>
  </si>
  <si>
    <t>Focused Laser</t>
  </si>
  <si>
    <t>Focused Laser Beam</t>
  </si>
  <si>
    <t>Following Conditions</t>
  </si>
  <si>
    <t>Following Data</t>
  </si>
  <si>
    <t>Forth Within</t>
  </si>
  <si>
    <t>Found</t>
  </si>
  <si>
    <t>Frequency</t>
  </si>
  <si>
    <t>Full Angle 2Θ0</t>
  </si>
  <si>
    <t>Fully</t>
  </si>
  <si>
    <t>Garnet</t>
  </si>
  <si>
    <t>Gas</t>
  </si>
  <si>
    <t>Generally</t>
  </si>
  <si>
    <t>Generally Optical</t>
  </si>
  <si>
    <t>Generally Optical Fiber</t>
  </si>
  <si>
    <t>Getting</t>
  </si>
  <si>
    <t>Graded</t>
  </si>
  <si>
    <t>Graded Index Optical</t>
  </si>
  <si>
    <t>Greater</t>
  </si>
  <si>
    <t>Ground</t>
  </si>
  <si>
    <t>Ground Level E0</t>
  </si>
  <si>
    <t>Ground Level Mainly</t>
  </si>
  <si>
    <t>Hard Metal</t>
  </si>
  <si>
    <t>Heavily Doped P</t>
  </si>
  <si>
    <t>Helium Atoms Tend</t>
  </si>
  <si>
    <t>Helium Laser</t>
  </si>
  <si>
    <t>Helium Serves Merely</t>
  </si>
  <si>
    <t>Helium To Neon And Pumping</t>
  </si>
  <si>
    <t>Helium-neon</t>
  </si>
  <si>
    <t>Helium-neon Laser This</t>
  </si>
  <si>
    <t>High Cladding Diameter</t>
  </si>
  <si>
    <t>High Degree</t>
  </si>
  <si>
    <t>High Density Energy</t>
  </si>
  <si>
    <t>High Population Density</t>
  </si>
  <si>
    <t>High Precision</t>
  </si>
  <si>
    <t>High Repetition</t>
  </si>
  <si>
    <t>High Repetition Rate</t>
  </si>
  <si>
    <t>High-power Laser Beam</t>
  </si>
  <si>
    <t>Higher Energy E2</t>
  </si>
  <si>
    <t>Highly</t>
  </si>
  <si>
    <t>Highly Coherent</t>
  </si>
  <si>
    <t>Highly Directional</t>
  </si>
  <si>
    <t>Highly Efficient</t>
  </si>
  <si>
    <t>Holes</t>
  </si>
  <si>
    <t>Holes Exist</t>
  </si>
  <si>
    <t>Hosting Active Atoms</t>
  </si>
  <si>
    <t>Huygen Explained</t>
  </si>
  <si>
    <t>Huygen Theory Huygen</t>
  </si>
  <si>
    <t>Ii</t>
  </si>
  <si>
    <t>Image</t>
  </si>
  <si>
    <t>Incidence Θ Must</t>
  </si>
  <si>
    <t>Incident Parallel</t>
  </si>
  <si>
    <t>Incident Stimulating Photons</t>
  </si>
  <si>
    <t>Index</t>
  </si>
  <si>
    <t>Index Fibers | Index Fiber</t>
  </si>
  <si>
    <t>Index Of Core</t>
  </si>
  <si>
    <t>Index Optical</t>
  </si>
  <si>
    <t>Index Optical Fiber</t>
  </si>
  <si>
    <t>Industries</t>
  </si>
  <si>
    <t>Industry</t>
  </si>
  <si>
    <t>Industry • Laser</t>
  </si>
  <si>
    <t>Infinite Amount</t>
  </si>
  <si>
    <t>Infinite Number</t>
  </si>
  <si>
    <t>Intensity</t>
  </si>
  <si>
    <t>Internal Reflection</t>
  </si>
  <si>
    <t>Internally Reflected</t>
  </si>
  <si>
    <t>Inversion Is Achieved</t>
  </si>
  <si>
    <t>Inversion Is Produced</t>
  </si>
  <si>
    <t>Ir Region</t>
  </si>
  <si>
    <t>Jump</t>
  </si>
  <si>
    <t>Junction Device</t>
  </si>
  <si>
    <t>Junction Laser</t>
  </si>
  <si>
    <t>Kit Consists</t>
  </si>
  <si>
    <t>Large</t>
  </si>
  <si>
    <t>Large Concentration</t>
  </si>
  <si>
    <t>Large Na Indicates</t>
  </si>
  <si>
    <t>Large Range</t>
  </si>
  <si>
    <t>Larger Acceptance</t>
  </si>
  <si>
    <t>Larger Acceptance Angles</t>
  </si>
  <si>
    <t>Larger Population Densities</t>
  </si>
  <si>
    <t>Laser Stands</t>
  </si>
  <si>
    <t>Laser Transition</t>
  </si>
  <si>
    <t>Laser Wavelength</t>
  </si>
  <si>
    <t>Laser • Monochromaticity</t>
  </si>
  <si>
    <t>Lasers • Cutting</t>
  </si>
  <si>
    <t>Lasers • Directionality</t>
  </si>
  <si>
    <t>Lasing</t>
  </si>
  <si>
    <t>Layer</t>
  </si>
  <si>
    <t>Length Three Times</t>
  </si>
  <si>
    <t>Less Monochromatic</t>
  </si>
  <si>
    <t>Less Power Required</t>
  </si>
  <si>
    <t>Let Abcd</t>
  </si>
  <si>
    <t>Level Diagram</t>
  </si>
  <si>
    <t>Level Fall Back</t>
  </si>
  <si>
    <t>Levels To Higher Energy Levels</t>
  </si>
  <si>
    <t>Lies</t>
  </si>
  <si>
    <t>Light Beam</t>
  </si>
  <si>
    <t>Light Emerging</t>
  </si>
  <si>
    <t>Light Gathering</t>
  </si>
  <si>
    <t>Light Gets Transmitted</t>
  </si>
  <si>
    <t>Light Propagate</t>
  </si>
  <si>
    <t>Light Ray Contained</t>
  </si>
  <si>
    <t>Light Transmission</t>
  </si>
  <si>
    <t>Light Travelling Parallel</t>
  </si>
  <si>
    <t>Light When Forward</t>
  </si>
  <si>
    <t>Line</t>
  </si>
  <si>
    <t>Long</t>
  </si>
  <si>
    <t>Low Forward</t>
  </si>
  <si>
    <t>Low-powered Laser Beam</t>
  </si>
  <si>
    <t>Lower</t>
  </si>
  <si>
    <t>Lower Energy E1</t>
  </si>
  <si>
    <t>Lower Levels</t>
  </si>
  <si>
    <t>Made Optically Flat</t>
  </si>
  <si>
    <t>Main</t>
  </si>
  <si>
    <t>Main Function</t>
  </si>
  <si>
    <t>Making</t>
  </si>
  <si>
    <t>Making Electrical</t>
  </si>
  <si>
    <t>Making Electrical Contacts</t>
  </si>
  <si>
    <t>Material Has Refractive</t>
  </si>
  <si>
    <t>Material Used</t>
  </si>
  <si>
    <t>Materials Exhibit</t>
  </si>
  <si>
    <t>Materials Exhibit Double</t>
  </si>
  <si>
    <t>Medium</t>
  </si>
  <si>
    <t>Metal Or Fabric</t>
  </si>
  <si>
    <t>Micro</t>
  </si>
  <si>
    <t>Micro Machining Operations</t>
  </si>
  <si>
    <t>Microscopic Bubble</t>
  </si>
  <si>
    <t>Microscopic Laser</t>
  </si>
  <si>
    <t>Mirrors</t>
  </si>
  <si>
    <t>Multi</t>
  </si>
  <si>
    <t>Multimode Fiber Allows</t>
  </si>
  <si>
    <t>Mutually Perpendicular Directions</t>
  </si>
  <si>
    <t>N Junction Device</t>
  </si>
  <si>
    <t>N Junction Laser</t>
  </si>
  <si>
    <t>N Semiconductor</t>
  </si>
  <si>
    <t>Na</t>
  </si>
  <si>
    <t>Narrow Beam</t>
  </si>
  <si>
    <t>Nd Stands</t>
  </si>
  <si>
    <t>Nd Yag Laser - Working</t>
  </si>
  <si>
    <t>Nd Yag Laser – Characteristics</t>
  </si>
  <si>
    <t>Ne Laser</t>
  </si>
  <si>
    <t>Ne6 → Ne5</t>
  </si>
  <si>
    <t>Necessary Drive Circuit</t>
  </si>
  <si>
    <t>Negative</t>
  </si>
  <si>
    <t>Negative Crystals Positive</t>
  </si>
  <si>
    <t>Negligible Divergence</t>
  </si>
  <si>
    <t>Neodymium Ions Atoms</t>
  </si>
  <si>
    <t>Neon And Continuous Output</t>
  </si>
  <si>
    <t>Neon Laser Principle</t>
  </si>
  <si>
    <t>Nicol Prism Nicol</t>
  </si>
  <si>
    <t>Nicol Prism Working</t>
  </si>
  <si>
    <t>Non</t>
  </si>
  <si>
    <t>Non-uniform Refractive</t>
  </si>
  <si>
    <t>Non-uniform Refractive Index</t>
  </si>
  <si>
    <t>Number</t>
  </si>
  <si>
    <t>Number Of Atoms</t>
  </si>
  <si>
    <t>O-ray And E-ray</t>
  </si>
  <si>
    <t>O-ray Is Eliminated</t>
  </si>
  <si>
    <t>O-ray Lies</t>
  </si>
  <si>
    <t>Obey Snell</t>
  </si>
  <si>
    <t>Obey Snell Law | Obeys Snell Law</t>
  </si>
  <si>
    <t>Obtain Original Message</t>
  </si>
  <si>
    <t>Of Atoms Into An Excited State</t>
  </si>
  <si>
    <t>One Blunt Corner</t>
  </si>
  <si>
    <t>One Particular Plane</t>
  </si>
  <si>
    <t>One Sided</t>
  </si>
  <si>
    <t>One Type</t>
  </si>
  <si>
    <t>One Vibration Parallel</t>
  </si>
  <si>
    <t>One Wavelength</t>
  </si>
  <si>
    <t>Optical Device</t>
  </si>
  <si>
    <t>Optical Device Used</t>
  </si>
  <si>
    <t>Optical Energy</t>
  </si>
  <si>
    <t>Optical Fibre Depends</t>
  </si>
  <si>
    <t>Optically Flat</t>
  </si>
  <si>
    <t>Ordinary</t>
  </si>
  <si>
    <t>Ordinary Ray Travels</t>
  </si>
  <si>
    <t>Output</t>
  </si>
  <si>
    <t>P-region And N-region</t>
  </si>
  <si>
    <t>Paper</t>
  </si>
  <si>
    <t>Parallel</t>
  </si>
  <si>
    <t>Particulate In Stimulated Emission</t>
  </si>
  <si>
    <t>Phase</t>
  </si>
  <si>
    <t>Phase Width</t>
  </si>
  <si>
    <t>Phenomenon Called</t>
  </si>
  <si>
    <t>Phenomenon Called Polarization</t>
  </si>
  <si>
    <t>Photon Emitted</t>
  </si>
  <si>
    <t>Photon Gets Absorbed</t>
  </si>
  <si>
    <t>Photon Number Multiplies</t>
  </si>
  <si>
    <t>Photon Of Energy</t>
  </si>
  <si>
    <t>Photons Travel</t>
  </si>
  <si>
    <t>Pick-device Or Writing</t>
  </si>
  <si>
    <t>Placed Inside</t>
  </si>
  <si>
    <t>Planck</t>
  </si>
  <si>
    <t>Plane Containing</t>
  </si>
  <si>
    <t>Plastic Optical</t>
  </si>
  <si>
    <t>Polarization – Huygen</t>
  </si>
  <si>
    <t>Polarization – Positive</t>
  </si>
  <si>
    <t>Polarization – Un</t>
  </si>
  <si>
    <t>Polarized</t>
  </si>
  <si>
    <t>Polarized Beam</t>
  </si>
  <si>
    <t>Polarized Wave</t>
  </si>
  <si>
    <t>Polished Optically Flat</t>
  </si>
  <si>
    <t>Population Inversion For Neon</t>
  </si>
  <si>
    <t>Population Inversion Is Achieved</t>
  </si>
  <si>
    <t>Positive</t>
  </si>
  <si>
    <t>Positive Crystals Negative</t>
  </si>
  <si>
    <t>Possible Directions</t>
  </si>
  <si>
    <t>Possible Directions Perpendicular</t>
  </si>
  <si>
    <t>Power Laser Beam</t>
  </si>
  <si>
    <t>Practice Also</t>
  </si>
  <si>
    <t>Prevent Lasing Action</t>
  </si>
  <si>
    <t>Principal</t>
  </si>
  <si>
    <t>Principal Section Instead</t>
  </si>
  <si>
    <t>Principle And Structure</t>
  </si>
  <si>
    <t>Principle Of Light</t>
  </si>
  <si>
    <t>Principle Of Secondary</t>
  </si>
  <si>
    <t>Printed Circuit Boards</t>
  </si>
  <si>
    <t>Prism Nicol</t>
  </si>
  <si>
    <t>Prism Nicol Prism</t>
  </si>
  <si>
    <t>Prism The Crystal</t>
  </si>
  <si>
    <t>Prism Working</t>
  </si>
  <si>
    <t>Produced Through Inelastic</t>
  </si>
  <si>
    <t>Produces</t>
  </si>
  <si>
    <t>Producing And Analyzing</t>
  </si>
  <si>
    <t>Propagation</t>
  </si>
  <si>
    <t>Propagation Of Light</t>
  </si>
  <si>
    <t>Properties Of Lasers</t>
  </si>
  <si>
    <t>Proportional</t>
  </si>
  <si>
    <t>Provide | Provides</t>
  </si>
  <si>
    <t>Pump</t>
  </si>
  <si>
    <t>Pumping And Recombination</t>
  </si>
  <si>
    <t>Radial Distance</t>
  </si>
  <si>
    <t>Radiated</t>
  </si>
  <si>
    <t>Radiates</t>
  </si>
  <si>
    <t>Ray Lies</t>
  </si>
  <si>
    <t>Ray Of Unpolarized</t>
  </si>
  <si>
    <t>Ray Passes</t>
  </si>
  <si>
    <t>Ray Travels Along</t>
  </si>
  <si>
    <t>Recognize Digital Pattern</t>
  </si>
  <si>
    <t>Reflected</t>
  </si>
  <si>
    <t>Reflected Signal</t>
  </si>
  <si>
    <t>Reflecting</t>
  </si>
  <si>
    <t>Reflecting Elliptical Reflector</t>
  </si>
  <si>
    <t>Refraction 0F 1</t>
  </si>
  <si>
    <t>Refractive</t>
  </si>
  <si>
    <t>Refractive Index Types</t>
  </si>
  <si>
    <t>Remaining Atoms Help</t>
  </si>
  <si>
    <t>Repetition Rate Operation</t>
  </si>
  <si>
    <t>Replaced By Neodymium</t>
  </si>
  <si>
    <t>Resonant</t>
  </si>
  <si>
    <t>Respectively</t>
  </si>
  <si>
    <t>Right Angles</t>
  </si>
  <si>
    <t>Room Temperature</t>
  </si>
  <si>
    <t>Said</t>
  </si>
  <si>
    <t>Scribing Micro Machining Operations</t>
  </si>
  <si>
    <t>Sec</t>
  </si>
  <si>
    <t>Secondary</t>
  </si>
  <si>
    <t>Section</t>
  </si>
  <si>
    <t>Section Cuts</t>
  </si>
  <si>
    <t>See Fig</t>
  </si>
  <si>
    <t>Selectively Populated</t>
  </si>
  <si>
    <t>Semiconductor</t>
  </si>
  <si>
    <t>Semiconductor Diode</t>
  </si>
  <si>
    <t>Sharp Energy</t>
  </si>
  <si>
    <t>Sharp Energy Levels</t>
  </si>
  <si>
    <t>Short</t>
  </si>
  <si>
    <t>Short Time Called</t>
  </si>
  <si>
    <t>Shows The Energy</t>
  </si>
  <si>
    <t>Side</t>
  </si>
  <si>
    <t>Signal Degradation Due</t>
  </si>
  <si>
    <t>Signal Frequency Propagate</t>
  </si>
  <si>
    <t>Silver</t>
  </si>
  <si>
    <t>Silvered</t>
  </si>
  <si>
    <t>Similarly</t>
  </si>
  <si>
    <t>Sin C Sin</t>
  </si>
  <si>
    <t>Single Rotating Crystal</t>
  </si>
  <si>
    <t>Single Uniform Index</t>
  </si>
  <si>
    <t>Size With Sides</t>
  </si>
  <si>
    <t>Small Amount</t>
  </si>
  <si>
    <t>Small Area</t>
  </si>
  <si>
    <t>Small Core Diameter</t>
  </si>
  <si>
    <t>Small Image</t>
  </si>
  <si>
    <t>Small In Size</t>
  </si>
  <si>
    <t>Small Number</t>
  </si>
  <si>
    <t>Smooth</t>
  </si>
  <si>
    <t>Snell</t>
  </si>
  <si>
    <t>Special Cases</t>
  </si>
  <si>
    <t>Specific Plane Polarized</t>
  </si>
  <si>
    <t>Specified Energy Level</t>
  </si>
  <si>
    <t>Splits Into O-ray</t>
  </si>
  <si>
    <t>Spontaneous</t>
  </si>
  <si>
    <t>Spontaneously Decays Back</t>
  </si>
  <si>
    <t>Spontaneously Emitted Radiation</t>
  </si>
  <si>
    <t>Square Millimeter</t>
  </si>
  <si>
    <t>Stands</t>
  </si>
  <si>
    <t>Stands For Yttrium</t>
  </si>
  <si>
    <t>Steady-state Population Inversion</t>
  </si>
  <si>
    <t>Step</t>
  </si>
  <si>
    <t>Step-index Optical</t>
  </si>
  <si>
    <t>Stimulated Photons</t>
  </si>
  <si>
    <t>Stimulating Photon</t>
  </si>
  <si>
    <t>Straight Line</t>
  </si>
  <si>
    <t>Strike One</t>
  </si>
  <si>
    <t>Structure Of Optical</t>
  </si>
  <si>
    <t>Studies On Calcite</t>
  </si>
  <si>
    <t>Such Cavities Are</t>
  </si>
  <si>
    <t>Surgery</t>
  </si>
  <si>
    <t>Tailoring Industries</t>
  </si>
  <si>
    <t>Take Place</t>
  </si>
  <si>
    <t>Ten Times</t>
  </si>
  <si>
    <t>The</t>
  </si>
  <si>
    <t>The Active Medium</t>
  </si>
  <si>
    <t>The Active Medium Nd</t>
  </si>
  <si>
    <t>The Cone</t>
  </si>
  <si>
    <t>The Construction Of The Nd</t>
  </si>
  <si>
    <t>Theory Huygen</t>
  </si>
  <si>
    <t>Therefore</t>
  </si>
  <si>
    <t>Therefore, The Cone</t>
  </si>
  <si>
    <t>This</t>
  </si>
  <si>
    <t>This Frequency Band ‘δν</t>
  </si>
  <si>
    <t>Thus</t>
  </si>
  <si>
    <t>Tiny</t>
  </si>
  <si>
    <t>Total</t>
  </si>
  <si>
    <t>Total Internal</t>
  </si>
  <si>
    <t>Totally Reflected</t>
  </si>
  <si>
    <t>Transmission Through Optical</t>
  </si>
  <si>
    <t>Transmitted</t>
  </si>
  <si>
    <t>Transmitted Along</t>
  </si>
  <si>
    <t>Transmitter Optical</t>
  </si>
  <si>
    <t>Transverse</t>
  </si>
  <si>
    <t>Travel Many Miles</t>
  </si>
  <si>
    <t>Travel Very Large</t>
  </si>
  <si>
    <t>Traveling</t>
  </si>
  <si>
    <t>Treatment</t>
  </si>
  <si>
    <t>Tube</t>
  </si>
  <si>
    <t>Tube Collide</t>
  </si>
  <si>
    <t>Two Categories Based</t>
  </si>
  <si>
    <t>Two Cut Faces</t>
  </si>
  <si>
    <t>Two Ends</t>
  </si>
  <si>
    <t>Two Important Wavelengths</t>
  </si>
  <si>
    <t>Two Photons</t>
  </si>
  <si>
    <t>Two Pieces</t>
  </si>
  <si>
    <t>Two Plane Mirrors</t>
  </si>
  <si>
    <t>Two Rays Emerge</t>
  </si>
  <si>
    <t>Two Rays Formed</t>
  </si>
  <si>
    <t>Types Of Optical</t>
  </si>
  <si>
    <t>Typical</t>
  </si>
  <si>
    <t>Under Equilibrium</t>
  </si>
  <si>
    <t>Unlike</t>
  </si>
  <si>
    <t>Upper Metastable States</t>
  </si>
  <si>
    <t>Using Metastable States</t>
  </si>
  <si>
    <t>Using Optical Elements</t>
  </si>
  <si>
    <t>V Form</t>
  </si>
  <si>
    <t>Velocity</t>
  </si>
  <si>
    <t>Velocity Of O-ray</t>
  </si>
  <si>
    <t>Vibrating Along</t>
  </si>
  <si>
    <t>Vibrations Along</t>
  </si>
  <si>
    <t>Visible Frequencies</t>
  </si>
  <si>
    <t>Visible Region</t>
  </si>
  <si>
    <t>Vo</t>
  </si>
  <si>
    <t>Wall</t>
  </si>
  <si>
    <t>Watts</t>
  </si>
  <si>
    <t>Wavefront Of E-ray</t>
  </si>
  <si>
    <t>Wavefront Of O-ray</t>
  </si>
  <si>
    <t>Wavelength L</t>
  </si>
  <si>
    <t>We Get A Cone</t>
  </si>
  <si>
    <t>Welded</t>
  </si>
  <si>
    <t>Welding Cornea</t>
  </si>
  <si>
    <t>Well</t>
  </si>
  <si>
    <t>White Light Consisting</t>
  </si>
  <si>
    <t>Widely Used</t>
  </si>
  <si>
    <t>Width</t>
  </si>
  <si>
    <t>Writer</t>
  </si>
  <si>
    <t>Writing Device</t>
  </si>
  <si>
    <t>Xenon Or Krypton</t>
  </si>
  <si>
    <t>Y3</t>
  </si>
  <si>
    <t>Yag Stands</t>
  </si>
  <si>
    <t>Yttrium Aluminum</t>
  </si>
  <si>
    <t>Θ0</t>
  </si>
  <si>
    <t>Θc Propagate</t>
  </si>
  <si>
    <t>Θr Θc Propagate</t>
  </si>
  <si>
    <t>Μ2</t>
  </si>
  <si>
    <t>Μe</t>
  </si>
  <si>
    <t>Μe Lies</t>
  </si>
  <si>
    <t>Μe May</t>
  </si>
  <si>
    <t>Μo</t>
  </si>
  <si>
    <t> C</t>
  </si>
  <si>
    <t> Bad</t>
  </si>
  <si>
    <t>Concept extraction comparison: Polarisation, LASER and Fibre Optics (Engineering Physics PPT)</t>
  </si>
  <si>
    <t>Claude's concept list is the reference. All numbers are formulas that read the other sheets.</t>
  </si>
  <si>
    <t>Which tool matches Claude's concepts best?</t>
  </si>
  <si>
    <t>Tool</t>
  </si>
  <si>
    <t>Items in raw list</t>
  </si>
  <si>
    <t>Items that are in Claude's list</t>
  </si>
  <si>
    <t>Precision</t>
  </si>
  <si>
    <t>Claude's concepts found</t>
  </si>
  <si>
    <t>Recall (all of Claude's concepts)</t>
  </si>
  <si>
    <t>F1 score</t>
  </si>
  <si>
    <t>Recall (core concepts only)</t>
  </si>
  <si>
    <t>Gemini</t>
  </si>
  <si>
    <t>RAKE</t>
  </si>
  <si>
    <t>YAKE</t>
  </si>
  <si>
    <t>Agreement between the three tools</t>
  </si>
  <si>
    <t>Concepts in tools matrix (singular/plural merged)</t>
  </si>
  <si>
    <t>Also found by at least one other tool</t>
  </si>
  <si>
    <t>Found only by this tool</t>
  </si>
  <si>
    <t>Agreement with others</t>
  </si>
  <si>
    <t>Overlap</t>
  </si>
  <si>
    <t>Distinct concepts across all three tools</t>
  </si>
  <si>
    <t>Found by exactly two tools</t>
  </si>
  <si>
    <t>Found by one tool only</t>
  </si>
  <si>
    <t>Gemini and RAKE both (includes the all-three ones)</t>
  </si>
  <si>
    <t>Gemini and YAKE both (includes the all-three ones)</t>
  </si>
  <si>
    <t>RAKE and YAKE both (includes the all-three ones)</t>
  </si>
  <si>
    <t>Observations (written by Claude from this data, not formulas)</t>
  </si>
  <si>
    <t>Gemini matches Claude's concepts best in this run: F1 42%, precision 42%, recall 41%. Ranking by F1: Gemini 42%, YAKE 39%, RAKE 36%. The three F1 scores are 6 points apart.</t>
  </si>
  <si>
    <t>The tools return very different numbers of items: Gemini 191, RAKE 626, YAKE 615. RAKE and YAKE find more of Claude's concepts (recall 70% and 71% against 41% for Gemini), but most of what they return is not a concept (precision 24% and 27% against 42%). Recall favours long lists, so look at precision and F1 together.</t>
  </si>
  <si>
    <t>On core concepts only, recall is YAKE 74%, RAKE 70%, Gemini 39%.</t>
  </si>
  <si>
    <t>Found by one tool only. Gemini (3): Active centres, Applications of optic fibre, Micromachining; RAKE (21): Analog and digital modulation, Birefringent crystal, Brightness, Dispersion, Donor level, Electric and magnetic vectors, Electromagnetic theory of light, Elliptical reflector cavity (+13 more); YAKE (15): Angle of incidence, Anisotropic materials, Continuous laser, Depletion region, Electron-hole recombination, Fermi level, Four-level laser, Gas laser (+7 more).</t>
  </si>
  <si>
    <t>16 of 138 concepts in Claude's list were found by none of the tools: Ellipsoidal wavefront, Divergence, Lifetime of excited state, Electric discharge pumping, Non-radiative transition, p-n junction, Active region, Ophthalmology, Micro-surgery, Coating (buffer), Types of optical fibres, Attenuation, Transmitter, Receiver (+2 more).</t>
  </si>
  <si>
    <t>Low precision comes from sentence fragments and stop words, for example Figure Shows (Gemini), According and Thus (RAKE), Fig (YAKE), and from partial phrases such as Light Rays Return.</t>
  </si>
  <si>
    <t>Limits: the concept list is my own extraction from the PDF, but I had already seen the three tool outputs, so it is not a blind test. Comma headings such as 'Acceptance Angle, Acceptance Cone' count for both concepts. Another person's list would give different scores. Edit the Claude vs tools sheet to test your own.</t>
  </si>
  <si>
    <t>How concepts were matched</t>
  </si>
  <si>
    <t>Tools matrix sheet: two tool concepts count as the same when they are identical after lower-casing, removing punctuation and ignoring a trailing plural "s" (Piece and Pieces). Partial overlaps are listed in "Related concepts", not counted as matches.</t>
  </si>
  <si>
    <t>Scoring against Claude's list: a tool item counts only if it equals one of the accepted phrases next to a concept (capitals ignored). Generic words, slide headings and fragments get no credit. Claude's list is the reference, not an official answer key.</t>
  </si>
  <si>
    <t>Concept</t>
  </si>
  <si>
    <t>Tools (of 3)</t>
  </si>
  <si>
    <t>Related concepts (partial overlap)</t>
  </si>
  <si>
    <t>Note (Claude's observation)</t>
  </si>
  <si>
    <t>In Claude's list?</t>
  </si>
  <si>
    <t>Acceptance Angle / Acceptance Angles</t>
  </si>
  <si>
    <t>Acceptance, Acceptance Angle, Acceptance Cone, Acceptance Angles Make, Angle (+3 more)</t>
  </si>
  <si>
    <t>Acceptance, Acceptance Angle, Acceptance Cone, As Acceptance Cone, Cone (+1 more)</t>
  </si>
  <si>
    <t>Active, Active Medium, Medium, Pumping (+1 more)</t>
  </si>
  <si>
    <t>Found by one tool only (no fill)</t>
  </si>
  <si>
    <t>Advantages Of Semiconductor, Advantages Of Semiconductor Laser, Δλ</t>
  </si>
  <si>
    <t>★ Yes = the concept is in Claude's list (bold dark-blue names in the tool columns)</t>
  </si>
  <si>
    <t>Angle / Angles</t>
  </si>
  <si>
    <t>Ac Accept Angle, Acceptance Angle, Acceptance Angle, Acceptance Cone, Acceptance Angles Make (+10 more)</t>
  </si>
  <si>
    <t>Tip: use the filter arrows on row 1 to show only one group.</t>
  </si>
  <si>
    <t>Application / Applications</t>
  </si>
  <si>
    <t>Applications Of Lasers, Applications Of Optic, Applications Of Optic Fibre, Areas Of Application (+5 more)</t>
  </si>
  <si>
    <t>Atomic, System, Δλ</t>
  </si>
  <si>
    <t>Band, Δλ</t>
  </si>
  <si>
    <t>Bloodless, Bloodless Cancer, Cancer Surgeries, Δλ</t>
  </si>
  <si>
    <t>Balsam, Canada, Canada Balsam Layer, Canada Balsam Surface (+1 more)</t>
  </si>
  <si>
    <t>Balsam, Canada, Canada Balsam, Layer (+1 more)</t>
  </si>
  <si>
    <t>Communication, Communication Kit, Consists, Kit (+2 more)</t>
  </si>
  <si>
    <t>Angle, Critical, Δλ</t>
  </si>
  <si>
    <t>Fabric Cutting, Lasers • Cutting, Δλ</t>
  </si>
  <si>
    <t>Degree Of Directionality, Lasers • Directionality, Δλ</t>
  </si>
  <si>
    <t>Double, Double Refraction Based, Exhibit Double Refraction, Refraction (+1 more)</t>
  </si>
  <si>
    <t>Emission Occurs, Emission Of Radiation, Particulate In Stimulated Emission, Spontaneous Emission (+3 more)</t>
  </si>
  <si>
    <t>Absorbed Energy, Corresponding Optical Energy, Electron Energy Level, Energy Band (+32 more)</t>
  </si>
  <si>
    <t>Energy, Energy Levels, Level Diagram, Levels (+1 more)</t>
  </si>
  <si>
    <t>Energy Levels / Energy Level</t>
  </si>
  <si>
    <t>Electron Energy Level, Energy, Energy Level Diagram, Excited Energy Level (+8 more)</t>
  </si>
  <si>
    <t>Energy, Energy Levels, Excited, Excited Energy (+2 more)</t>
  </si>
  <si>
    <t>Excited State / Excited States</t>
  </si>
  <si>
    <t>Excited, Excited State E2, Metastable Excited States, Of Atoms Into An Excited State (+2 more)</t>
  </si>
  <si>
    <t>Principal Plane Of The Extraordinary Ray, Ray, Δλ</t>
  </si>
  <si>
    <t>Cutting, Δλ</t>
  </si>
  <si>
    <t>Fibre, Optics, Δλ</t>
  </si>
  <si>
    <t>Cavity, Form, Optical, Optical Cavity (+1 more)</t>
  </si>
  <si>
    <t>Fully, Monochromatic, Δλ</t>
  </si>
  <si>
    <t>Continuous High-power Lamp, Extremely High Intensity, High Cladding Diameter, High Degree (+11 more)</t>
  </si>
  <si>
    <t>Energy, Energy Density, High, High Energy (+1 more)</t>
  </si>
  <si>
    <t>Energy, Energy Output, High, High Energy (+2 more)</t>
  </si>
  <si>
    <t>Large, Δλ</t>
  </si>
  <si>
    <t>Laser / Lasers</t>
  </si>
  <si>
    <t>A Semiconductor Diode Laser, Advantages Of Semiconductor Laser, Applications Of Lasers, Characteristics Of Laser (+62 more)</t>
  </si>
  <si>
    <t>Laser Beam / Laser Beams</t>
  </si>
  <si>
    <t>Beam, Focused Laser Beam, High-power Laser Beam, Laser (+6 more)</t>
  </si>
  <si>
    <t>Laser, Δλ</t>
  </si>
  <si>
    <t>Level / Levels</t>
  </si>
  <si>
    <t>Donor Level, Electron Energy Level, Energy Level Diagram, Energy Levels (+17 more)</t>
  </si>
  <si>
    <t>Light, Light Ray, Ray, Rays Return (+1 more)</t>
  </si>
  <si>
    <t>Lower Energy Level / Lower Energy Levels</t>
  </si>
  <si>
    <t>Energy, Energy Levels, Levels, Lower (+2 more)</t>
  </si>
  <si>
    <t>Metastable State / Metastable States</t>
  </si>
  <si>
    <t>Metastable, State, Upper Metastable States, Using Metastable States (+1 more)</t>
  </si>
  <si>
    <t>Called Negative Crystals, Crystals, Crystals Negative Crystals, Negative (+3 more)</t>
  </si>
  <si>
    <t>Neodymium Ions, Neodymium Ions Atoms, Neodymium-based Laser, Replaced By Neodymium (+1 more)</t>
  </si>
  <si>
    <t>Nicol, Nicol Prism Nicol, Nicol Prism Working, Polarization – Nicol Prism (+3 more)</t>
  </si>
  <si>
    <t>Aperture, Numerical, Δλ</t>
  </si>
  <si>
    <t>Applications Of Optic Fibre, Fibre, Optics, Δλ</t>
  </si>
  <si>
    <t>Ordinary, Ordinary Ray Travels, Principal Plane Of The Ordinary Ray, Ray (+1 more)</t>
  </si>
  <si>
    <t>Analyzing Plane-polarized Light, Light, Plane, Plane Polarized (+3 more)</t>
  </si>
  <si>
    <t>Calcite Crystal Polarization, Called Polarization, Explaining Polarization, Phenomenon Called Polarization (+6 more)</t>
  </si>
  <si>
    <t>Analyzing Plane-polarized Light, Light, Plane Polarized Light, Polarization – Polarized Light (+3 more)</t>
  </si>
  <si>
    <t>Achieve Population Inversion, Achieving Population Inversion, As 'population Inversion‘, Continued Population Inversion (+6 more)</t>
  </si>
  <si>
    <t>Called Positive Crystals, Crystals, Crystals Positive Crystals, Positive (+3 more)</t>
  </si>
  <si>
    <t>Principal, Principal Section Cuts, Principal Section Instead, Section (+1 more)</t>
  </si>
  <si>
    <t>Helium-neon Laser Principle, Laser Principle, Neon Laser Principle, Principle And Structure (+4 more)</t>
  </si>
  <si>
    <t>Prism, Surface, Δλ</t>
  </si>
  <si>
    <t>Pumping, Source, Δλ</t>
  </si>
  <si>
    <t>Photon, Radiated, Δλ</t>
  </si>
  <si>
    <t>Cavity, Resonant, Δλ</t>
  </si>
  <si>
    <t>A Semiconductor Diode Laser, Diode, Diode Laser, Laser (+3 more)</t>
  </si>
  <si>
    <t>Advantages Of Semiconductor Laser, Laser, Semiconductor, Semiconductor Laser Working (+1 more)</t>
  </si>
  <si>
    <t>Laser, Laser Working, Semiconductor, Semiconductor Laser (+2 more)</t>
  </si>
  <si>
    <t>Sin C Sin, Δλ</t>
  </si>
  <si>
    <t>Emission, Spontaneous, Spontaneous Emission Occurs, Δλ</t>
  </si>
  <si>
    <t>Emission, Emission Occurs, Spontaneous, Spontaneous Emission (+1 more)</t>
  </si>
  <si>
    <t>State</t>
  </si>
  <si>
    <t>State / States</t>
  </si>
  <si>
    <t>Energy State, Excited State, Excited State E2, Four-level Solid-state Laser (+15 more)</t>
  </si>
  <si>
    <t>Amplification By Stimulated, Particulate In Stimulated Emission, Stimulated Emission, Stimulated Photons (+1 more)</t>
  </si>
  <si>
    <t>Emission, Particulate In Stimulated Emission, Stimulated, Δλ</t>
  </si>
  <si>
    <t>Region, Δλ</t>
  </si>
  <si>
    <t>Type / Types</t>
  </si>
  <si>
    <t>Types / Type</t>
  </si>
  <si>
    <t>2 Types, One Type, Refractive Index Types, Types Of Optical (+1 more)</t>
  </si>
  <si>
    <t>Welding Cornea, Δλ</t>
  </si>
  <si>
    <t>Nd Yag Laser, Nd Yag Laser - Working, Nd Yag Laser – Characteristics, Yag Crystal (+5 more)</t>
  </si>
  <si>
    <t>Laser, Nd Yag Laser, Nd Yag Laser - Working, Nd Yag Laser – Characteristics (+3 more)</t>
  </si>
  <si>
    <t>Aluminum Garnet, Garnet, Yttrium Aluminum, Δλ</t>
  </si>
  <si>
    <t>Engineering, Industry, Δλ</t>
  </si>
  <si>
    <t>Medicine, Δλ, Μ2</t>
  </si>
  <si>
    <t>Energy, Δλ</t>
  </si>
  <si>
    <t>Broad Absorption Bands, Δλ</t>
  </si>
  <si>
    <t>Acceptance Angle, Acceptance Angle, Acceptance Cone, Acceptance Angles Make, Acceptance Cone (+6 more)</t>
  </si>
  <si>
    <t>Active Centres, Active Element, Active Medium, Active Medium May (+11 more)</t>
  </si>
  <si>
    <t>Active, Active Medium May, Active Medium Must, Active Medium Nd (+6 more)</t>
  </si>
  <si>
    <t>Garnet, Yttrium Aluminum Garnet, Δλ</t>
  </si>
  <si>
    <t>Stimulated, Δλ</t>
  </si>
  <si>
    <t>Applications, Laser, Δλ</t>
  </si>
  <si>
    <t>Applications, Applications Of Optic Fibre, Optics, Δλ</t>
  </si>
  <si>
    <t>Areas Of Application, Important Areas, Small Area, Δλ</t>
  </si>
  <si>
    <t>Applications, Area, Δλ</t>
  </si>
  <si>
    <t>Atoms</t>
  </si>
  <si>
    <t>Atom / Atoms</t>
  </si>
  <si>
    <t>Atoms / Atom</t>
  </si>
  <si>
    <t>Atom Absorbs, Atom Gets Excited, Atoms Or Molecules, Excited Atom (+13 more)</t>
  </si>
  <si>
    <t>Band Gap, Broad Absorption Bands, Conduction Band, Energy Band (+4 more)</t>
  </si>
  <si>
    <t>Beam Diverges, Focused Laser Beam, High-power Laser Beam, Laser Beam (+9 more)</t>
  </si>
  <si>
    <t>Bloodless, Bloodless Cancer Surgeries, Δλ</t>
  </si>
  <si>
    <t>Calcite Crystal, Calcite Crystal Making, Calcite Crystal Polarization, Studies On Calcite (+1 more)</t>
  </si>
  <si>
    <t>Calcite, Calcite Crystal Making, Calcite Crystal Polarization, Crystals (+1 more)</t>
  </si>
  <si>
    <t>Called Active Centres, Called Birefringence, Called Negative Crystals, Called Polarization (+10 more)</t>
  </si>
  <si>
    <t>Called, Crystals, Negative, Negative Crystals (+1 more)</t>
  </si>
  <si>
    <t>Called, Polarized, Δλ</t>
  </si>
  <si>
    <t>Called, Crystals, Positive, Positive Crystals (+1 more)</t>
  </si>
  <si>
    <t>Called, Called Principal, Plane, Principal (+2 more)</t>
  </si>
  <si>
    <t>Balsam, Canada, Canada Balsam, Surface (+1 more)</t>
  </si>
  <si>
    <t>Bloodless Cancer Surgeries, Δλ</t>
  </si>
  <si>
    <t>Clad, Material, Δλ</t>
  </si>
  <si>
    <t>Cladding Boundary, Cladding Interface, Core-cladding Interface, High Cladding Diameter (+1 more)</t>
  </si>
  <si>
    <t>Based, Δλ</t>
  </si>
  <si>
    <t>Communication Kit, Communication Kit Consists, Distance Communication Due, Δλ</t>
  </si>
  <si>
    <t>Communication, Communication Kit Consists, Kit, Δλ</t>
  </si>
  <si>
    <t>Lasers Computer, Δλ</t>
  </si>
  <si>
    <t>Acceptance Angle, Acceptance Cone, Acceptance Cone, As Acceptance Cone, Cone Known (+4 more)</t>
  </si>
  <si>
    <t>Also Constant, Core Is Constant, Planck Constant, Δλ</t>
  </si>
  <si>
    <t>Laser Construction, The Construction Of The Nd, Yag Laser Construction, Δλ</t>
  </si>
  <si>
    <t>Continuous High-power Lamp, Continuous Laser, Neon And Continuous Output, Δλ</t>
  </si>
  <si>
    <t>Core Index, Core Is Constant, Core Material, Core-cladding Interface (+3 more)</t>
  </si>
  <si>
    <t>Core, Material, Δλ</t>
  </si>
  <si>
    <t>Critical Angle, Δλ</t>
  </si>
  <si>
    <t>Crystals</t>
  </si>
  <si>
    <t>Crystal / Crystals</t>
  </si>
  <si>
    <t>Crystals / Crystal</t>
  </si>
  <si>
    <t>Calcite Crystal, Calcite Crystal Making, Calcite Crystal Polarization, Called Negative Crystals (+17 more)</t>
  </si>
  <si>
    <t>Degree, Directionality, Δλ</t>
  </si>
  <si>
    <t>Device</t>
  </si>
  <si>
    <t>Device / Devices</t>
  </si>
  <si>
    <t>Cd Writer Devices, Device That Emits, Junction Device, N Junction Device (+6 more)</t>
  </si>
  <si>
    <t>A Semiconductor Diode Laser, Diode Laser, Laser Diode, Semiconductor Diode (+2 more)</t>
  </si>
  <si>
    <t>A Semiconductor Diode Laser, Diode, Laser, Semiconductor Diode Laser (+1 more)</t>
  </si>
  <si>
    <t>Direction</t>
  </si>
  <si>
    <t>Direction / Directions</t>
  </si>
  <si>
    <t>Direction Of Propagation, Direction Widely Varying, Directions Perpendicular, Mutually Perpendicular Directions (+3 more)</t>
  </si>
  <si>
    <t>Discovered By Erasmus, Δλ</t>
  </si>
  <si>
    <t>Compact Disk, Δλ</t>
  </si>
  <si>
    <t>Deviation, Distance, Δλ</t>
  </si>
  <si>
    <t>Distance Communication Due, Due To Coherence, Signal Degradation Due, Δλ</t>
  </si>
  <si>
    <t>Electron / Electrons</t>
  </si>
  <si>
    <t>Electron Energy Level, Electron-hole Recombination, Electrons Are Initially, Electrons May Stay (+4 more)</t>
  </si>
  <si>
    <t>Electrons, Δλ</t>
  </si>
  <si>
    <t>Coherent Light, Emits Coherent, Light, Δλ</t>
  </si>
  <si>
    <t>Axis Gets Emitted, Emitted Radiations, Photon Emitted, Spontaneously Emitted Radiation (+1 more)</t>
  </si>
  <si>
    <t>Band, Energy, Δλ</t>
  </si>
  <si>
    <t>Energy State / Energy States</t>
  </si>
  <si>
    <t>Energy, Higher Energy State, Lower Energy State, State (+1 more)</t>
  </si>
  <si>
    <t>1 Engineering / Industry, Engineering Applications, Δλ</t>
  </si>
  <si>
    <t>The, Δλ</t>
  </si>
  <si>
    <t>Bartholinus, Erasmus, Δλ</t>
  </si>
  <si>
    <t>Atom Gets Excited, Excited Atom, Excited Energy, Excited Energy Level (+7 more)</t>
  </si>
  <si>
    <t>Atoms, Excited, Δλ</t>
  </si>
  <si>
    <t>End Faces, Opposite Faces, Two Cut Faces, Δλ</t>
  </si>
  <si>
    <t>Fermi Level, Levels, Lies, Δλ</t>
  </si>
  <si>
    <t>Fiber</t>
  </si>
  <si>
    <t>Fiber / Fibers</t>
  </si>
  <si>
    <t>Fiber Axis, Fiber Axis Increases, Generally Optical Fiber, Glass Fibers (+16 more)</t>
  </si>
  <si>
    <t>Axis, Fiber, Fiber Axis Increases, Δλ</t>
  </si>
  <si>
    <t>Fig, Δλ</t>
  </si>
  <si>
    <t>Figure, Δλ</t>
  </si>
  <si>
    <t>Form Optical Cavity, V Form, Δλ</t>
  </si>
  <si>
    <t>Forward Bias, Forward Bias Acts, Forward Biased, Light When Forward (+3 more)</t>
  </si>
  <si>
    <t>Forward, Forward Bias Acts, Δλ</t>
  </si>
  <si>
    <t>Forward, Forward Bias, Δλ</t>
  </si>
  <si>
    <t>Frequency, Radiated, Δλ</t>
  </si>
  <si>
    <t>Gaas Laser, Laser, Laser Wavelength, Wavelength (+1 more)</t>
  </si>
  <si>
    <t>Fiber, Δλ</t>
  </si>
  <si>
    <t>Graded Index Fibers / Graded Index Fiber</t>
  </si>
  <si>
    <t>Fiber, Graded, Graded Index, Index (+2 more)</t>
  </si>
  <si>
    <t>Ground, State, Δλ</t>
  </si>
  <si>
    <t>Hard Metal, Metal, Δλ</t>
  </si>
  <si>
    <t>Helium, Helium-neon, Helium-neon Laser Principle, Helium-neon Laser This (+3 more)</t>
  </si>
  <si>
    <t>Helium, Helium-neon, Helium-neon Laser, Laser (+5 more)</t>
  </si>
  <si>
    <t>Energy, High, High Energy Density, High Energy Output (+1 more)</t>
  </si>
  <si>
    <t>Energy, Higher Energy E2, Higher Energy Levels, Higher Energy State (+2 more)</t>
  </si>
  <si>
    <t>Energy, Energy Levels, Higher Energy, Levels (+2 more)</t>
  </si>
  <si>
    <t>Energy, Energy State, Higher Energy, State (+1 more)</t>
  </si>
  <si>
    <t>Highly, Highly Doped P, Region, Δλ</t>
  </si>
  <si>
    <t>Huygen Explained, Huygen Theory, Huygen Theory Huygen, Polarization – Huygen (+3 more)</t>
  </si>
  <si>
    <t>Area, Δλ</t>
  </si>
  <si>
    <t>Important Industrial Application, Δλ</t>
  </si>
  <si>
    <t>Applications, Important Industrial, Industrial Application, Δλ</t>
  </si>
  <si>
    <t>Angle Of Incidence, Incidence Θ Must, Δλ</t>
  </si>
  <si>
    <t>Incident Parallel, Incident Stimulating Photons, Light Is Incident, Δλ</t>
  </si>
  <si>
    <t>Applications, Important Industrial Application, Δλ</t>
  </si>
  <si>
    <t>Laser, Laser Light, Light, Δλ</t>
  </si>
  <si>
    <t>Achieve Population Inversion, Achieving Population Inversion, As 'population Inversion‘, Continued Population Inversion (+7 more)</t>
  </si>
  <si>
    <t>Junction Device, Junction Laser, N Junction Device, N Junction Laser (+1 more)</t>
  </si>
  <si>
    <t>Communication Kit, Communication Kit Consists, Kit Consists, Δλ</t>
  </si>
  <si>
    <t>Krypton Flash Tube / Krypton Flash Tubes</t>
  </si>
  <si>
    <t>Flash, Tube, Δλ</t>
  </si>
  <si>
    <t>Distance, Large, Δλ</t>
  </si>
  <si>
    <t>Large, Number, Δλ</t>
  </si>
  <si>
    <t>Beam, Beam Diverges, Laser, Laser Beam (+1 more)</t>
  </si>
  <si>
    <t>Beam, Laser, Laser Beam, Δλ</t>
  </si>
  <si>
    <t>Construction, Laser, Yag Laser Construction, Δλ</t>
  </si>
  <si>
    <t>Diode, Laser, Δλ</t>
  </si>
  <si>
    <t>Intense Laser Light, Laser, Light, Δλ</t>
  </si>
  <si>
    <t>Helium-neon Laser Principle, Laser, Neon Laser Principle, Principle (+1 more)</t>
  </si>
  <si>
    <t>Laser, Produces, Δλ</t>
  </si>
  <si>
    <t>Laser, Light, Radiates, Δλ</t>
  </si>
  <si>
    <t>Laser, Nd Yag Laser - Working, Semiconductor Laser Working, Working (+1 more)</t>
  </si>
  <si>
    <t>Computer –, Laser, Δλ</t>
  </si>
  <si>
    <t>Analyzing Plane-polarized Light, Coherent Light, Conventional Light Sources, Emergent Light (+33 more)</t>
  </si>
  <si>
    <t>Light, Δλ</t>
  </si>
  <si>
    <t>Gathering Ability, Light, Light Gathering, Δλ</t>
  </si>
  <si>
    <t>Incident, Light, Δλ</t>
  </si>
  <si>
    <t>Light Ray / Light Rays</t>
  </si>
  <si>
    <t>Light, Light Ray Contained, Light Rays Propagate, Light Rays Return (+3 more)</t>
  </si>
  <si>
    <t>Light, Light Ray, Ray, Δλ</t>
  </si>
  <si>
    <t>Light, Light Ray, Ray, Traveling (+1 more)</t>
  </si>
  <si>
    <t>Conventional Light Sources, Light, Source, Δλ</t>
  </si>
  <si>
    <t>Light, Wave, Δλ</t>
  </si>
  <si>
    <t>Line, Width, Δλ</t>
  </si>
  <si>
    <t>Current, Forward, Low Forward, Δλ</t>
  </si>
  <si>
    <t>Energy, Lower, Lower Energy E1, Lower Energy Level (+2 more)</t>
  </si>
  <si>
    <t>Energy, Energy State, Lower, Lower Energy (+2 more)</t>
  </si>
  <si>
    <t>Anisotropic Materials, Anisotropic Materials Exhibit, Anisotropic Materials Exhibit Double, Clad Material (+6 more)</t>
  </si>
  <si>
    <t>Angle, Δλ</t>
  </si>
  <si>
    <t>Hard Metal, Hard Metal Sheets, Metal Or Fabric, Δλ</t>
  </si>
  <si>
    <t>As 'metastable, Metastable Excited States, Metastable State, Upper Metastable States (+2 more)</t>
  </si>
  <si>
    <t>Excited, Excited State, Metastable, State (+1 more)</t>
  </si>
  <si>
    <t>Fiber, Modes, Multi-mode Fiber, Single-mode Fiber (+1 more)</t>
  </si>
  <si>
    <t>Mode Fibers, Multi-mode, Multi-mode Fiber, Number Of Modes (+3 more)</t>
  </si>
  <si>
    <t>Fully Monochromatic, Less Monochromatic, Δλ</t>
  </si>
  <si>
    <t>Laser • Monochromaticity, Δλ</t>
  </si>
  <si>
    <t>Laser, Nd, Nd Yag Laser - Working, Nd Yag Laser – Characteristics (+3 more)</t>
  </si>
  <si>
    <t>Neodymium, Neodymium Ions Atoms, Δλ</t>
  </si>
  <si>
    <t>Helium To Neon And Pumping, Helium-neon, Helium-neon Laser, Helium-neon Laser Principle (+7 more)</t>
  </si>
  <si>
    <t>Atoms, Neon, Neon Atoms De-excite, Δλ</t>
  </si>
  <si>
    <t>Atoms, Neon, Neon Atoms, Δλ</t>
  </si>
  <si>
    <t>Nicol Prism, Nicol Prism Nicol, Nicol Prism Working, Polarization – Nicol Prism (+3 more)</t>
  </si>
  <si>
    <t>Number, Time, Δλ</t>
  </si>
  <si>
    <t>Numerical Aperture, Δλ</t>
  </si>
  <si>
    <t>O-ray And E-ray, O-ray Is Eliminated, O-ray Lies, O-ray Passes (+6 more)</t>
  </si>
  <si>
    <t>O-ray, Passes, Ray, Ray Passes (+2 more)</t>
  </si>
  <si>
    <t>Faces, Δλ</t>
  </si>
  <si>
    <t>Axis, Optics, Δλ</t>
  </si>
  <si>
    <t>Corresponding Optical Energy, Form Optical Cavity, Generally Optical, Generally Optical Fiber (+25 more)</t>
  </si>
  <si>
    <t>Cavity, Form Optical Cavity, Optical, Δλ</t>
  </si>
  <si>
    <t>Optical Fiber / Optical Fibers</t>
  </si>
  <si>
    <t>Fiber, Generally Optical Fiber, Index Optical Fiber, Optical (+6 more)</t>
  </si>
  <si>
    <t>Based, Fiber, Optical, Optical Fiber (+1 more)</t>
  </si>
  <si>
    <t>Fiber, Optical, Optical Fiber, Δλ</t>
  </si>
  <si>
    <t>Fibre, Optical, Optical Fibre Depends, Δλ</t>
  </si>
  <si>
    <t>Optics / Optic</t>
  </si>
  <si>
    <t>Applications Of Optic, Applications Of Optic Fibre, Fibre Optics, Optic Axis (+2 more)</t>
  </si>
  <si>
    <t>Silvered, Δλ</t>
  </si>
  <si>
    <t>E-ray Passes, O-ray Passes, Ray Passes, Δλ</t>
  </si>
  <si>
    <t>Atoms, Δλ</t>
  </si>
  <si>
    <t>Directions Perpendicular, Mutually Perpendicular Directions, Plane Perpendicular, Possible Directions Perpendicular (+2 more)</t>
  </si>
  <si>
    <t>Characteristic Phenomenon, Characteristic Phenomenon Called, Explained The Phenomenon, Phenomenon Called (+2 more)</t>
  </si>
  <si>
    <t>Photon / Photons</t>
  </si>
  <si>
    <t>Incident Stimulating Photons, Photon Emitted, Photon Equals, Photon Gets Absorbed (+8 more)</t>
  </si>
  <si>
    <t>Photon, Δλ</t>
  </si>
  <si>
    <t>Constant, Planck, Δλ</t>
  </si>
  <si>
    <t>Analyzing Plane, Analyzing Plane-polarized, Analyzing Plane-polarized Light, Called Principal Plane (+14 more)</t>
  </si>
  <si>
    <t>Perpendicular, Plane, Single Plane Perpendicular, Δλ</t>
  </si>
  <si>
    <t>Analyzing Plane-polarized, Analyzing Plane-polarized Light, Plane, Plane Polarized Light (+4 more)</t>
  </si>
  <si>
    <t>Nicol, Nicol Prism, Polarization, Prism (+1 more)</t>
  </si>
  <si>
    <t>Light, Polarization, Polarized, Polarized Light (+1 more)</t>
  </si>
  <si>
    <t>Crystals, Crystals Negative, Crystals Negative Crystals, Negative (+5 more)</t>
  </si>
  <si>
    <t>Output, Δλ</t>
  </si>
  <si>
    <t>Called Principal Plane, Plane, Principal, Principal Plane Of The Extraordinary Ray (+2 more)</t>
  </si>
  <si>
    <t>Cut, Principal, Principal Section, Section (+2 more)</t>
  </si>
  <si>
    <t>Laser, Principle, Δλ</t>
  </si>
  <si>
    <t>Nicol Prism, Nicol Prism Nicol, Nicol Prism Working, Polarization – Nicol Prism (+6 more)</t>
  </si>
  <si>
    <t>Collision Process Maintains, Δλ</t>
  </si>
  <si>
    <t>Produces, The, Δλ</t>
  </si>
  <si>
    <t>Properties Of Lasers, Δλ</t>
  </si>
  <si>
    <t>Active Medium, Pumping, Helium To Neon And Pumping, Optical Pumping, Pumping And Recombination (+3 more)</t>
  </si>
  <si>
    <t>Pumping, Δλ</t>
  </si>
  <si>
    <t>Emission Of Radiation, Emitted Radiations, Spontaneously Emitted Radiation, Δλ</t>
  </si>
  <si>
    <t>Rare Earth, Δλ</t>
  </si>
  <si>
    <t>Medium, Δλ</t>
  </si>
  <si>
    <t>Ray</t>
  </si>
  <si>
    <t>Ray / Rays</t>
  </si>
  <si>
    <t>E-ray, E-ray Is Transmitted, E-ray Passes, Extraordinary Ray (+31 more)</t>
  </si>
  <si>
    <t>Obey Snell, Ray, Snell, Δλ</t>
  </si>
  <si>
    <t>Light Rays Return, Ray, Δλ</t>
  </si>
  <si>
    <t>Refracted Rays, Δλ</t>
  </si>
  <si>
    <t>Ray, Refracted, Δλ</t>
  </si>
  <si>
    <t>Double Refraction, Double Refraction Based, Exhibit Double Refraction, Refraction 0F 1 (+1 more)</t>
  </si>
  <si>
    <t>658 Refractive Index, Fractional Refractive Index, Index, Non-uniform Refractive Index (+6 more)</t>
  </si>
  <si>
    <t>Index, Lies, Refractive, Refractive Index (+1 more)</t>
  </si>
  <si>
    <t>As Active Region, Depletion Region, Depletion Region Reaches, Highly Doped P-region (+5 more)</t>
  </si>
  <si>
    <t>Cavities, Resonant, Δλ</t>
  </si>
  <si>
    <t>Cylindrical Rod, Yag Rod, Δλ</t>
  </si>
  <si>
    <t>Reflected Signal, Signal Degradation Due, Signal Frequency Propagate, Δλ</t>
  </si>
  <si>
    <t>Transverse, Transverse Wave, Wave, Δλ</t>
  </si>
  <si>
    <t>Single Plane, Single Plane Perpendicular, Single Rotating Crystal, Single Tourmaline Crystal (+4 more)</t>
  </si>
  <si>
    <t>Plane, Single, Single Plane Perpendicular, Δλ</t>
  </si>
  <si>
    <t>Perpendicular, Plane, Plane Perpendicular, Single (+2 more)</t>
  </si>
  <si>
    <t>Extremely Small, Small Amount, Small Area, Small Core Diameter (+4 more)</t>
  </si>
  <si>
    <t>Conventional Light Sources, Light Source, Pumping Source, Δλ</t>
  </si>
  <si>
    <t>State, Δλ</t>
  </si>
  <si>
    <t>Four-level Solid-state Laser, Laser, Solid State Laser, State (+1 more)</t>
  </si>
  <si>
    <t>Index, Step, Step Index Fibers, Step-index Optical (+2 more)</t>
  </si>
  <si>
    <t>Step Index Fibers / Step Index Fiber</t>
  </si>
  <si>
    <t>Fiber, Index, Index Fibers, Step (+2 more)</t>
  </si>
  <si>
    <t>Studies On Calcite, Δλ</t>
  </si>
  <si>
    <t>Canada Balsam Surface, Prism Surface, Δλ</t>
  </si>
  <si>
    <t>Active System, Atomic System, Δλ</t>
  </si>
  <si>
    <t>Term Laser, Term Laser Stands, Δλ</t>
  </si>
  <si>
    <t>Laser, Term, Term Laser Stands, Δλ</t>
  </si>
  <si>
    <t>Laser, Laser Stands, Stands, Term (+2 more)</t>
  </si>
  <si>
    <t>Electromagnetic Theory, Huygen Theory, Huygen Theory Huygen, Theory Huygen (+2 more)</t>
  </si>
  <si>
    <t>Explained, Huygen, Huygen Explained, Theory (+2 more)</t>
  </si>
  <si>
    <t>Time / Times</t>
  </si>
  <si>
    <t>Approximately 10 Times, Length Three Times, Number Of Times, Short Time Called (+2 more)</t>
  </si>
  <si>
    <t>Active, Active Medium, Medium, Total (+1 more)</t>
  </si>
  <si>
    <t>Internal Reflection, Total, Total Internal, Δλ</t>
  </si>
  <si>
    <t>Laser Transition, Δλ</t>
  </si>
  <si>
    <t>Light Transmission, Transmission Through Optical, Δλ</t>
  </si>
  <si>
    <t>Transverse, Δλ</t>
  </si>
  <si>
    <t>Simplest Transverse Wave, Transverse, Wave, Δλ</t>
  </si>
  <si>
    <t>Index, Non-uniform Refractive Index, Refractive, Refractive Index (+1 more)</t>
  </si>
  <si>
    <t>The, Unlike, Δλ</t>
  </si>
  <si>
    <t>Energy, Energy Levels, Levels, Δλ</t>
  </si>
  <si>
    <t>One Vibration Parallel, Vibrations Along, Δλ</t>
  </si>
  <si>
    <t>Light Wave, Longitudinal Waves, Plane-polarized Wave, Polarized Wave (+4 more)</t>
  </si>
  <si>
    <t>Wavefront / Wavefronts</t>
  </si>
  <si>
    <t>Ellipsoidal Wavefronts Touch, Spherical Wavefront, Wavefront Of E-ray, Wavefront Of O-ray (+1 more)</t>
  </si>
  <si>
    <t>Emit Many Wavelengths, Gaas Laser Wavelength, Laser Wavelength, One Wavelength (+4 more)</t>
  </si>
  <si>
    <t>Wavelength, Δλ</t>
  </si>
  <si>
    <t>Wave, Δλ</t>
  </si>
  <si>
    <t>Laser Working, Nd Yag Laser - Working, Nicol Prism Working, Prism Working (+3 more)</t>
  </si>
  <si>
    <t>Figure, The, Working, Δλ</t>
  </si>
  <si>
    <t>Cd Writer Devices, Device, Writer, Δλ</t>
  </si>
  <si>
    <t>Crystals, Yag, Δλ</t>
  </si>
  <si>
    <t>Construction, Laser, Laser Construction, Yag (+2 more)</t>
  </si>
  <si>
    <t>Rod, Yag, Δλ</t>
  </si>
  <si>
    <t>1 Engineering / Industry, 2 Medicine, 2 Types, 5893a , Μc (+986 more)</t>
  </si>
  <si>
    <t>Type, Δλ, Μ2</t>
  </si>
  <si>
    <t>Δλ,  C</t>
  </si>
  <si>
    <t>Index, Refractive, Refractive Index, Δλ</t>
  </si>
  <si>
    <t>Sec, Δλ</t>
  </si>
  <si>
    <t>Diode, Diode Laser, Laser, Semiconductor (+3 more)</t>
  </si>
  <si>
    <t>Accept, Angle, Δλ</t>
  </si>
  <si>
    <t>Ac Accept Angle, Accept Large Amount, Δλ</t>
  </si>
  <si>
    <t>Accept, Large, Δλ</t>
  </si>
  <si>
    <t>Acceptance, Acceptance Angle, Acceptance Cone, Angle (+2 more)</t>
  </si>
  <si>
    <t>Acceptance, Acceptance Angle, Angle, Δλ</t>
  </si>
  <si>
    <t>Inversion, Population, Population Inversion, Δλ</t>
  </si>
  <si>
    <t>Active, Called Active Centres, Δλ</t>
  </si>
  <si>
    <t>Active, Δλ</t>
  </si>
  <si>
    <t>Active, Active Medium, Medium, Δλ</t>
  </si>
  <si>
    <t>Active, Active Medium, Medium, Nd (+2 more)</t>
  </si>
  <si>
    <t>Active, System, Δλ</t>
  </si>
  <si>
    <t>Advantages, Advantages Of Semiconductor Laser, Semiconductor, Δλ</t>
  </si>
  <si>
    <t>Advantages, Advantages Of Semiconductor, Laser, Semiconductor (+2 more)</t>
  </si>
  <si>
    <t>Making, Δλ</t>
  </si>
  <si>
    <t>Also Classified, Also Constant, Also Termed, Practice Also (+1 more)</t>
  </si>
  <si>
    <t>Also, Classified, Δλ</t>
  </si>
  <si>
    <t>Also, Constant, Δλ</t>
  </si>
  <si>
    <t>Also, Δλ</t>
  </si>
  <si>
    <t>Analyzing Plane-polarized, Analyzing Plane-polarized Light, Plane, Δλ</t>
  </si>
  <si>
    <t>Analyzing Plane, Analyzing Plane-polarized Light, Plane, Plane Polarized (+2 more)</t>
  </si>
  <si>
    <t>Analyzing Plane, Analyzing Plane-polarized, Light, Plane (+5 more)</t>
  </si>
  <si>
    <t>Acceptance, Angle, Δλ</t>
  </si>
  <si>
    <t>Angle, Incidence, Δλ</t>
  </si>
  <si>
    <t>Anisotropic Materials Exhibit, Anisotropic Materials Exhibit Double, Material, Δλ</t>
  </si>
  <si>
    <t>Anisotropic Materials, Anisotropic Materials Exhibit Double, Material, Materials Exhibit (+1 more)</t>
  </si>
  <si>
    <t>Anisotropic Materials, Anisotropic Materials Exhibit, Double, Exhibit Double (+4 more)</t>
  </si>
  <si>
    <t>Applications, Applications Of Optic, Fibre, Optic Fibre (+2 more)</t>
  </si>
  <si>
    <t>Time, Δλ</t>
  </si>
  <si>
    <t>Watts, Δλ</t>
  </si>
  <si>
    <t>Metastable, Δλ</t>
  </si>
  <si>
    <t>Acceptance, Acceptance Cone, Cone, Δλ</t>
  </si>
  <si>
    <t>Active, Region, Δλ</t>
  </si>
  <si>
    <t>End, The, Tube, Δλ</t>
  </si>
  <si>
    <t>Atomic System, Δλ</t>
  </si>
  <si>
    <t>Axis Gets Emitted, Fiber Axis, Fiber Axis Increases, Optic Axis (+1 more)</t>
  </si>
  <si>
    <t>Axis, Emitted, Δλ</t>
  </si>
  <si>
    <t>Canada Balsam, Canada Balsam Layer, Canada Balsam Surface, Δλ</t>
  </si>
  <si>
    <t>Erasmus Bartholinus, Δλ</t>
  </si>
  <si>
    <t>Based On Refractive, Categories Based, Classification Based, Double Refraction Based (+4 more)</t>
  </si>
  <si>
    <t>Based, Refractive, Δλ</t>
  </si>
  <si>
    <t>Beam, Laser Beam Diverges, Δλ</t>
  </si>
  <si>
    <t>Bloodless Cancer, Bloodless Cancer Surgeries, Δλ</t>
  </si>
  <si>
    <t>One Blunt Corner, Δλ</t>
  </si>
  <si>
    <t>Absorption, Band, Δλ</t>
  </si>
  <si>
    <t>Creates Microscopic Bubble, Microscopic Bubble, Δλ</t>
  </si>
  <si>
    <t>Calcite, Calcite Crystal, Crystals, Making (+1 more)</t>
  </si>
  <si>
    <t>Calcite, Calcite Crystal, Crystals, Polarization (+1 more)</t>
  </si>
  <si>
    <t>Active, Active Centres, Called, Δλ</t>
  </si>
  <si>
    <t>Called, Δλ</t>
  </si>
  <si>
    <t>Called, Phenomenon Called Polarization, Polarization, Δλ</t>
  </si>
  <si>
    <t>Called, Called Principal Plane, Principal, Δλ</t>
  </si>
  <si>
    <t>Called, Principal, The, Δλ</t>
  </si>
  <si>
    <t>Based, Two Categories Based, Δλ</t>
  </si>
  <si>
    <t>Resonant Cavities, Such Cavities Are, Δλ</t>
  </si>
  <si>
    <t>Cavity Formed, Elliptical Reflector Cavity, Form Optical Cavity, Optical Cavity (+2 more)</t>
  </si>
  <si>
    <t>Cavity, Δλ</t>
  </si>
  <si>
    <t>Device, Writer, Writer Devices, Δλ</t>
  </si>
  <si>
    <t>Number, Δλ</t>
  </si>
  <si>
    <t>Characteristic Phenomenon Called, Characteristics, Phenomenon, Δλ</t>
  </si>
  <si>
    <t>Called, Characteristic Phenomenon, Characteristics, Phenomenon (+2 more)</t>
  </si>
  <si>
    <t>Characteristics</t>
  </si>
  <si>
    <t>Characteristics / Characteristic</t>
  </si>
  <si>
    <t>Characteristic Phenomenon, Characteristic Phenomenon Called, Characteristics Of Laser, Exhibit The Characteristic (+2 more)</t>
  </si>
  <si>
    <t>Characteristics, Laser, Δλ</t>
  </si>
  <si>
    <t>Circuits, Printed Circuit Boards, Δλ</t>
  </si>
  <si>
    <t>Circuit Boards, Necessary Drive Circuit, Printed Circuit Boards, Δλ</t>
  </si>
  <si>
    <t>Clad Material, Δλ</t>
  </si>
  <si>
    <t>Cladding, Δλ</t>
  </si>
  <si>
    <t>Cladding, Core-cladding Interface, Δλ</t>
  </si>
  <si>
    <t>Also Classified, Δλ</t>
  </si>
  <si>
    <t>Due To Coherence, Δλ</t>
  </si>
  <si>
    <t>Emits Coherent Light, Light, Δλ</t>
  </si>
  <si>
    <t>Process, Δλ</t>
  </si>
  <si>
    <t>Disk, Δλ</t>
  </si>
  <si>
    <t>Cone, Δλ</t>
  </si>
  <si>
    <t>Communication Kit Consists, Kit Consists, Δλ</t>
  </si>
  <si>
    <t>Mirrors, Δλ</t>
  </si>
  <si>
    <t>Continued Population Inversion, Δλ</t>
  </si>
  <si>
    <t>Continued, Inversion, Population, Population Inversion (+1 more)</t>
  </si>
  <si>
    <t>Continuous, High, Δλ</t>
  </si>
  <si>
    <t>Continuous, Laser, Δλ</t>
  </si>
  <si>
    <t>Light, Light Source, Source, Δλ</t>
  </si>
  <si>
    <t>Core, Index, Δλ</t>
  </si>
  <si>
    <t>Constant, Core, Δλ</t>
  </si>
  <si>
    <t>Cladding, Cladding Interface, Core, Δλ</t>
  </si>
  <si>
    <t>Frequency, Δλ</t>
  </si>
  <si>
    <t>Energy, Optical, Optical Energy, Δλ</t>
  </si>
  <si>
    <t>Bubbles, Microscopic Bubble, Δλ</t>
  </si>
  <si>
    <t>Crystals, Large, Δλ</t>
  </si>
  <si>
    <t>Crystals, Crystals Negative Crystals, Negative, Positive Crystals Negative (+2 more)</t>
  </si>
  <si>
    <t>Crystals, Crystals Negative, Negative, Negative Crystals (+2 more)</t>
  </si>
  <si>
    <t>Crystals, Crystals Positive Crystals, Negative Crystals Positive, Positive (+1 more)</t>
  </si>
  <si>
    <t>Crystals, Crystals Positive, Positive, Positive Crystals (+1 more)</t>
  </si>
  <si>
    <t>Low Forward Current, Δλ</t>
  </si>
  <si>
    <t>Principal Section Cuts, Section Cuts, Two Cut Faces, Δλ</t>
  </si>
  <si>
    <t>Cylindrical Rod, Δλ</t>
  </si>
  <si>
    <t>Cylindrical, Rod, Δλ</t>
  </si>
  <si>
    <t>Spontaneously Decays Back, Δλ</t>
  </si>
  <si>
    <t>Degree Of Directionality, High Degree, Δλ</t>
  </si>
  <si>
    <t>Depletion Region Reaches, Region, Δλ</t>
  </si>
  <si>
    <t>Depletion Region, Region, Δλ</t>
  </si>
  <si>
    <t>Distances Without Deviation, Δλ</t>
  </si>
  <si>
    <t>Device, Δλ</t>
  </si>
  <si>
    <t>Different Biological, Different Frequencies Present, Δλ</t>
  </si>
  <si>
    <t>Different, Δλ</t>
  </si>
  <si>
    <t>Direction Of Propagation</t>
  </si>
  <si>
    <t>Direction Of Propagation / Directions Of Propagation</t>
  </si>
  <si>
    <t>Direction, Propagation, Δλ</t>
  </si>
  <si>
    <t>Direction, Δλ</t>
  </si>
  <si>
    <t>Direction, Perpendicular, Possible Directions Perpendicular, Δλ</t>
  </si>
  <si>
    <t>Proportional, Δλ</t>
  </si>
  <si>
    <t>Helium, Δλ</t>
  </si>
  <si>
    <t>Discovered, Erasmus, Δλ</t>
  </si>
  <si>
    <t>Distance Communication Due, Distances Without Deviation, Large Distances, Radial Distance (+1 more)</t>
  </si>
  <si>
    <t>Communication, Distance, Due, Δλ</t>
  </si>
  <si>
    <t>Levels, Δλ</t>
  </si>
  <si>
    <t>Anisotropic Materials Exhibit Double, Double Refraction, Double Refraction Based, Exhibit Double (+3 more)</t>
  </si>
  <si>
    <t>Based, Double, Double Refraction, Refraction (+1 more)</t>
  </si>
  <si>
    <t>Crystals, Δλ</t>
  </si>
  <si>
    <t>Holes, Δλ</t>
  </si>
  <si>
    <t>Coherence, Due, Δλ</t>
  </si>
  <si>
    <t>E-ray Is Transmitted, E-ray Passes, O-ray And E-ray, Ray (+3 more)</t>
  </si>
  <si>
    <t>E-ray, Ray, Transmitted, Δλ (+1 more)</t>
  </si>
  <si>
    <t>E-ray, Passes, Ray, Ray Passes (+2 more)</t>
  </si>
  <si>
    <t>Industries, Δλ</t>
  </si>
  <si>
    <t>Theory, Δλ</t>
  </si>
  <si>
    <t>Electrons, Energy, Energy Levels, Levels (+1 more)</t>
  </si>
  <si>
    <t>Electrons, Holes, Recombination, Δλ</t>
  </si>
  <si>
    <t>Wavefront, Δλ</t>
  </si>
  <si>
    <t>Emission, Spontaneous Emission Occurs, Δλ</t>
  </si>
  <si>
    <t>Emission, Radiation, Δλ</t>
  </si>
  <si>
    <t>Emits Coherent Light, Δλ</t>
  </si>
  <si>
    <t>Emitted, Radiation, Spontaneously Emitted Radiation, Δλ</t>
  </si>
  <si>
    <t>At One End Of The Tube, End Faces, Two Ends, Δλ</t>
  </si>
  <si>
    <t>End, Faces, Δλ</t>
  </si>
  <si>
    <t>Energy, High Energy Density, Δλ</t>
  </si>
  <si>
    <t>Energy, Δλ, Μe</t>
  </si>
  <si>
    <t>Energy, High Energy Output, Output, Δλ</t>
  </si>
  <si>
    <t>Applications, Engineering, Δλ</t>
  </si>
  <si>
    <t>Discovered By Erasmus, Erasmus Bartholinus, Δλ</t>
  </si>
  <si>
    <t>Energy, Excited, Excited Energy Level, Δλ</t>
  </si>
  <si>
    <t>Atoms, Excited, Helium, Helium Atoms (+1 more)</t>
  </si>
  <si>
    <t>Excited, Levels, Δλ</t>
  </si>
  <si>
    <t>Excited, Excited State, State, Δλ</t>
  </si>
  <si>
    <t>Anisotropic Materials Exhibit Double, Double, Exhibit Double Refraction, Materials Exhibit Double (+1 more)</t>
  </si>
  <si>
    <t>Double, Double Refraction, Exhibit Double, Refraction (+1 more)</t>
  </si>
  <si>
    <t>Characteristics, The, Δλ</t>
  </si>
  <si>
    <t>Explained The Phenomenon, Huygen Explained, Theory Huygen Explained, Δλ</t>
  </si>
  <si>
    <t>Explained, Phenomenon, The, Δλ</t>
  </si>
  <si>
    <t>Polarization, Δλ</t>
  </si>
  <si>
    <t>Smooth, Δλ</t>
  </si>
  <si>
    <t>High, Intensity, Δλ</t>
  </si>
  <si>
    <t>Small, Δλ</t>
  </si>
  <si>
    <t>Fermi Level Lies, Levels, Δλ</t>
  </si>
  <si>
    <t>Axis, Fiber, Fiber Axis, Δλ</t>
  </si>
  <si>
    <t>Applications Of Optic Fibre, Fibre Cable, Fibre Depends, Fibre Optics (+4 more)</t>
  </si>
  <si>
    <t>Fibre, Δλ</t>
  </si>
  <si>
    <t>Fibre, Optical Fibre Depends, Δλ</t>
  </si>
  <si>
    <t>Fig. Acceptance Angle, Fig. Shows, See Fig, Δλ</t>
  </si>
  <si>
    <t>Acceptance, Acceptance Angle, Angle, Fig (+1 more)</t>
  </si>
  <si>
    <t>Figure Shows, Working The Figure, Δλ</t>
  </si>
  <si>
    <t>Finds Many Applications, Δλ</t>
  </si>
  <si>
    <t>Applications, Finds, Δλ</t>
  </si>
  <si>
    <t>Gas, Gas Lasers, Laser, Δλ</t>
  </si>
  <si>
    <t>Flash Lamp, Krypton Flash Lamp, Krypton Flash Tubes, Δλ</t>
  </si>
  <si>
    <t>Flash, Krypton Flash Lamp, Δλ</t>
  </si>
  <si>
    <t>Focused Laser Beam, Laser, Δλ</t>
  </si>
  <si>
    <t>Beam, Focused Laser, Laser, Laser Beam (+1 more)</t>
  </si>
  <si>
    <t>Forward, Δλ</t>
  </si>
  <si>
    <t>Laser, Levels, Solid State, Solid State Laser (+3 more)</t>
  </si>
  <si>
    <t>Corresponding Frequency, Frequency Of Radiated, Signal Frequency Propagate, This Frequency Band ‘δν (+1 more)</t>
  </si>
  <si>
    <t>Angle, Δλ, Θ0, Μ2</t>
  </si>
  <si>
    <t>Fully Monochromatic, Fully Silvered, Δλ</t>
  </si>
  <si>
    <t>Fully, Silvered, Δλ</t>
  </si>
  <si>
    <t>Gaas Laser Wavelength, Laser, Δλ</t>
  </si>
  <si>
    <t>Aluminum Garnet, Yttrium Aluminum Garnet, Δλ</t>
  </si>
  <si>
    <t>First Gas Laser, Gas Lasers, Δλ</t>
  </si>
  <si>
    <t>First Gas Laser, Gas, Laser, Δλ</t>
  </si>
  <si>
    <t>Light Gathering Ability, Δλ</t>
  </si>
  <si>
    <t>Generally Optical, Generally Optical Fiber, Δλ</t>
  </si>
  <si>
    <t>Generally, Generally Optical Fiber, Optical, Δλ</t>
  </si>
  <si>
    <t>Fiber, Generally, Generally Optical, Optical (+2 more)</t>
  </si>
  <si>
    <t>Graded Index, Graded Index Fibers, Graded Index Optical, Δλ</t>
  </si>
  <si>
    <t>Graded, Graded Index Fibers, Graded Index Optical, Index (+1 more)</t>
  </si>
  <si>
    <t>Graded, Graded Index, Index, Index Optical (+2 more)</t>
  </si>
  <si>
    <t>Ground Level E0, Ground Level Mainly, Ground State, Δλ</t>
  </si>
  <si>
    <t>Ground, Levels, Δλ</t>
  </si>
  <si>
    <t>Hard Metal Sheets, Metal, Δλ</t>
  </si>
  <si>
    <t>Laser, Ne, Ne Laser, Δλ</t>
  </si>
  <si>
    <t>Heavily Doped P, Δλ</t>
  </si>
  <si>
    <t>Heavily Doped, Δλ</t>
  </si>
  <si>
    <t>Ray, Δλ</t>
  </si>
  <si>
    <t>Discharge And Excitation Of Helium, Excited Helium Atoms, Helium Atoms, Helium Atoms Tend (+8 more)</t>
  </si>
  <si>
    <t>Atoms, Excited Helium Atoms, Helium, Helium Atoms Tend (+1 more)</t>
  </si>
  <si>
    <t>Atoms, Helium, Helium Atoms, Δλ</t>
  </si>
  <si>
    <t>Helium, Laser, Δλ</t>
  </si>
  <si>
    <t>Helium, Neon, Pumping, Δλ</t>
  </si>
  <si>
    <t>Helium, Helium-neon Laser, Helium-neon Laser Principle, Helium-neon Laser This (+2 more)</t>
  </si>
  <si>
    <t>Helium, Helium-neon, Helium-neon Laser, Laser (+3 more)</t>
  </si>
  <si>
    <t>Cladding, High, Δλ</t>
  </si>
  <si>
    <t>Degree, High, Δλ</t>
  </si>
  <si>
    <t>Energy, High, Δλ</t>
  </si>
  <si>
    <t>High, Δλ</t>
  </si>
  <si>
    <t>High, Population, Δλ</t>
  </si>
  <si>
    <t>High, High Repetition Rate, Δλ</t>
  </si>
  <si>
    <t>High, High Repetition, Δλ</t>
  </si>
  <si>
    <t>Beam, High, Laser, Laser Beam (+2 more)</t>
  </si>
  <si>
    <t>Energy, Higher Energy, Δλ</t>
  </si>
  <si>
    <t>Highly Coherent, Highly Directional, Highly Doped P, Highly Doped P-region (+2 more)</t>
  </si>
  <si>
    <t>Highly, Δλ</t>
  </si>
  <si>
    <t>Highly, Highly Doped P-region, Δλ</t>
  </si>
  <si>
    <t>Drill Holes, Electron-hole Recombination, Holes Exist, Δλ</t>
  </si>
  <si>
    <t>Active, Atoms, Δλ</t>
  </si>
  <si>
    <t>Explained, Huygen, Theory Huygen Explained, Δλ</t>
  </si>
  <si>
    <t>Huygen, Huygen Theory Huygen, Theory, Δλ</t>
  </si>
  <si>
    <t>Huygen, Huygen Theory, Theory, Theory Huygen (+1 more)</t>
  </si>
  <si>
    <t>Small Image, Δλ</t>
  </si>
  <si>
    <t>Incidence, Δλ</t>
  </si>
  <si>
    <t>Incident, Parallel, Δλ</t>
  </si>
  <si>
    <t>Incident, Photon, Stimulating Photon, Δλ</t>
  </si>
  <si>
    <t>658 Refractive Index, Core Index, Fractional Refractive Index, Graded Index (+18 more)</t>
  </si>
  <si>
    <t>Index Fibers</t>
  </si>
  <si>
    <t>Index Fibers / Index Fiber</t>
  </si>
  <si>
    <t>Fiber, Graded Index Fibers, Index, Step Index Fibers (+1 more)</t>
  </si>
  <si>
    <t>Graded Index Optical, Index, Index Optical Fiber, Optical (+3 more)</t>
  </si>
  <si>
    <t>Fiber, Index, Index Optical, Optical (+3 more)</t>
  </si>
  <si>
    <t>Electric Components Industries, Tailoring Industries, Δλ</t>
  </si>
  <si>
    <t>1 Engineering / Industry, Industry • Laser, Δλ</t>
  </si>
  <si>
    <t>Industry, Laser, Δλ</t>
  </si>
  <si>
    <t>Extremely High Intensity, Δλ</t>
  </si>
  <si>
    <t>Total Internal Reflection, Δλ</t>
  </si>
  <si>
    <t>Reflected, Totally Internally Reflected, Δλ</t>
  </si>
  <si>
    <t>Inversion, Population Inversion Is Achieved, Δλ</t>
  </si>
  <si>
    <t>Inversion, Δλ</t>
  </si>
  <si>
    <t>Device, Junction, N Junction Device, Δλ</t>
  </si>
  <si>
    <t>Junction, Laser, N Junction Laser, Δλ</t>
  </si>
  <si>
    <t>Communication Kit Consists, Consists, Kit, Δλ</t>
  </si>
  <si>
    <t>Flash, Flash Lamp, Δλ</t>
  </si>
  <si>
    <t>Accept Large Amount, Crystal Is Large, Large Concentration, Large Distances (+6 more)</t>
  </si>
  <si>
    <t>Large, Na, Δλ</t>
  </si>
  <si>
    <t>Acceptance, Larger Acceptance Angles, Δλ</t>
  </si>
  <si>
    <t>Acceptance, Acceptance Angle, Angle, Larger Acceptance (+1 more)</t>
  </si>
  <si>
    <t>Population, Δλ</t>
  </si>
  <si>
    <t>Laser, Stands, Term Laser Stands, Δλ</t>
  </si>
  <si>
    <t>Laser, Transition, Δλ</t>
  </si>
  <si>
    <t>Gaas Laser Wavelength, Laser, Wavelength, Δλ</t>
  </si>
  <si>
    <t>Laser, Monochromaticity, Δλ</t>
  </si>
  <si>
    <t>Cutting, Laser, Δλ</t>
  </si>
  <si>
    <t>Directionality, Laser, Δλ</t>
  </si>
  <si>
    <t>Prevent Lasing Action, Δλ</t>
  </si>
  <si>
    <t>Canada Balsam Layer, Δλ</t>
  </si>
  <si>
    <t>Monochromatic, Δλ</t>
  </si>
  <si>
    <t>Energy Level Diagram, Levels, Δλ</t>
  </si>
  <si>
    <t>Energy, Energy Levels, Higher Energy, Higher Energy Levels (+2 more)</t>
  </si>
  <si>
    <t>Fermi Level Lies, O-ray Lies, Ray Lies, Refractive Index Lies (+2 more)</t>
  </si>
  <si>
    <t>Beam, Light, Δλ</t>
  </si>
  <si>
    <t>Light, Light Gathering Ability, Light Gathering Power, Δλ</t>
  </si>
  <si>
    <t>Light, Light Gathering, Δλ</t>
  </si>
  <si>
    <t>Light, Transmitted, Δλ</t>
  </si>
  <si>
    <t>Light, Transmission, Δλ</t>
  </si>
  <si>
    <t>Light, Parallel, Δλ</t>
  </si>
  <si>
    <t>Forward, Light, Δλ</t>
  </si>
  <si>
    <t>Line Width, Straight Line, Δλ</t>
  </si>
  <si>
    <t>Polarized, Δλ</t>
  </si>
  <si>
    <t>Forward, Low Forward Current, Δλ</t>
  </si>
  <si>
    <t>Lower Energy, Lower Energy E1, Lower Energy Level, Lower Energy State (+2 more)</t>
  </si>
  <si>
    <t>Energy, Lower, Lower Energy, Δλ</t>
  </si>
  <si>
    <t>Levels, Lower, Δλ</t>
  </si>
  <si>
    <t>Optically Flat, Δλ</t>
  </si>
  <si>
    <t>Main Function, Δλ</t>
  </si>
  <si>
    <t>Main, Δλ</t>
  </si>
  <si>
    <t>Along Bc Making, Along Bd Making, Calcite Crystal Making, Making Electrical (+2 more)</t>
  </si>
  <si>
    <t>Making, Making Electrical Contacts, Δλ</t>
  </si>
  <si>
    <t>Making, Making Electrical, Δλ</t>
  </si>
  <si>
    <t>Material, Refractive, Δλ</t>
  </si>
  <si>
    <t>Material, Δλ</t>
  </si>
  <si>
    <t>Anisotropic Materials Exhibit, Anisotropic Materials Exhibit Double, Material, Materials Exhibit Double (+1 more)</t>
  </si>
  <si>
    <t>Anisotropic Materials Exhibit Double, Double, Exhibit Double, Material (+2 more)</t>
  </si>
  <si>
    <t>2 Medicine, Δλ</t>
  </si>
  <si>
    <t>Active Medium, Active Medium May, Active Medium Must, Active Medium Nd (+7 more)</t>
  </si>
  <si>
    <t>Metal, Δλ</t>
  </si>
  <si>
    <t>Micro Machining Operations, Scribing Micro Machining Operations, Δλ</t>
  </si>
  <si>
    <t>Micro, Scribing Micro Machining Operations, Δλ</t>
  </si>
  <si>
    <t>Bubbles, Creates Microscopic Bubble, Δλ</t>
  </si>
  <si>
    <t>Constructed Using Mirrors, Two Plane Mirrors, Δλ</t>
  </si>
  <si>
    <t>Multi-mode, Multi-mode Fiber, Δλ</t>
  </si>
  <si>
    <t>Modes, Multi, Multi-mode Fiber, Δλ</t>
  </si>
  <si>
    <t>Fiber, Mode Fibers, Modes, Multi (+2 more)</t>
  </si>
  <si>
    <t>Fiber, Multimode Fibers, Δλ</t>
  </si>
  <si>
    <t>Fiber, Multimode Fiber Allows, Δλ</t>
  </si>
  <si>
    <t>Direction, Perpendicular, Δλ</t>
  </si>
  <si>
    <t>Device, Junction, Junction Device, Δλ</t>
  </si>
  <si>
    <t>Junction, Junction Laser, Laser, Δλ</t>
  </si>
  <si>
    <t>Semiconductor, Δλ</t>
  </si>
  <si>
    <t>Large Na Indicates, Δλ</t>
  </si>
  <si>
    <t>Beam, Δλ</t>
  </si>
  <si>
    <t>Active Medium Nd, Nd Stands, Nd Yag Laser, Nd Yag Laser - Working (+4 more)</t>
  </si>
  <si>
    <t>Nd, Stands, Δλ</t>
  </si>
  <si>
    <t>Laser, Laser Working, Nd, Nd Yag Laser (+4 more)</t>
  </si>
  <si>
    <t>Characteristics, Laser, Nd, Nd Yag Laser (+3 more)</t>
  </si>
  <si>
    <t>He-ne Laser, Ne Laser, Δλ</t>
  </si>
  <si>
    <t>He-ne Laser, Laser, Ne, Δλ</t>
  </si>
  <si>
    <t>Circuits, Δλ</t>
  </si>
  <si>
    <t>Called Negative Crystals, Crystals Negative, Crystals Negative Crystals, Negative Crystals (+5 more)</t>
  </si>
  <si>
    <t>Crystals, Crystals Positive, Negative, Negative Crystals (+2 more)</t>
  </si>
  <si>
    <t>Negative, State, Δλ</t>
  </si>
  <si>
    <t>Atoms, Neodymium, Neodymium Ions, Δλ</t>
  </si>
  <si>
    <t>Based, Laser, Neodymium, Δλ</t>
  </si>
  <si>
    <t>Continuous, Neon, Output, Δλ</t>
  </si>
  <si>
    <t>Helium-neon Laser Principle, Laser, Laser Principle, Neon (+2 more)</t>
  </si>
  <si>
    <t>Nicol, Nicol Prism, Prism, Prism Nicol (+1 more)</t>
  </si>
  <si>
    <t>Nicol, Nicol Prism, Prism, Prism Working (+2 more)</t>
  </si>
  <si>
    <t>Non-uniform Refractive, Non-uniform Refractive Index, Δλ</t>
  </si>
  <si>
    <t>Non, Non-uniform Refractive Index, Refractive, Δλ</t>
  </si>
  <si>
    <t>Index, Non, Non-uniform Refractive, Refractive (+3 more)</t>
  </si>
  <si>
    <t>Certain Number, Infinite Number, Large Number, Number Of Atoms (+5 more)</t>
  </si>
  <si>
    <t>Atoms, Number, Δλ</t>
  </si>
  <si>
    <t>Modes, Number, Δλ</t>
  </si>
  <si>
    <t>E-ray, O-ray, Ray, Δλ (+2 more)</t>
  </si>
  <si>
    <t>O-ray, Ray, Δλ, Μo</t>
  </si>
  <si>
    <t>Lies, O-ray, Ray, Ray Lies (+2 more)</t>
  </si>
  <si>
    <t>Obey Snell Law, Rays Obeys Snell, Snell, Δλ</t>
  </si>
  <si>
    <t>Obey Snell Law</t>
  </si>
  <si>
    <t>Obey Snell Law / Obeys Snell Law</t>
  </si>
  <si>
    <t>Obey Snell, Snell, Snell Law, Δλ</t>
  </si>
  <si>
    <t>Atoms, Excited, Excited State, State (+1 more)</t>
  </si>
  <si>
    <t>Blunt Corner, Δλ</t>
  </si>
  <si>
    <t>Plane, Δλ</t>
  </si>
  <si>
    <t>Type, Δλ</t>
  </si>
  <si>
    <t>Parallel, Vibrations, Δλ</t>
  </si>
  <si>
    <t>Device, Optical, Optical Device Used, Δλ</t>
  </si>
  <si>
    <t>Device, Optical, Optical Device, Δλ</t>
  </si>
  <si>
    <t>Corresponding Optical Energy, Energy, Optical, Δλ</t>
  </si>
  <si>
    <t>Fibre, Fibre Depends, Optical, Optical Fibre (+1 more)</t>
  </si>
  <si>
    <t>Optical, Pumping, Δλ</t>
  </si>
  <si>
    <t>Optical, Δλ</t>
  </si>
  <si>
    <t>Made Optically Flat, Polished Optically Flat, Δλ</t>
  </si>
  <si>
    <t>Ordinary Ray, Ordinary Ray Travels, Principal Plane Of The Ordinary Ray, Δλ</t>
  </si>
  <si>
    <t>Ordinary, Ordinary Ray, Ray, Δλ</t>
  </si>
  <si>
    <t>Energy Output, High Energy Output, Neon And Continuous Output, Power Output (+1 more)</t>
  </si>
  <si>
    <t>Incident Parallel, Light Travelling Parallel, One Vibration Parallel, Δλ</t>
  </si>
  <si>
    <t>Emission, Stimulated, Stimulated Emission, Δλ</t>
  </si>
  <si>
    <t>Phase Width, Δλ</t>
  </si>
  <si>
    <t>Phase, Width, Δλ</t>
  </si>
  <si>
    <t>Called, Characteristic Phenomenon Called, Phenomenon, Phenomenon Called Polarization (+1 more)</t>
  </si>
  <si>
    <t>Called, Called Polarization, Phenomenon, Phenomenon Called (+2 more)</t>
  </si>
  <si>
    <t>Emitted, Photon, Δλ</t>
  </si>
  <si>
    <t>Number, Photon, Δλ</t>
  </si>
  <si>
    <t>Energy, Photon, Δλ</t>
  </si>
  <si>
    <t>Planck Constant, Δλ</t>
  </si>
  <si>
    <t>Plane, Plane Polarized, Polarized, Polarized Wave (+2 more)</t>
  </si>
  <si>
    <t>Optical, Plastic Optical Fibers, Δλ</t>
  </si>
  <si>
    <t>Fiber, Optical, Optical Fiber, Plastic Optical (+1 more)</t>
  </si>
  <si>
    <t>Huygen, Polarization, Δλ</t>
  </si>
  <si>
    <t>Polarization, Positive, Δλ</t>
  </si>
  <si>
    <t>Analyzing Plane-polarized, Analyzing Plane-polarized Light, Called Polarized, Linearly Polarized (+11 more)</t>
  </si>
  <si>
    <t>Beam, Polarized, Δλ</t>
  </si>
  <si>
    <t>Plane-polarized Wave, Polarized, Wave, Δλ</t>
  </si>
  <si>
    <t>Inversion, Neon, Population, Population Inversion (+1 more)</t>
  </si>
  <si>
    <t>Inversion, Inversion Is Achieved, Population, Population Inversion (+1 more)</t>
  </si>
  <si>
    <t>Called Positive Crystals, Crystals Positive, Crystals Positive Crystals, Negative Crystals Positive (+5 more)</t>
  </si>
  <si>
    <t>Crystals, Crystals Negative, Negative, Positive (+3 more)</t>
  </si>
  <si>
    <t>Direction, Possible Directions Perpendicular, Δλ</t>
  </si>
  <si>
    <t>Direction, Directions Perpendicular, Perpendicular, Possible Directions (+1 more)</t>
  </si>
  <si>
    <t>Beam, High-power Laser Beam, Laser, Laser Beam (+1 more)</t>
  </si>
  <si>
    <t>Lasing, Δλ</t>
  </si>
  <si>
    <t>Called Principal, Called Principal Plane, Called The Principal, Principal Plane (+6 more)</t>
  </si>
  <si>
    <t>Extraordinary Ray, Plane, Principal, Principal Plane (+3 more)</t>
  </si>
  <si>
    <t>Ordinary, Ordinary Ray, Plane, Principal (+4 more)</t>
  </si>
  <si>
    <t>Principal, Principal Section, Section, Δλ</t>
  </si>
  <si>
    <t>Principle, Δλ</t>
  </si>
  <si>
    <t>Light, Principle, Δλ</t>
  </si>
  <si>
    <t>Principle, Secondary, Δλ</t>
  </si>
  <si>
    <t>Circuit Boards, Circuits, Δλ</t>
  </si>
  <si>
    <t>Nicol, Nicol Prism Nicol, Prism, Prism Nicol Prism (+1 more)</t>
  </si>
  <si>
    <t>Crystals, Prism, The, Δλ</t>
  </si>
  <si>
    <t>Nicol Prism Working, Prism, Working, Δλ</t>
  </si>
  <si>
    <t>Laser Produces, Produces The Popular, Δλ</t>
  </si>
  <si>
    <t>Direction Of Propagation, Propagation Of Light, Δλ</t>
  </si>
  <si>
    <t>Light, Propagation, Δλ</t>
  </si>
  <si>
    <t>Laser, Properties, Δλ</t>
  </si>
  <si>
    <t>Directly Proportional, Δλ</t>
  </si>
  <si>
    <t>Provide</t>
  </si>
  <si>
    <t>Provide / Provides</t>
  </si>
  <si>
    <t>Pump Bands, Δλ</t>
  </si>
  <si>
    <t>Band, Pump, Δλ</t>
  </si>
  <si>
    <t>Pumping, Recombination, Δλ</t>
  </si>
  <si>
    <t>Distance, Δλ</t>
  </si>
  <si>
    <t>Frequency Of Radiated, Radiated Photon, Δλ</t>
  </si>
  <si>
    <t>Laser Radiates Light, Δλ</t>
  </si>
  <si>
    <t>Rare Earth Element, Δλ</t>
  </si>
  <si>
    <t>Lies, O-ray Lies, Ray, Δλ</t>
  </si>
  <si>
    <t>E-ray Passes, O-ray Passes, Passes, Ray (+1 more)</t>
  </si>
  <si>
    <t>Electron-hole Recombination, Pumping And Recombination, Δλ</t>
  </si>
  <si>
    <t>Internally Reflected, Reflected Signal, Totally Internally Reflected, Totally Reflected (+1 more)</t>
  </si>
  <si>
    <t>Reflected, Signal, Δλ</t>
  </si>
  <si>
    <t>Reflecting Elliptical Reflector, Δλ</t>
  </si>
  <si>
    <t>Reflecting, Δλ</t>
  </si>
  <si>
    <t>Refraction, Δλ</t>
  </si>
  <si>
    <t>658 Refractive Index, Based On Refractive, Fractional Refractive Index, Material Has Refractive (+8 more)</t>
  </si>
  <si>
    <t>Index, Refractive, Refractive Index, Type (+1 more)</t>
  </si>
  <si>
    <t>Neodymium, Δλ</t>
  </si>
  <si>
    <t>Resonant Cavities, Resonant Cavity, Δλ</t>
  </si>
  <si>
    <t>Micro, Micro Machining Operations, Δλ</t>
  </si>
  <si>
    <t>8 Sec, Δλ</t>
  </si>
  <si>
    <t>Principle Of Secondary, Secondary Wavelets, Δλ</t>
  </si>
  <si>
    <t>Secondary, Wavelets, Δλ</t>
  </si>
  <si>
    <t>Principal Section, Principal Section Cuts, Principal Section Instead, Section Cuts (+1 more)</t>
  </si>
  <si>
    <t>Cut, Principal Section Cuts, Section, Δλ</t>
  </si>
  <si>
    <t>A Semiconductor Diode Laser, Advantages Of Semiconductor, Advantages Of Semiconductor Laser, N Semiconductor (+5 more)</t>
  </si>
  <si>
    <t>A Semiconductor Diode Laser, Diode, Semiconductor, Semiconductor Diode Laser (+1 more)</t>
  </si>
  <si>
    <t>Energy, Sharp Energy Levels, Δλ</t>
  </si>
  <si>
    <t>Energy, Energy Levels, Levels, Sharp Energy (+1 more)</t>
  </si>
  <si>
    <t>Short Time Called, Δλ</t>
  </si>
  <si>
    <t>Called, Short, Time, Δλ</t>
  </si>
  <si>
    <t>Energy, The, Δλ</t>
  </si>
  <si>
    <t>Size With Sides, Δλ</t>
  </si>
  <si>
    <t>Due, Signal, Δλ</t>
  </si>
  <si>
    <t>Frequency, Signal, Δλ</t>
  </si>
  <si>
    <t>Completely Silvered, Fully Silvered, Partially Silvered, Δλ</t>
  </si>
  <si>
    <t>Sin, Δλ,  C</t>
  </si>
  <si>
    <t>Crystals, Single, Δλ</t>
  </si>
  <si>
    <t>Crystals, Single, Tourmaline, Δλ</t>
  </si>
  <si>
    <t>Index, Single, Δλ</t>
  </si>
  <si>
    <t>Modes, Single, Single-mode Fiber, Δλ</t>
  </si>
  <si>
    <t>Fiber, Mode Fibers, Modes, Single (+2 more)</t>
  </si>
  <si>
    <t>Side, Δλ</t>
  </si>
  <si>
    <t>Area, Small, Δλ</t>
  </si>
  <si>
    <t>Core, Small, Δλ</t>
  </si>
  <si>
    <t>Image, Small, Δλ</t>
  </si>
  <si>
    <t>Number, Small, Δλ</t>
  </si>
  <si>
    <t>Extraordinarily Smooth Finish, Δλ</t>
  </si>
  <si>
    <t>Obey Snell, Obey Snell Law, Rays Obeys Snell, Snell Law (+1 more)</t>
  </si>
  <si>
    <t>Obey Snell Law, Snell, Δλ</t>
  </si>
  <si>
    <t>Four-level Solid-state Laser, Solid State Laser, State, Δλ</t>
  </si>
  <si>
    <t>Four-level Solid-state Laser, Laser, Solid State, State (+2 more)</t>
  </si>
  <si>
    <t>Plane, Plane Polarized, Polarized, Δλ</t>
  </si>
  <si>
    <t>Spontaneous Emission, Spontaneous Emission Occurs, Δλ</t>
  </si>
  <si>
    <t>Decay, Δλ</t>
  </si>
  <si>
    <t>Emitted, Emitted Radiations, Radiation, Δλ</t>
  </si>
  <si>
    <t>Laser Stands, Nd Stands, Stands For Yttrium, Term Laser Stands (+2 more)</t>
  </si>
  <si>
    <t>Stands, Δλ</t>
  </si>
  <si>
    <t>Inversion, Population, Population Inversion, State (+1 more)</t>
  </si>
  <si>
    <t>Step Index, Step Index Fibers, Step-index Optical, Step-index Optical Fiber (+1 more)</t>
  </si>
  <si>
    <t>Index, Index Optical, Optical, Step (+3 more)</t>
  </si>
  <si>
    <t>Fiber, Index, Index Optical, Index Optical Fiber (+6 more)</t>
  </si>
  <si>
    <t>Photon, Stimulated, Δλ</t>
  </si>
  <si>
    <t>Incident Stimulating Photons, Photon, Δλ</t>
  </si>
  <si>
    <t>Line, Δλ</t>
  </si>
  <si>
    <t>Calcite, Studies, Δλ</t>
  </si>
  <si>
    <t>Cavities, Δλ</t>
  </si>
  <si>
    <t>At One End Of The Tube, Called The Principal, Damaging The Surrounding, Equals The Difference (+15 more)</t>
  </si>
  <si>
    <t>Active, Active Medium, Medium, The (+2 more)</t>
  </si>
  <si>
    <t>Active, Active Medium, Active Medium Nd, Medium (+4 more)</t>
  </si>
  <si>
    <t>Cone, The, Therefore, The Cone, Δλ</t>
  </si>
  <si>
    <t>Construction, Nd, The, Δλ</t>
  </si>
  <si>
    <t>Huygen, Huygen Theory Huygen, Theory, Theory Huygen Explained (+1 more)</t>
  </si>
  <si>
    <t>Therefore, The Cone, Δλ</t>
  </si>
  <si>
    <t>Cone, The, The Cone, Therefore (+1 more)</t>
  </si>
  <si>
    <t>Helium-neon Laser This, This Frequency Band ‘δν, Δλ</t>
  </si>
  <si>
    <t>Band, Frequency, This, Δλ</t>
  </si>
  <si>
    <t>Total Active Medium, Total Internal, Total Internal Reflection, Δλ</t>
  </si>
  <si>
    <t>Total, Total Internal Reflection, Δλ</t>
  </si>
  <si>
    <t>Internally Reflected, Reflected, Δλ</t>
  </si>
  <si>
    <t>Reflected, Δλ</t>
  </si>
  <si>
    <t>Single Tourmaline Crystal, Δλ</t>
  </si>
  <si>
    <t>Optical, Transmission, Δλ</t>
  </si>
  <si>
    <t>E-ray Is Transmitted, Light Gets Transmitted, Transmitted Along, Δλ</t>
  </si>
  <si>
    <t>Transmitted, Δλ</t>
  </si>
  <si>
    <t>Simplest Transverse Wave, Transverse Nature, Transverse Wave, Δλ</t>
  </si>
  <si>
    <t>Light Rays Traveling, Δλ</t>
  </si>
  <si>
    <t>At One End Of The Tube, Krypton Flash Tubes, Tube Collide, Δλ</t>
  </si>
  <si>
    <t>Tube, Δλ</t>
  </si>
  <si>
    <t>Based, Categories Based, Δλ</t>
  </si>
  <si>
    <t>Cut, Faces, Δλ</t>
  </si>
  <si>
    <t>End, Δλ</t>
  </si>
  <si>
    <t>Mirrors, Plane, Δλ</t>
  </si>
  <si>
    <t>Optical, Type, Δλ</t>
  </si>
  <si>
    <t>Polarized, Un-polarized Light, Δλ</t>
  </si>
  <si>
    <t>Light, Polarized, Polarized Light, Un-polarized (+1 more)</t>
  </si>
  <si>
    <t>Unlike The Ruby, Δλ</t>
  </si>
  <si>
    <t>Metastable, Metastable State, State, Δλ</t>
  </si>
  <si>
    <t>Form, Δλ</t>
  </si>
  <si>
    <t>Velocity Of O-ray, Δλ</t>
  </si>
  <si>
    <t>O-ray, Ray, Velocity, Δλ (+1 more)</t>
  </si>
  <si>
    <t>Vibrations, Δλ</t>
  </si>
  <si>
    <t>Approximately 70 Watts, Δλ</t>
  </si>
  <si>
    <t>E-ray, Ray, Wavefront, Δλ (+1 more)</t>
  </si>
  <si>
    <t>O-ray, Ray, Wavefront, Δλ (+1 more)</t>
  </si>
  <si>
    <t>Secondary Wavelets, Δλ</t>
  </si>
  <si>
    <t>Welding, Δλ</t>
  </si>
  <si>
    <t>Line Width, Phase Width, Δλ</t>
  </si>
  <si>
    <t>Cd Writer Devices, Writer Devices, Δλ</t>
  </si>
  <si>
    <t>Stands, Yag, Δλ</t>
  </si>
  <si>
    <t>Yttrium Aluminum Garnet, Δλ</t>
  </si>
  <si>
    <t>Full Angle 2Θ0, Δλ</t>
  </si>
  <si>
    <t>Δλ, Θr Θc Propagate,  C</t>
  </si>
  <si>
    <t>Δλ, Θc Propagate,  C</t>
  </si>
  <si>
    <t>2 Medicine, 2 Types, Full Angle 2Θ0, Δλ</t>
  </si>
  <si>
    <t>E-ray, E-ray Is Transmitted, E-ray Passes, Energy E (+5 more)</t>
  </si>
  <si>
    <t>Lies, Δλ, Μe</t>
  </si>
  <si>
    <t>Δλ, Μe</t>
  </si>
  <si>
    <t>O-ray, O-ray And E-ray, O-ray Is Eliminated, O-ray Lies (+5 more)</t>
  </si>
  <si>
    <t>5893a , Μc, 658  C, Sin C Sin, Δλ (+2 more)</t>
  </si>
  <si>
    <t>Gemini: in Claude's list? (1 = yes)</t>
  </si>
  <si>
    <t>RAKE: in Claude's list? (1 = yes)</t>
  </si>
  <si>
    <t>YAKE: in Claude's list? (1 = yes)</t>
  </si>
  <si>
    <t>Lists exactly as exported by each tool. Columns E to G mark items that match a concept in Claude's list.</t>
  </si>
  <si>
    <t>Fibers</t>
  </si>
  <si>
    <t>Application</t>
  </si>
  <si>
    <t>Types</t>
  </si>
  <si>
    <t>Atom</t>
  </si>
  <si>
    <t>States</t>
  </si>
  <si>
    <t>Crystal</t>
  </si>
  <si>
    <t>Directions</t>
  </si>
  <si>
    <t>Electron</t>
  </si>
  <si>
    <t>Angles</t>
  </si>
  <si>
    <t>Characteristic</t>
  </si>
  <si>
    <t>Level</t>
  </si>
  <si>
    <t>Directions Of Propagation</t>
  </si>
  <si>
    <t>Energy States</t>
  </si>
  <si>
    <t>Index Fiber</t>
  </si>
  <si>
    <t>Light Rays</t>
  </si>
  <si>
    <t>Provides</t>
  </si>
  <si>
    <t>Rays</t>
  </si>
  <si>
    <t>Obeys Snell Law</t>
  </si>
  <si>
    <t>Optic</t>
  </si>
  <si>
    <t>Times</t>
  </si>
  <si>
    <t>Items returned</t>
  </si>
  <si>
    <t>Recall</t>
  </si>
  <si>
    <t>F1</t>
  </si>
  <si>
    <t>Core-only recall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</si>
</sst>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charset val="1"/>
    </font>
    <font>
      <b/>
      <sz val="11"/>
      <color rgb="FFFFFFFF"/>
      <name val="Arial"/>
      <family val="2"/>
    </font>
    <font>
      <b/>
      <sz val="11"/>
      <name val="Arial"/>
      <family val="2"/>
    </font>
    <font>
      <sz val="10"/>
      <name val="Arial"/>
      <family val="2"/>
    </font>
    <font>
      <b/>
      <sz val="10"/>
      <name val="Arial"/>
      <family val="2"/>
    </font>
    <font>
      <sz val="10"/>
      <color rgb="FF595959"/>
      <name val="Arial"/>
      <family val="2"/>
    </font>
    <font>
      <sz val="10"/>
      <color rgb="FF006100"/>
      <name val="Arial"/>
      <family val="2"/>
    </font>
    <font>
      <sz val="10"/>
      <color rgb="FF7F6000"/>
      <name val="Arial"/>
      <family val="2"/>
    </font>
    <font>
      <sz val="10"/>
      <color rgb="FF842029"/>
      <name val="Arial"/>
      <family val="2"/>
    </font>
    <font>
      <sz val="10"/>
      <color rgb="FF404040"/>
      <name val="Arial"/>
      <family val="2"/>
    </font>
    <font>
      <b/>
      <i/>
      <sz val="10"/>
      <name val="Arial"/>
      <family val="2"/>
    </font>
    <font>
      <i/>
      <sz val="10"/>
      <name val="Arial"/>
      <family val="2"/>
    </font>
    <font>
      <b/>
      <sz val="14"/>
      <name val="Arial"/>
      <family val="2"/>
    </font>
    <font>
      <b/>
      <sz val="12"/>
      <name val="Arial"/>
      <family val="2"/>
    </font>
    <font>
      <b/>
      <sz val="12"/>
      <color rgb="FF006100"/>
      <name val="Arial"/>
      <family val="2"/>
    </font>
    <font>
      <b/>
      <sz val="10"/>
      <color rgb="FF1F3864"/>
      <name val="Arial"/>
      <family val="2"/>
    </font>
    <font>
      <b/>
      <sz val="11"/>
      <color theme="1"/>
      <name val="Calibri"/>
      <family val="2"/>
      <charset val="1"/>
    </font>
  </fonts>
  <fills count="14">
    <fill>
      <patternFill patternType="none"/>
    </fill>
    <fill>
      <patternFill patternType="gray125"/>
    </fill>
    <fill>
      <patternFill patternType="solid">
        <fgColor rgb="FF1F3864"/>
        <bgColor rgb="FF333399"/>
      </patternFill>
    </fill>
    <fill>
      <patternFill patternType="solid">
        <fgColor rgb="FF7F7F7F"/>
        <bgColor rgb="FF969696"/>
      </patternFill>
    </fill>
    <fill>
      <patternFill patternType="solid">
        <fgColor rgb="FFC6EFCE"/>
        <bgColor rgb="FFCCFFFF"/>
      </patternFill>
    </fill>
    <fill>
      <patternFill patternType="solid">
        <fgColor rgb="FFFFEB9C"/>
        <bgColor rgb="FFF8D7DA"/>
      </patternFill>
    </fill>
    <fill>
      <patternFill patternType="solid">
        <fgColor rgb="FFF8D7DA"/>
        <bgColor rgb="FFEDEDED"/>
      </patternFill>
    </fill>
    <fill>
      <patternFill patternType="solid">
        <fgColor rgb="FFEDEDED"/>
        <bgColor rgb="FFFFFFFF"/>
      </patternFill>
    </fill>
    <fill>
      <patternFill patternType="solid">
        <fgColor rgb="FF2E75B6"/>
        <bgColor rgb="FF0066CC"/>
      </patternFill>
    </fill>
    <fill>
      <patternFill patternType="solid">
        <fgColor theme="3" tint="0.39997558519241921"/>
        <bgColor indexed="64"/>
      </patternFill>
    </fill>
    <fill>
      <patternFill patternType="solid">
        <fgColor theme="0" tint="-0.249977111117893"/>
        <bgColor indexed="64"/>
      </patternFill>
    </fill>
    <fill>
      <patternFill patternType="solid">
        <fgColor rgb="FF00B050"/>
        <bgColor indexed="64"/>
      </patternFill>
    </fill>
    <fill>
      <patternFill patternType="solid">
        <fgColor rgb="FFFFC000"/>
        <bgColor indexed="64"/>
      </patternFill>
    </fill>
    <fill>
      <patternFill patternType="solid">
        <fgColor rgb="FFC00000"/>
        <bgColor indexed="64"/>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9">
    <xf numFmtId="0" fontId="0" fillId="0" borderId="0" xfId="0"/>
    <xf numFmtId="0" fontId="3" fillId="0" borderId="0" xfId="0" applyFont="1" applyAlignment="1">
      <alignment vertical="top" wrapText="1"/>
    </xf>
    <xf numFmtId="0" fontId="11" fillId="0" borderId="0" xfId="0" applyFont="1" applyAlignment="1">
      <alignment vertical="top" wrapText="1"/>
    </xf>
    <xf numFmtId="0" fontId="14" fillId="4" borderId="0" xfId="0" applyFont="1" applyFill="1" applyAlignment="1">
      <alignment vertical="center"/>
    </xf>
    <xf numFmtId="0" fontId="1" fillId="2" borderId="1" xfId="0" applyFont="1" applyFill="1" applyBorder="1" applyAlignment="1">
      <alignment horizontal="center" vertical="center" wrapText="1"/>
    </xf>
    <xf numFmtId="0" fontId="2" fillId="0" borderId="0" xfId="0" applyFont="1"/>
    <xf numFmtId="0" fontId="3" fillId="0" borderId="1" xfId="0" applyFont="1" applyBorder="1" applyAlignment="1">
      <alignment horizontal="center" vertical="center"/>
    </xf>
    <xf numFmtId="0" fontId="3" fillId="0" borderId="1" xfId="0" applyFont="1" applyBorder="1" applyAlignment="1">
      <alignment vertical="center" wrapText="1"/>
    </xf>
    <xf numFmtId="0" fontId="6" fillId="4" borderId="0" xfId="0" applyFont="1" applyFill="1"/>
    <xf numFmtId="0" fontId="7" fillId="5" borderId="0" xfId="0" applyFont="1" applyFill="1"/>
    <xf numFmtId="0" fontId="12" fillId="0" borderId="0" xfId="0" applyFont="1"/>
    <xf numFmtId="0" fontId="11" fillId="0" borderId="0" xfId="0" applyFont="1"/>
    <xf numFmtId="0" fontId="13" fillId="0" borderId="0" xfId="0" applyFont="1"/>
    <xf numFmtId="0" fontId="4" fillId="0" borderId="1" xfId="0" applyFont="1" applyBorder="1" applyAlignment="1">
      <alignment horizontal="left"/>
    </xf>
    <xf numFmtId="0" fontId="3" fillId="0" borderId="1" xfId="0" applyFont="1" applyBorder="1" applyAlignment="1">
      <alignment horizontal="center"/>
    </xf>
    <xf numFmtId="9" fontId="3" fillId="0" borderId="1" xfId="0" applyNumberFormat="1" applyFont="1" applyBorder="1" applyAlignment="1">
      <alignment horizontal="center"/>
    </xf>
    <xf numFmtId="0" fontId="3" fillId="0" borderId="1" xfId="0" applyFont="1" applyBorder="1"/>
    <xf numFmtId="0" fontId="4" fillId="0" borderId="1" xfId="0" applyFont="1" applyBorder="1" applyAlignment="1">
      <alignment horizontal="center"/>
    </xf>
    <xf numFmtId="0" fontId="4" fillId="0" borderId="1" xfId="0" applyFont="1" applyBorder="1" applyAlignment="1">
      <alignment vertical="center"/>
    </xf>
    <xf numFmtId="0" fontId="15" fillId="0" borderId="1" xfId="0" applyFont="1" applyBorder="1" applyAlignment="1">
      <alignment horizontal="center" vertical="center"/>
    </xf>
    <xf numFmtId="0" fontId="3" fillId="0" borderId="0" xfId="0" applyFont="1"/>
    <xf numFmtId="0" fontId="3" fillId="0" borderId="0" xfId="0" applyFont="1" applyAlignment="1">
      <alignment wrapText="1"/>
    </xf>
    <xf numFmtId="0" fontId="1" fillId="2" borderId="1" xfId="0" applyFont="1" applyFill="1" applyBorder="1" applyAlignment="1">
      <alignment horizontal="center"/>
    </xf>
    <xf numFmtId="0" fontId="1" fillId="8" borderId="1" xfId="0" applyFont="1" applyFill="1" applyBorder="1" applyAlignment="1">
      <alignment horizontal="center" wrapText="1"/>
    </xf>
    <xf numFmtId="0" fontId="1" fillId="2" borderId="2" xfId="0" applyFont="1" applyFill="1" applyBorder="1" applyAlignment="1">
      <alignment horizontal="center" vertical="center" wrapText="1"/>
    </xf>
    <xf numFmtId="0" fontId="0" fillId="0" borderId="2" xfId="0" applyBorder="1"/>
    <xf numFmtId="0" fontId="1" fillId="3" borderId="2" xfId="0" applyFont="1" applyFill="1" applyBorder="1" applyAlignment="1">
      <alignment horizontal="center" vertical="center" wrapText="1"/>
    </xf>
    <xf numFmtId="0" fontId="2" fillId="0" borderId="2" xfId="0" applyFont="1" applyBorder="1"/>
    <xf numFmtId="0" fontId="3" fillId="0" borderId="2" xfId="0" applyFont="1" applyBorder="1" applyAlignment="1">
      <alignment horizontal="center" vertical="center"/>
    </xf>
    <xf numFmtId="0" fontId="4" fillId="0" borderId="2" xfId="0" applyFont="1" applyBorder="1" applyAlignment="1">
      <alignment vertical="center" wrapText="1"/>
    </xf>
    <xf numFmtId="0" fontId="3" fillId="0" borderId="2" xfId="0" applyFont="1" applyBorder="1" applyAlignment="1">
      <alignment vertical="center" wrapText="1"/>
    </xf>
    <xf numFmtId="0" fontId="3" fillId="0" borderId="2" xfId="0" applyFont="1" applyBorder="1" applyAlignment="1">
      <alignment horizontal="center" vertical="center" wrapText="1"/>
    </xf>
    <xf numFmtId="0" fontId="5" fillId="0" borderId="2" xfId="0" applyFont="1" applyBorder="1" applyAlignment="1">
      <alignment vertical="center" wrapText="1"/>
    </xf>
    <xf numFmtId="0" fontId="6" fillId="4" borderId="2" xfId="0" applyFont="1" applyFill="1" applyBorder="1"/>
    <xf numFmtId="0" fontId="7" fillId="5" borderId="2" xfId="0" applyFont="1" applyFill="1" applyBorder="1"/>
    <xf numFmtId="0" fontId="8" fillId="6" borderId="2" xfId="0" applyFont="1" applyFill="1" applyBorder="1"/>
    <xf numFmtId="0" fontId="9" fillId="7" borderId="2" xfId="0" applyFont="1" applyFill="1" applyBorder="1"/>
    <xf numFmtId="0" fontId="3" fillId="0" borderId="2" xfId="0" applyFont="1" applyBorder="1" applyAlignment="1">
      <alignment vertical="top" wrapText="1"/>
    </xf>
    <xf numFmtId="0" fontId="3" fillId="7" borderId="2" xfId="0" applyFont="1" applyFill="1" applyBorder="1" applyAlignment="1">
      <alignment horizontal="center" vertical="center"/>
    </xf>
    <xf numFmtId="0" fontId="10" fillId="7" borderId="2" xfId="0" applyFont="1" applyFill="1" applyBorder="1" applyAlignment="1">
      <alignment vertical="center" wrapText="1"/>
    </xf>
    <xf numFmtId="0" fontId="11" fillId="7" borderId="2" xfId="0" applyFont="1" applyFill="1" applyBorder="1" applyAlignment="1">
      <alignment vertical="center" wrapText="1"/>
    </xf>
    <xf numFmtId="0" fontId="3" fillId="7" borderId="2" xfId="0" applyFont="1" applyFill="1" applyBorder="1" applyAlignment="1">
      <alignment horizontal="center" vertical="center" wrapText="1"/>
    </xf>
    <xf numFmtId="0" fontId="16" fillId="9" borderId="2" xfId="0" applyFont="1" applyFill="1" applyBorder="1" applyAlignment="1">
      <alignment horizontal="center" vertical="center" wrapText="1"/>
    </xf>
    <xf numFmtId="0" fontId="0" fillId="9" borderId="2" xfId="0" applyFill="1" applyBorder="1" applyAlignment="1">
      <alignment vertical="center" wrapText="1"/>
    </xf>
    <xf numFmtId="0" fontId="0" fillId="10" borderId="2" xfId="0" applyFill="1" applyBorder="1" applyAlignment="1">
      <alignment vertical="center" wrapText="1"/>
    </xf>
    <xf numFmtId="9" fontId="0" fillId="10" borderId="2" xfId="0" applyNumberFormat="1" applyFill="1" applyBorder="1" applyAlignment="1">
      <alignment vertical="center" wrapText="1"/>
    </xf>
    <xf numFmtId="9" fontId="0" fillId="11" borderId="2" xfId="0" applyNumberFormat="1" applyFill="1" applyBorder="1" applyAlignment="1">
      <alignment vertical="center" wrapText="1"/>
    </xf>
    <xf numFmtId="9" fontId="0" fillId="12" borderId="2" xfId="0" applyNumberFormat="1" applyFill="1" applyBorder="1" applyAlignment="1">
      <alignment vertical="center" wrapText="1"/>
    </xf>
    <xf numFmtId="9" fontId="0" fillId="13" borderId="2" xfId="0" applyNumberFormat="1" applyFill="1" applyBorder="1" applyAlignment="1">
      <alignment vertical="center" wrapText="1"/>
    </xf>
  </cellXfs>
  <cellStyles count="1">
    <cellStyle name="Normal" xfId="0" builtinId="0"/>
  </cellStyles>
  <dxfs count="11">
    <dxf>
      <fill>
        <patternFill>
          <bgColor rgb="FFC6EFCE"/>
        </patternFill>
      </fill>
    </dxf>
    <dxf>
      <fill>
        <patternFill>
          <bgColor rgb="FFC6EFCE"/>
        </patternFill>
      </fill>
    </dxf>
    <dxf>
      <fill>
        <patternFill>
          <bgColor rgb="FFC6EFCE"/>
        </patternFill>
      </fill>
    </dxf>
    <dxf>
      <font>
        <b/>
        <color rgb="FF1F3864"/>
        <name val="Arial"/>
        <charset val="1"/>
      </font>
    </dxf>
    <dxf>
      <font>
        <color rgb="FF7F6000"/>
        <name val="Arial"/>
        <charset val="1"/>
      </font>
      <fill>
        <patternFill>
          <bgColor rgb="FFFFEB9C"/>
        </patternFill>
      </fill>
    </dxf>
    <dxf>
      <font>
        <color rgb="FF006100"/>
        <name val="Arial"/>
        <charset val="1"/>
      </font>
      <fill>
        <patternFill>
          <bgColor rgb="FFC6EFCE"/>
        </patternFill>
      </fill>
    </dxf>
    <dxf>
      <font>
        <b/>
        <color rgb="FF006100"/>
        <name val="Arial"/>
        <charset val="1"/>
      </font>
      <fill>
        <patternFill>
          <bgColor rgb="FFC6EFCE"/>
        </patternFill>
      </fill>
    </dxf>
    <dxf>
      <font>
        <b/>
        <color rgb="FFFFFFFF"/>
        <name val="Arial"/>
        <charset val="1"/>
      </font>
      <fill>
        <patternFill>
          <bgColor rgb="FF63BE7B"/>
        </patternFill>
      </fill>
    </dxf>
    <dxf>
      <font>
        <color rgb="FF7F6000"/>
        <name val="Arial"/>
        <charset val="1"/>
      </font>
      <fill>
        <patternFill>
          <bgColor rgb="FFFFEB9C"/>
        </patternFill>
      </fill>
    </dxf>
    <dxf>
      <font>
        <color rgb="FF006100"/>
        <name val="Arial"/>
        <charset val="1"/>
      </font>
      <fill>
        <patternFill>
          <bgColor rgb="FFC6EFCE"/>
        </patternFill>
      </fill>
    </dxf>
    <dxf>
      <font>
        <color rgb="FF842029"/>
        <name val="Arial"/>
        <charset val="1"/>
      </font>
      <fill>
        <patternFill>
          <bgColor rgb="FFF8D7DA"/>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6100"/>
      <rgbColor rgb="FF000080"/>
      <rgbColor rgb="FF7F6000"/>
      <rgbColor rgb="FF800080"/>
      <rgbColor rgb="FF008080"/>
      <rgbColor rgb="FFBFBFBF"/>
      <rgbColor rgb="FF7F7F7F"/>
      <rgbColor rgb="FF9999FF"/>
      <rgbColor rgb="FF993366"/>
      <rgbColor rgb="FFEDEDED"/>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8D7DA"/>
      <rgbColor rgb="FF2E75B6"/>
      <rgbColor rgb="FF63BE7B"/>
      <rgbColor rgb="FF99CC00"/>
      <rgbColor rgb="FFFFCC00"/>
      <rgbColor rgb="FFFF9900"/>
      <rgbColor rgb="FFFF6600"/>
      <rgbColor rgb="FF595959"/>
      <rgbColor rgb="FF969696"/>
      <rgbColor rgb="FF1F3864"/>
      <rgbColor rgb="FF339966"/>
      <rgbColor rgb="FF003300"/>
      <rgbColor rgb="FF333300"/>
      <rgbColor rgb="FF842029"/>
      <rgbColor rgb="FF993366"/>
      <rgbColor rgb="FF333399"/>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oneCellAnchor>
    <xdr:from>
      <xdr:col>19</xdr:col>
      <xdr:colOff>7620</xdr:colOff>
      <xdr:row>1</xdr:row>
      <xdr:rowOff>7620</xdr:rowOff>
    </xdr:from>
    <xdr:ext cx="5356860" cy="1196340"/>
    <xdr:sp macro="" textlink="">
      <xdr:nvSpPr>
        <xdr:cNvPr id="2" name="TextBox 1">
          <a:extLst>
            <a:ext uri="{FF2B5EF4-FFF2-40B4-BE49-F238E27FC236}">
              <a16:creationId xmlns:a16="http://schemas.microsoft.com/office/drawing/2014/main" id="{14DBBFC2-BE81-9F6A-0CFB-A37405599363}"/>
            </a:ext>
          </a:extLst>
        </xdr:cNvPr>
        <xdr:cNvSpPr txBox="1"/>
      </xdr:nvSpPr>
      <xdr:spPr>
        <a:xfrm>
          <a:off x="29382720" y="434340"/>
          <a:ext cx="5356860" cy="1196340"/>
        </a:xfrm>
        <a:prstGeom prst="rect">
          <a:avLst/>
        </a:prstGeom>
        <a:solidFill>
          <a:schemeClr val="bg2">
            <a:lumMod val="75000"/>
          </a:schemeClr>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rtl="0"/>
          <a:r>
            <a:rPr lang="en-IN"/>
            <a:t>I’ve built </a:t>
          </a:r>
          <a:r>
            <a:rPr lang="en-IN" sz="1100">
              <a:solidFill>
                <a:schemeClr val="tx1"/>
              </a:solidFill>
              <a:latin typeface="+mn-lt"/>
              <a:ea typeface="+mn-ea"/>
              <a:cs typeface="+mn-cs"/>
            </a:rPr>
            <a:t>Polarisation_LASER_FibreOptics_concept_extraction_comparison.xlsx</a:t>
          </a:r>
          <a:r>
            <a:rPr lang="en-IN"/>
            <a:t> in the same layout as the Lecture 18 one. It has the same four sheets, with the tool-extracted columns before Group, and every item from your three text files appears on the first sheet.</a:t>
          </a:r>
        </a:p>
        <a:p>
          <a:pPr rtl="0"/>
          <a:r>
            <a:rPr lang="en-IN"/>
            <a:t>I extracted </a:t>
          </a:r>
          <a:r>
            <a:rPr lang="en-IN" b="1"/>
            <a:t>138 concepts</a:t>
          </a:r>
          <a:r>
            <a:rPr lang="en-IN"/>
            <a:t> from the PDF myself: 115 core and 23 examples and applications, such as cutting, welding and the ruby laser. Each has a short description from the slides.</a:t>
          </a:r>
        </a:p>
        <a:p>
          <a:pPr rtl="0"/>
          <a:r>
            <a:rPr lang="en-IN" b="1"/>
            <a:t>Gemini matches my concepts best, but RAKE and YAKE find more of them:</a:t>
          </a:r>
          <a:endParaRPr lang="en-IN"/>
        </a:p>
        <a:p>
          <a:endParaRPr lang="en-IN" sz="1100"/>
        </a:p>
      </xdr:txBody>
    </xdr:sp>
    <xdr:clientData/>
  </xdr:oneCellAnchor>
  <xdr:oneCellAnchor>
    <xdr:from>
      <xdr:col>18</xdr:col>
      <xdr:colOff>594359</xdr:colOff>
      <xdr:row>9</xdr:row>
      <xdr:rowOff>327660</xdr:rowOff>
    </xdr:from>
    <xdr:ext cx="5577841" cy="853440"/>
    <xdr:sp macro="" textlink="">
      <xdr:nvSpPr>
        <xdr:cNvPr id="3" name="TextBox 2">
          <a:extLst>
            <a:ext uri="{FF2B5EF4-FFF2-40B4-BE49-F238E27FC236}">
              <a16:creationId xmlns:a16="http://schemas.microsoft.com/office/drawing/2014/main" id="{26BE50AE-2C33-861F-7F21-F668B3545CA0}"/>
            </a:ext>
          </a:extLst>
        </xdr:cNvPr>
        <xdr:cNvSpPr txBox="1"/>
      </xdr:nvSpPr>
      <xdr:spPr>
        <a:xfrm>
          <a:off x="29375099" y="4206240"/>
          <a:ext cx="5577841" cy="853440"/>
        </a:xfrm>
        <a:prstGeom prst="rect">
          <a:avLst/>
        </a:prstGeom>
        <a:solidFill>
          <a:schemeClr val="bg2">
            <a:lumMod val="75000"/>
          </a:schemeClr>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b="1"/>
            <a:t>Why RAKE and YAKE find more:</a:t>
          </a:r>
          <a:r>
            <a:rPr lang="en-IN"/>
            <a:t> they return over three times as many items as Gemini, and</a:t>
          </a:r>
        </a:p>
        <a:p>
          <a:r>
            <a:rPr lang="en-IN"/>
            <a:t> most</a:t>
          </a:r>
          <a:r>
            <a:rPr lang="en-IN" baseline="0"/>
            <a:t> </a:t>
          </a:r>
          <a:r>
            <a:rPr lang="en-IN"/>
            <a:t>of those are not concepts. Recall favours long lists, so read it together with precision.</a:t>
          </a:r>
          <a:endParaRPr lang="en-IN" sz="1100"/>
        </a:p>
      </xdr:txBody>
    </xdr:sp>
    <xdr:clientData/>
  </xdr:one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914"/>
  <sheetViews>
    <sheetView tabSelected="1" zoomScaleNormal="100" workbookViewId="0">
      <pane xSplit="2" ySplit="1" topLeftCell="R2" activePane="bottomRight" state="frozen"/>
      <selection pane="topRight" activeCell="C1" sqref="C1"/>
      <selection pane="bottomLeft" activeCell="A2" sqref="A2"/>
      <selection pane="bottomRight" activeCell="AA7" sqref="AA7"/>
    </sheetView>
  </sheetViews>
  <sheetFormatPr defaultColWidth="8.6640625" defaultRowHeight="14.4" x14ac:dyDescent="0.3"/>
  <cols>
    <col min="1" max="1" width="5" style="25" customWidth="1"/>
    <col min="2" max="2" width="34" style="25" customWidth="1"/>
    <col min="3" max="5" width="30" style="25" customWidth="1"/>
    <col min="6" max="6" width="13" style="25" customWidth="1"/>
    <col min="7" max="7" width="56" style="25" customWidth="1"/>
    <col min="8" max="8" width="12" style="25" customWidth="1"/>
    <col min="9" max="9" width="18" style="25" customWidth="1"/>
    <col min="10" max="10" width="3" style="25" customWidth="1"/>
    <col min="11" max="13" width="24" style="25" customWidth="1"/>
    <col min="14" max="16" width="22" style="25" customWidth="1"/>
    <col min="17" max="17" width="8.6640625" style="25"/>
    <col min="18" max="18" width="42" style="25" customWidth="1"/>
    <col min="19" max="24" width="8.6640625" style="25"/>
    <col min="25" max="25" width="12.109375" style="25" customWidth="1"/>
    <col min="26" max="16384" width="8.6640625" style="25"/>
  </cols>
  <sheetData>
    <row r="1" spans="1:25" ht="33.75" customHeight="1" x14ac:dyDescent="0.3">
      <c r="A1" s="24" t="s">
        <v>0</v>
      </c>
      <c r="B1" s="24" t="s">
        <v>1</v>
      </c>
      <c r="C1" s="24" t="s">
        <v>2</v>
      </c>
      <c r="D1" s="24" t="s">
        <v>3</v>
      </c>
      <c r="E1" s="24" t="s">
        <v>4</v>
      </c>
      <c r="F1" s="24" t="s">
        <v>5</v>
      </c>
      <c r="G1" s="24" t="s">
        <v>6</v>
      </c>
      <c r="H1" s="24" t="s">
        <v>7</v>
      </c>
      <c r="I1" s="24" t="s">
        <v>8</v>
      </c>
      <c r="K1" s="26" t="s">
        <v>9</v>
      </c>
      <c r="L1" s="26" t="s">
        <v>10</v>
      </c>
      <c r="M1" s="26" t="s">
        <v>11</v>
      </c>
      <c r="N1" s="26" t="s">
        <v>12</v>
      </c>
      <c r="O1" s="26" t="s">
        <v>13</v>
      </c>
      <c r="P1" s="26" t="s">
        <v>14</v>
      </c>
      <c r="R1" s="27" t="s">
        <v>15</v>
      </c>
    </row>
    <row r="2" spans="1:25" x14ac:dyDescent="0.3">
      <c r="A2" s="28">
        <v>1</v>
      </c>
      <c r="B2" s="29" t="s">
        <v>16</v>
      </c>
      <c r="C2" s="30" t="str">
        <f>IF(LEN(IF(K2="","",IFERROR(INDEX('Raw lists'!$A$2:$A$192,MATCH(K2,'Raw lists'!$A$2:$A$192,0))&amp;" | ",""))&amp;IF(L2="","",IFERROR(INDEX('Raw lists'!$A$2:$A$192,MATCH(L2,'Raw lists'!$A$2:$A$192,0))&amp;" | ",""))&amp;IF(M2="","",IFERROR(INDEX('Raw lists'!$A$2:$A$192,MATCH(M2,'Raw lists'!$A$2:$A$192,0))&amp;" | ",""))&amp;IF(N2="","",IFERROR(INDEX('Raw lists'!$A$2:$A$192,MATCH(N2,'Raw lists'!$A$2:$A$192,0))&amp;" | ",""))&amp;IF(O2="","",IFERROR(INDEX('Raw lists'!$A$2:$A$192,MATCH(O2,'Raw lists'!$A$2:$A$192,0))&amp;" | ",""))&amp;IF(P2="","",IFERROR(INDEX('Raw lists'!$A$2:$A$192,MATCH(P2,'Raw lists'!$A$2:$A$192,0))&amp;" | ","")))=0,"",LEFT(IF(K2="","",IFERROR(INDEX('Raw lists'!$A$2:$A$192,MATCH(K2,'Raw lists'!$A$2:$A$192,0))&amp;" | ",""))&amp;IF(L2="","",IFERROR(INDEX('Raw lists'!$A$2:$A$192,MATCH(L2,'Raw lists'!$A$2:$A$192,0))&amp;" | ",""))&amp;IF(M2="","",IFERROR(INDEX('Raw lists'!$A$2:$A$192,MATCH(M2,'Raw lists'!$A$2:$A$192,0))&amp;" | ",""))&amp;IF(N2="","",IFERROR(INDEX('Raw lists'!$A$2:$A$192,MATCH(N2,'Raw lists'!$A$2:$A$192,0))&amp;" | ",""))&amp;IF(O2="","",IFERROR(INDEX('Raw lists'!$A$2:$A$192,MATCH(O2,'Raw lists'!$A$2:$A$192,0))&amp;" | ",""))&amp;IF(P2="","",IFERROR(INDEX('Raw lists'!$A$2:$A$192,MATCH(P2,'Raw lists'!$A$2:$A$192,0))&amp;" | ","")),LEN(IF(K2="","",IFERROR(INDEX('Raw lists'!$A$2:$A$192,MATCH(K2,'Raw lists'!$A$2:$A$192,0))&amp;" | ",""))&amp;IF(L2="","",IFERROR(INDEX('Raw lists'!$A$2:$A$192,MATCH(L2,'Raw lists'!$A$2:$A$192,0))&amp;" | ",""))&amp;IF(M2="","",IFERROR(INDEX('Raw lists'!$A$2:$A$192,MATCH(M2,'Raw lists'!$A$2:$A$192,0))&amp;" | ",""))&amp;IF(N2="","",IFERROR(INDEX('Raw lists'!$A$2:$A$192,MATCH(N2,'Raw lists'!$A$2:$A$192,0))&amp;" | ",""))&amp;IF(O2="","",IFERROR(INDEX('Raw lists'!$A$2:$A$192,MATCH(O2,'Raw lists'!$A$2:$A$192,0))&amp;" | ",""))&amp;IF(P2="","",IFERROR(INDEX('Raw lists'!$A$2:$A$192,MATCH(P2,'Raw lists'!$A$2:$A$192,0))&amp;" | ","")))-3))</f>
        <v>Polarization</v>
      </c>
      <c r="D2" s="30" t="str">
        <f>IF(LEN(IF(K2="","",IFERROR(INDEX('Raw lists'!$B$2:$B$627,MATCH(K2,'Raw lists'!$B$2:$B$627,0))&amp;" | ",""))&amp;IF(L2="","",IFERROR(INDEX('Raw lists'!$B$2:$B$627,MATCH(L2,'Raw lists'!$B$2:$B$627,0))&amp;" | ",""))&amp;IF(M2="","",IFERROR(INDEX('Raw lists'!$B$2:$B$627,MATCH(M2,'Raw lists'!$B$2:$B$627,0))&amp;" | ",""))&amp;IF(N2="","",IFERROR(INDEX('Raw lists'!$B$2:$B$627,MATCH(N2,'Raw lists'!$B$2:$B$627,0))&amp;" | ",""))&amp;IF(O2="","",IFERROR(INDEX('Raw lists'!$B$2:$B$627,MATCH(O2,'Raw lists'!$B$2:$B$627,0))&amp;" | ",""))&amp;IF(P2="","",IFERROR(INDEX('Raw lists'!$B$2:$B$627,MATCH(P2,'Raw lists'!$B$2:$B$627,0))&amp;" | ","")))=0,"",LEFT(IF(K2="","",IFERROR(INDEX('Raw lists'!$B$2:$B$627,MATCH(K2,'Raw lists'!$B$2:$B$627,0))&amp;" | ",""))&amp;IF(L2="","",IFERROR(INDEX('Raw lists'!$B$2:$B$627,MATCH(L2,'Raw lists'!$B$2:$B$627,0))&amp;" | ",""))&amp;IF(M2="","",IFERROR(INDEX('Raw lists'!$B$2:$B$627,MATCH(M2,'Raw lists'!$B$2:$B$627,0))&amp;" | ",""))&amp;IF(N2="","",IFERROR(INDEX('Raw lists'!$B$2:$B$627,MATCH(N2,'Raw lists'!$B$2:$B$627,0))&amp;" | ",""))&amp;IF(O2="","",IFERROR(INDEX('Raw lists'!$B$2:$B$627,MATCH(O2,'Raw lists'!$B$2:$B$627,0))&amp;" | ",""))&amp;IF(P2="","",IFERROR(INDEX('Raw lists'!$B$2:$B$627,MATCH(P2,'Raw lists'!$B$2:$B$627,0))&amp;" | ","")),LEN(IF(K2="","",IFERROR(INDEX('Raw lists'!$B$2:$B$627,MATCH(K2,'Raw lists'!$B$2:$B$627,0))&amp;" | ",""))&amp;IF(L2="","",IFERROR(INDEX('Raw lists'!$B$2:$B$627,MATCH(L2,'Raw lists'!$B$2:$B$627,0))&amp;" | ",""))&amp;IF(M2="","",IFERROR(INDEX('Raw lists'!$B$2:$B$627,MATCH(M2,'Raw lists'!$B$2:$B$627,0))&amp;" | ",""))&amp;IF(N2="","",IFERROR(INDEX('Raw lists'!$B$2:$B$627,MATCH(N2,'Raw lists'!$B$2:$B$627,0))&amp;" | ",""))&amp;IF(O2="","",IFERROR(INDEX('Raw lists'!$B$2:$B$627,MATCH(O2,'Raw lists'!$B$2:$B$627,0))&amp;" | ",""))&amp;IF(P2="","",IFERROR(INDEX('Raw lists'!$B$2:$B$627,MATCH(P2,'Raw lists'!$B$2:$B$627,0))&amp;" | ","")))-3))</f>
        <v>Polarization</v>
      </c>
      <c r="E2" s="30" t="str">
        <f>IF(LEN(IF(K2="","",IFERROR(INDEX('Raw lists'!$C$2:$C$616,MATCH(K2,'Raw lists'!$C$2:$C$616,0))&amp;" | ",""))&amp;IF(L2="","",IFERROR(INDEX('Raw lists'!$C$2:$C$616,MATCH(L2,'Raw lists'!$C$2:$C$616,0))&amp;" | ",""))&amp;IF(M2="","",IFERROR(INDEX('Raw lists'!$C$2:$C$616,MATCH(M2,'Raw lists'!$C$2:$C$616,0))&amp;" | ",""))&amp;IF(N2="","",IFERROR(INDEX('Raw lists'!$C$2:$C$616,MATCH(N2,'Raw lists'!$C$2:$C$616,0))&amp;" | ",""))&amp;IF(O2="","",IFERROR(INDEX('Raw lists'!$C$2:$C$616,MATCH(O2,'Raw lists'!$C$2:$C$616,0))&amp;" | ",""))&amp;IF(P2="","",IFERROR(INDEX('Raw lists'!$C$2:$C$616,MATCH(P2,'Raw lists'!$C$2:$C$616,0))&amp;" | ","")))=0,"",LEFT(IF(K2="","",IFERROR(INDEX('Raw lists'!$C$2:$C$616,MATCH(K2,'Raw lists'!$C$2:$C$616,0))&amp;" | ",""))&amp;IF(L2="","",IFERROR(INDEX('Raw lists'!$C$2:$C$616,MATCH(L2,'Raw lists'!$C$2:$C$616,0))&amp;" | ",""))&amp;IF(M2="","",IFERROR(INDEX('Raw lists'!$C$2:$C$616,MATCH(M2,'Raw lists'!$C$2:$C$616,0))&amp;" | ",""))&amp;IF(N2="","",IFERROR(INDEX('Raw lists'!$C$2:$C$616,MATCH(N2,'Raw lists'!$C$2:$C$616,0))&amp;" | ",""))&amp;IF(O2="","",IFERROR(INDEX('Raw lists'!$C$2:$C$616,MATCH(O2,'Raw lists'!$C$2:$C$616,0))&amp;" | ",""))&amp;IF(P2="","",IFERROR(INDEX('Raw lists'!$C$2:$C$616,MATCH(P2,'Raw lists'!$C$2:$C$616,0))&amp;" | ","")),LEN(IF(K2="","",IFERROR(INDEX('Raw lists'!$C$2:$C$616,MATCH(K2,'Raw lists'!$C$2:$C$616,0))&amp;" | ",""))&amp;IF(L2="","",IFERROR(INDEX('Raw lists'!$C$2:$C$616,MATCH(L2,'Raw lists'!$C$2:$C$616,0))&amp;" | ",""))&amp;IF(M2="","",IFERROR(INDEX('Raw lists'!$C$2:$C$616,MATCH(M2,'Raw lists'!$C$2:$C$616,0))&amp;" | ",""))&amp;IF(N2="","",IFERROR(INDEX('Raw lists'!$C$2:$C$616,MATCH(N2,'Raw lists'!$C$2:$C$616,0))&amp;" | ",""))&amp;IF(O2="","",IFERROR(INDEX('Raw lists'!$C$2:$C$616,MATCH(O2,'Raw lists'!$C$2:$C$616,0))&amp;" | ",""))&amp;IF(P2="","",IFERROR(INDEX('Raw lists'!$C$2:$C$616,MATCH(P2,'Raw lists'!$C$2:$C$616,0))&amp;" | ","")))-3))</f>
        <v>Polarization</v>
      </c>
      <c r="F2" s="28" t="s">
        <v>17</v>
      </c>
      <c r="G2" s="30" t="s">
        <v>18</v>
      </c>
      <c r="H2" s="28">
        <f t="shared" ref="H2:H65" si="0">COUNTIF(C2:E2,"?*")</f>
        <v>3</v>
      </c>
      <c r="I2" s="31" t="str">
        <f t="shared" ref="I2:I65" si="1">IF(H2=0,"None",IF(H2=3,"All three",IF(H2=1,"Only "&amp;TRIM(IF(C2&lt;&gt;"","Gemini ","")&amp;IF(D2&lt;&gt;"","RAKE ","")&amp;IF(E2&lt;&gt;"","YAKE","")),SUBSTITUTE(TRIM(IF(C2&lt;&gt;"","Gemini ","")&amp;IF(D2&lt;&gt;"","RAKE ","")&amp;IF(E2&lt;&gt;"","YAKE",""))," "," + "))))</f>
        <v>All three</v>
      </c>
      <c r="K2" s="32" t="s">
        <v>16</v>
      </c>
      <c r="L2" s="32"/>
      <c r="M2" s="32"/>
      <c r="N2" s="32"/>
      <c r="O2" s="32"/>
      <c r="P2" s="32"/>
      <c r="R2" s="33" t="s">
        <v>19</v>
      </c>
    </row>
    <row r="3" spans="1:25" ht="26.4" x14ac:dyDescent="0.3">
      <c r="A3" s="28">
        <v>2</v>
      </c>
      <c r="B3" s="29" t="s">
        <v>20</v>
      </c>
      <c r="C3" s="30" t="str">
        <f>IF(LEN(IF(K3="","",IFERROR(INDEX('Raw lists'!$A$2:$A$192,MATCH(K3,'Raw lists'!$A$2:$A$192,0))&amp;" | ",""))&amp;IF(L3="","",IFERROR(INDEX('Raw lists'!$A$2:$A$192,MATCH(L3,'Raw lists'!$A$2:$A$192,0))&amp;" | ",""))&amp;IF(M3="","",IFERROR(INDEX('Raw lists'!$A$2:$A$192,MATCH(M3,'Raw lists'!$A$2:$A$192,0))&amp;" | ",""))&amp;IF(N3="","",IFERROR(INDEX('Raw lists'!$A$2:$A$192,MATCH(N3,'Raw lists'!$A$2:$A$192,0))&amp;" | ",""))&amp;IF(O3="","",IFERROR(INDEX('Raw lists'!$A$2:$A$192,MATCH(O3,'Raw lists'!$A$2:$A$192,0))&amp;" | ",""))&amp;IF(P3="","",IFERROR(INDEX('Raw lists'!$A$2:$A$192,MATCH(P3,'Raw lists'!$A$2:$A$192,0))&amp;" | ","")))=0,"",LEFT(IF(K3="","",IFERROR(INDEX('Raw lists'!$A$2:$A$192,MATCH(K3,'Raw lists'!$A$2:$A$192,0))&amp;" | ",""))&amp;IF(L3="","",IFERROR(INDEX('Raw lists'!$A$2:$A$192,MATCH(L3,'Raw lists'!$A$2:$A$192,0))&amp;" | ",""))&amp;IF(M3="","",IFERROR(INDEX('Raw lists'!$A$2:$A$192,MATCH(M3,'Raw lists'!$A$2:$A$192,0))&amp;" | ",""))&amp;IF(N3="","",IFERROR(INDEX('Raw lists'!$A$2:$A$192,MATCH(N3,'Raw lists'!$A$2:$A$192,0))&amp;" | ",""))&amp;IF(O3="","",IFERROR(INDEX('Raw lists'!$A$2:$A$192,MATCH(O3,'Raw lists'!$A$2:$A$192,0))&amp;" | ",""))&amp;IF(P3="","",IFERROR(INDEX('Raw lists'!$A$2:$A$192,MATCH(P3,'Raw lists'!$A$2:$A$192,0))&amp;" | ","")),LEN(IF(K3="","",IFERROR(INDEX('Raw lists'!$A$2:$A$192,MATCH(K3,'Raw lists'!$A$2:$A$192,0))&amp;" | ",""))&amp;IF(L3="","",IFERROR(INDEX('Raw lists'!$A$2:$A$192,MATCH(L3,'Raw lists'!$A$2:$A$192,0))&amp;" | ",""))&amp;IF(M3="","",IFERROR(INDEX('Raw lists'!$A$2:$A$192,MATCH(M3,'Raw lists'!$A$2:$A$192,0))&amp;" | ",""))&amp;IF(N3="","",IFERROR(INDEX('Raw lists'!$A$2:$A$192,MATCH(N3,'Raw lists'!$A$2:$A$192,0))&amp;" | ",""))&amp;IF(O3="","",IFERROR(INDEX('Raw lists'!$A$2:$A$192,MATCH(O3,'Raw lists'!$A$2:$A$192,0))&amp;" | ",""))&amp;IF(P3="","",IFERROR(INDEX('Raw lists'!$A$2:$A$192,MATCH(P3,'Raw lists'!$A$2:$A$192,0))&amp;" | ","")))-3))</f>
        <v/>
      </c>
      <c r="D3" s="30" t="str">
        <f>IF(LEN(IF(K3="","",IFERROR(INDEX('Raw lists'!$B$2:$B$627,MATCH(K3,'Raw lists'!$B$2:$B$627,0))&amp;" | ",""))&amp;IF(L3="","",IFERROR(INDEX('Raw lists'!$B$2:$B$627,MATCH(L3,'Raw lists'!$B$2:$B$627,0))&amp;" | ",""))&amp;IF(M3="","",IFERROR(INDEX('Raw lists'!$B$2:$B$627,MATCH(M3,'Raw lists'!$B$2:$B$627,0))&amp;" | ",""))&amp;IF(N3="","",IFERROR(INDEX('Raw lists'!$B$2:$B$627,MATCH(N3,'Raw lists'!$B$2:$B$627,0))&amp;" | ",""))&amp;IF(O3="","",IFERROR(INDEX('Raw lists'!$B$2:$B$627,MATCH(O3,'Raw lists'!$B$2:$B$627,0))&amp;" | ",""))&amp;IF(P3="","",IFERROR(INDEX('Raw lists'!$B$2:$B$627,MATCH(P3,'Raw lists'!$B$2:$B$627,0))&amp;" | ","")))=0,"",LEFT(IF(K3="","",IFERROR(INDEX('Raw lists'!$B$2:$B$627,MATCH(K3,'Raw lists'!$B$2:$B$627,0))&amp;" | ",""))&amp;IF(L3="","",IFERROR(INDEX('Raw lists'!$B$2:$B$627,MATCH(L3,'Raw lists'!$B$2:$B$627,0))&amp;" | ",""))&amp;IF(M3="","",IFERROR(INDEX('Raw lists'!$B$2:$B$627,MATCH(M3,'Raw lists'!$B$2:$B$627,0))&amp;" | ",""))&amp;IF(N3="","",IFERROR(INDEX('Raw lists'!$B$2:$B$627,MATCH(N3,'Raw lists'!$B$2:$B$627,0))&amp;" | ",""))&amp;IF(O3="","",IFERROR(INDEX('Raw lists'!$B$2:$B$627,MATCH(O3,'Raw lists'!$B$2:$B$627,0))&amp;" | ",""))&amp;IF(P3="","",IFERROR(INDEX('Raw lists'!$B$2:$B$627,MATCH(P3,'Raw lists'!$B$2:$B$627,0))&amp;" | ","")),LEN(IF(K3="","",IFERROR(INDEX('Raw lists'!$B$2:$B$627,MATCH(K3,'Raw lists'!$B$2:$B$627,0))&amp;" | ",""))&amp;IF(L3="","",IFERROR(INDEX('Raw lists'!$B$2:$B$627,MATCH(L3,'Raw lists'!$B$2:$B$627,0))&amp;" | ",""))&amp;IF(M3="","",IFERROR(INDEX('Raw lists'!$B$2:$B$627,MATCH(M3,'Raw lists'!$B$2:$B$627,0))&amp;" | ",""))&amp;IF(N3="","",IFERROR(INDEX('Raw lists'!$B$2:$B$627,MATCH(N3,'Raw lists'!$B$2:$B$627,0))&amp;" | ",""))&amp;IF(O3="","",IFERROR(INDEX('Raw lists'!$B$2:$B$627,MATCH(O3,'Raw lists'!$B$2:$B$627,0))&amp;" | ",""))&amp;IF(P3="","",IFERROR(INDEX('Raw lists'!$B$2:$B$627,MATCH(P3,'Raw lists'!$B$2:$B$627,0))&amp;" | ","")))-3))</f>
        <v>Transverse Wave</v>
      </c>
      <c r="E3" s="30" t="str">
        <f>IF(LEN(IF(K3="","",IFERROR(INDEX('Raw lists'!$C$2:$C$616,MATCH(K3,'Raw lists'!$C$2:$C$616,0))&amp;" | ",""))&amp;IF(L3="","",IFERROR(INDEX('Raw lists'!$C$2:$C$616,MATCH(L3,'Raw lists'!$C$2:$C$616,0))&amp;" | ",""))&amp;IF(M3="","",IFERROR(INDEX('Raw lists'!$C$2:$C$616,MATCH(M3,'Raw lists'!$C$2:$C$616,0))&amp;" | ",""))&amp;IF(N3="","",IFERROR(INDEX('Raw lists'!$C$2:$C$616,MATCH(N3,'Raw lists'!$C$2:$C$616,0))&amp;" | ",""))&amp;IF(O3="","",IFERROR(INDEX('Raw lists'!$C$2:$C$616,MATCH(O3,'Raw lists'!$C$2:$C$616,0))&amp;" | ",""))&amp;IF(P3="","",IFERROR(INDEX('Raw lists'!$C$2:$C$616,MATCH(P3,'Raw lists'!$C$2:$C$616,0))&amp;" | ","")))=0,"",LEFT(IF(K3="","",IFERROR(INDEX('Raw lists'!$C$2:$C$616,MATCH(K3,'Raw lists'!$C$2:$C$616,0))&amp;" | ",""))&amp;IF(L3="","",IFERROR(INDEX('Raw lists'!$C$2:$C$616,MATCH(L3,'Raw lists'!$C$2:$C$616,0))&amp;" | ",""))&amp;IF(M3="","",IFERROR(INDEX('Raw lists'!$C$2:$C$616,MATCH(M3,'Raw lists'!$C$2:$C$616,0))&amp;" | ",""))&amp;IF(N3="","",IFERROR(INDEX('Raw lists'!$C$2:$C$616,MATCH(N3,'Raw lists'!$C$2:$C$616,0))&amp;" | ",""))&amp;IF(O3="","",IFERROR(INDEX('Raw lists'!$C$2:$C$616,MATCH(O3,'Raw lists'!$C$2:$C$616,0))&amp;" | ",""))&amp;IF(P3="","",IFERROR(INDEX('Raw lists'!$C$2:$C$616,MATCH(P3,'Raw lists'!$C$2:$C$616,0))&amp;" | ","")),LEN(IF(K3="","",IFERROR(INDEX('Raw lists'!$C$2:$C$616,MATCH(K3,'Raw lists'!$C$2:$C$616,0))&amp;" | ",""))&amp;IF(L3="","",IFERROR(INDEX('Raw lists'!$C$2:$C$616,MATCH(L3,'Raw lists'!$C$2:$C$616,0))&amp;" | ",""))&amp;IF(M3="","",IFERROR(INDEX('Raw lists'!$C$2:$C$616,MATCH(M3,'Raw lists'!$C$2:$C$616,0))&amp;" | ",""))&amp;IF(N3="","",IFERROR(INDEX('Raw lists'!$C$2:$C$616,MATCH(N3,'Raw lists'!$C$2:$C$616,0))&amp;" | ",""))&amp;IF(O3="","",IFERROR(INDEX('Raw lists'!$C$2:$C$616,MATCH(O3,'Raw lists'!$C$2:$C$616,0))&amp;" | ",""))&amp;IF(P3="","",IFERROR(INDEX('Raw lists'!$C$2:$C$616,MATCH(P3,'Raw lists'!$C$2:$C$616,0))&amp;" | ","")))-3))</f>
        <v>Transverse Wave</v>
      </c>
      <c r="F3" s="28" t="s">
        <v>17</v>
      </c>
      <c r="G3" s="30" t="s">
        <v>21</v>
      </c>
      <c r="H3" s="28">
        <f t="shared" si="0"/>
        <v>2</v>
      </c>
      <c r="I3" s="31" t="str">
        <f t="shared" si="1"/>
        <v>RAKE + YAKE</v>
      </c>
      <c r="K3" s="32" t="s">
        <v>22</v>
      </c>
      <c r="L3" s="32"/>
      <c r="M3" s="32"/>
      <c r="N3" s="32"/>
      <c r="O3" s="32"/>
      <c r="P3" s="32"/>
      <c r="R3" s="34" t="s">
        <v>23</v>
      </c>
    </row>
    <row r="4" spans="1:25" x14ac:dyDescent="0.3">
      <c r="A4" s="28">
        <v>3</v>
      </c>
      <c r="B4" s="29" t="s">
        <v>24</v>
      </c>
      <c r="C4" s="30" t="str">
        <f>IF(LEN(IF(K4="","",IFERROR(INDEX('Raw lists'!$A$2:$A$192,MATCH(K4,'Raw lists'!$A$2:$A$192,0))&amp;" | ",""))&amp;IF(L4="","",IFERROR(INDEX('Raw lists'!$A$2:$A$192,MATCH(L4,'Raw lists'!$A$2:$A$192,0))&amp;" | ",""))&amp;IF(M4="","",IFERROR(INDEX('Raw lists'!$A$2:$A$192,MATCH(M4,'Raw lists'!$A$2:$A$192,0))&amp;" | ",""))&amp;IF(N4="","",IFERROR(INDEX('Raw lists'!$A$2:$A$192,MATCH(N4,'Raw lists'!$A$2:$A$192,0))&amp;" | ",""))&amp;IF(O4="","",IFERROR(INDEX('Raw lists'!$A$2:$A$192,MATCH(O4,'Raw lists'!$A$2:$A$192,0))&amp;" | ",""))&amp;IF(P4="","",IFERROR(INDEX('Raw lists'!$A$2:$A$192,MATCH(P4,'Raw lists'!$A$2:$A$192,0))&amp;" | ","")))=0,"",LEFT(IF(K4="","",IFERROR(INDEX('Raw lists'!$A$2:$A$192,MATCH(K4,'Raw lists'!$A$2:$A$192,0))&amp;" | ",""))&amp;IF(L4="","",IFERROR(INDEX('Raw lists'!$A$2:$A$192,MATCH(L4,'Raw lists'!$A$2:$A$192,0))&amp;" | ",""))&amp;IF(M4="","",IFERROR(INDEX('Raw lists'!$A$2:$A$192,MATCH(M4,'Raw lists'!$A$2:$A$192,0))&amp;" | ",""))&amp;IF(N4="","",IFERROR(INDEX('Raw lists'!$A$2:$A$192,MATCH(N4,'Raw lists'!$A$2:$A$192,0))&amp;" | ",""))&amp;IF(O4="","",IFERROR(INDEX('Raw lists'!$A$2:$A$192,MATCH(O4,'Raw lists'!$A$2:$A$192,0))&amp;" | ",""))&amp;IF(P4="","",IFERROR(INDEX('Raw lists'!$A$2:$A$192,MATCH(P4,'Raw lists'!$A$2:$A$192,0))&amp;" | ","")),LEN(IF(K4="","",IFERROR(INDEX('Raw lists'!$A$2:$A$192,MATCH(K4,'Raw lists'!$A$2:$A$192,0))&amp;" | ",""))&amp;IF(L4="","",IFERROR(INDEX('Raw lists'!$A$2:$A$192,MATCH(L4,'Raw lists'!$A$2:$A$192,0))&amp;" | ",""))&amp;IF(M4="","",IFERROR(INDEX('Raw lists'!$A$2:$A$192,MATCH(M4,'Raw lists'!$A$2:$A$192,0))&amp;" | ",""))&amp;IF(N4="","",IFERROR(INDEX('Raw lists'!$A$2:$A$192,MATCH(N4,'Raw lists'!$A$2:$A$192,0))&amp;" | ",""))&amp;IF(O4="","",IFERROR(INDEX('Raw lists'!$A$2:$A$192,MATCH(O4,'Raw lists'!$A$2:$A$192,0))&amp;" | ",""))&amp;IF(P4="","",IFERROR(INDEX('Raw lists'!$A$2:$A$192,MATCH(P4,'Raw lists'!$A$2:$A$192,0))&amp;" | ","")))-3))</f>
        <v/>
      </c>
      <c r="D4" s="30" t="str">
        <f>IF(LEN(IF(K4="","",IFERROR(INDEX('Raw lists'!$B$2:$B$627,MATCH(K4,'Raw lists'!$B$2:$B$627,0))&amp;" | ",""))&amp;IF(L4="","",IFERROR(INDEX('Raw lists'!$B$2:$B$627,MATCH(L4,'Raw lists'!$B$2:$B$627,0))&amp;" | ",""))&amp;IF(M4="","",IFERROR(INDEX('Raw lists'!$B$2:$B$627,MATCH(M4,'Raw lists'!$B$2:$B$627,0))&amp;" | ",""))&amp;IF(N4="","",IFERROR(INDEX('Raw lists'!$B$2:$B$627,MATCH(N4,'Raw lists'!$B$2:$B$627,0))&amp;" | ",""))&amp;IF(O4="","",IFERROR(INDEX('Raw lists'!$B$2:$B$627,MATCH(O4,'Raw lists'!$B$2:$B$627,0))&amp;" | ",""))&amp;IF(P4="","",IFERROR(INDEX('Raw lists'!$B$2:$B$627,MATCH(P4,'Raw lists'!$B$2:$B$627,0))&amp;" | ","")))=0,"",LEFT(IF(K4="","",IFERROR(INDEX('Raw lists'!$B$2:$B$627,MATCH(K4,'Raw lists'!$B$2:$B$627,0))&amp;" | ",""))&amp;IF(L4="","",IFERROR(INDEX('Raw lists'!$B$2:$B$627,MATCH(L4,'Raw lists'!$B$2:$B$627,0))&amp;" | ",""))&amp;IF(M4="","",IFERROR(INDEX('Raw lists'!$B$2:$B$627,MATCH(M4,'Raw lists'!$B$2:$B$627,0))&amp;" | ",""))&amp;IF(N4="","",IFERROR(INDEX('Raw lists'!$B$2:$B$627,MATCH(N4,'Raw lists'!$B$2:$B$627,0))&amp;" | ",""))&amp;IF(O4="","",IFERROR(INDEX('Raw lists'!$B$2:$B$627,MATCH(O4,'Raw lists'!$B$2:$B$627,0))&amp;" | ",""))&amp;IF(P4="","",IFERROR(INDEX('Raw lists'!$B$2:$B$627,MATCH(P4,'Raw lists'!$B$2:$B$627,0))&amp;" | ","")),LEN(IF(K4="","",IFERROR(INDEX('Raw lists'!$B$2:$B$627,MATCH(K4,'Raw lists'!$B$2:$B$627,0))&amp;" | ",""))&amp;IF(L4="","",IFERROR(INDEX('Raw lists'!$B$2:$B$627,MATCH(L4,'Raw lists'!$B$2:$B$627,0))&amp;" | ",""))&amp;IF(M4="","",IFERROR(INDEX('Raw lists'!$B$2:$B$627,MATCH(M4,'Raw lists'!$B$2:$B$627,0))&amp;" | ",""))&amp;IF(N4="","",IFERROR(INDEX('Raw lists'!$B$2:$B$627,MATCH(N4,'Raw lists'!$B$2:$B$627,0))&amp;" | ",""))&amp;IF(O4="","",IFERROR(INDEX('Raw lists'!$B$2:$B$627,MATCH(O4,'Raw lists'!$B$2:$B$627,0))&amp;" | ",""))&amp;IF(P4="","",IFERROR(INDEX('Raw lists'!$B$2:$B$627,MATCH(P4,'Raw lists'!$B$2:$B$627,0))&amp;" | ","")))-3))</f>
        <v>Longitudinal Waves</v>
      </c>
      <c r="E4" s="30" t="str">
        <f>IF(LEN(IF(K4="","",IFERROR(INDEX('Raw lists'!$C$2:$C$616,MATCH(K4,'Raw lists'!$C$2:$C$616,0))&amp;" | ",""))&amp;IF(L4="","",IFERROR(INDEX('Raw lists'!$C$2:$C$616,MATCH(L4,'Raw lists'!$C$2:$C$616,0))&amp;" | ",""))&amp;IF(M4="","",IFERROR(INDEX('Raw lists'!$C$2:$C$616,MATCH(M4,'Raw lists'!$C$2:$C$616,0))&amp;" | ",""))&amp;IF(N4="","",IFERROR(INDEX('Raw lists'!$C$2:$C$616,MATCH(N4,'Raw lists'!$C$2:$C$616,0))&amp;" | ",""))&amp;IF(O4="","",IFERROR(INDEX('Raw lists'!$C$2:$C$616,MATCH(O4,'Raw lists'!$C$2:$C$616,0))&amp;" | ",""))&amp;IF(P4="","",IFERROR(INDEX('Raw lists'!$C$2:$C$616,MATCH(P4,'Raw lists'!$C$2:$C$616,0))&amp;" | ","")))=0,"",LEFT(IF(K4="","",IFERROR(INDEX('Raw lists'!$C$2:$C$616,MATCH(K4,'Raw lists'!$C$2:$C$616,0))&amp;" | ",""))&amp;IF(L4="","",IFERROR(INDEX('Raw lists'!$C$2:$C$616,MATCH(L4,'Raw lists'!$C$2:$C$616,0))&amp;" | ",""))&amp;IF(M4="","",IFERROR(INDEX('Raw lists'!$C$2:$C$616,MATCH(M4,'Raw lists'!$C$2:$C$616,0))&amp;" | ",""))&amp;IF(N4="","",IFERROR(INDEX('Raw lists'!$C$2:$C$616,MATCH(N4,'Raw lists'!$C$2:$C$616,0))&amp;" | ",""))&amp;IF(O4="","",IFERROR(INDEX('Raw lists'!$C$2:$C$616,MATCH(O4,'Raw lists'!$C$2:$C$616,0))&amp;" | ",""))&amp;IF(P4="","",IFERROR(INDEX('Raw lists'!$C$2:$C$616,MATCH(P4,'Raw lists'!$C$2:$C$616,0))&amp;" | ","")),LEN(IF(K4="","",IFERROR(INDEX('Raw lists'!$C$2:$C$616,MATCH(K4,'Raw lists'!$C$2:$C$616,0))&amp;" | ",""))&amp;IF(L4="","",IFERROR(INDEX('Raw lists'!$C$2:$C$616,MATCH(L4,'Raw lists'!$C$2:$C$616,0))&amp;" | ",""))&amp;IF(M4="","",IFERROR(INDEX('Raw lists'!$C$2:$C$616,MATCH(M4,'Raw lists'!$C$2:$C$616,0))&amp;" | ",""))&amp;IF(N4="","",IFERROR(INDEX('Raw lists'!$C$2:$C$616,MATCH(N4,'Raw lists'!$C$2:$C$616,0))&amp;" | ",""))&amp;IF(O4="","",IFERROR(INDEX('Raw lists'!$C$2:$C$616,MATCH(O4,'Raw lists'!$C$2:$C$616,0))&amp;" | ",""))&amp;IF(P4="","",IFERROR(INDEX('Raw lists'!$C$2:$C$616,MATCH(P4,'Raw lists'!$C$2:$C$616,0))&amp;" | ","")))-3))</f>
        <v/>
      </c>
      <c r="F4" s="28" t="s">
        <v>17</v>
      </c>
      <c r="G4" s="30" t="s">
        <v>25</v>
      </c>
      <c r="H4" s="28">
        <f t="shared" si="0"/>
        <v>1</v>
      </c>
      <c r="I4" s="31" t="str">
        <f t="shared" si="1"/>
        <v>Only RAKE</v>
      </c>
      <c r="K4" s="32" t="s">
        <v>26</v>
      </c>
      <c r="L4" s="32" t="s">
        <v>27</v>
      </c>
      <c r="M4" s="32"/>
      <c r="N4" s="32"/>
      <c r="O4" s="32"/>
      <c r="P4" s="32"/>
      <c r="R4" s="35" t="s">
        <v>28</v>
      </c>
    </row>
    <row r="5" spans="1:25" ht="39.6" x14ac:dyDescent="0.3">
      <c r="A5" s="28">
        <v>4</v>
      </c>
      <c r="B5" s="29" t="s">
        <v>29</v>
      </c>
      <c r="C5" s="30" t="str">
        <f>IF(LEN(IF(K5="","",IFERROR(INDEX('Raw lists'!$A$2:$A$192,MATCH(K5,'Raw lists'!$A$2:$A$192,0))&amp;" | ",""))&amp;IF(L5="","",IFERROR(INDEX('Raw lists'!$A$2:$A$192,MATCH(L5,'Raw lists'!$A$2:$A$192,0))&amp;" | ",""))&amp;IF(M5="","",IFERROR(INDEX('Raw lists'!$A$2:$A$192,MATCH(M5,'Raw lists'!$A$2:$A$192,0))&amp;" | ",""))&amp;IF(N5="","",IFERROR(INDEX('Raw lists'!$A$2:$A$192,MATCH(N5,'Raw lists'!$A$2:$A$192,0))&amp;" | ",""))&amp;IF(O5="","",IFERROR(INDEX('Raw lists'!$A$2:$A$192,MATCH(O5,'Raw lists'!$A$2:$A$192,0))&amp;" | ",""))&amp;IF(P5="","",IFERROR(INDEX('Raw lists'!$A$2:$A$192,MATCH(P5,'Raw lists'!$A$2:$A$192,0))&amp;" | ","")))=0,"",LEFT(IF(K5="","",IFERROR(INDEX('Raw lists'!$A$2:$A$192,MATCH(K5,'Raw lists'!$A$2:$A$192,0))&amp;" | ",""))&amp;IF(L5="","",IFERROR(INDEX('Raw lists'!$A$2:$A$192,MATCH(L5,'Raw lists'!$A$2:$A$192,0))&amp;" | ",""))&amp;IF(M5="","",IFERROR(INDEX('Raw lists'!$A$2:$A$192,MATCH(M5,'Raw lists'!$A$2:$A$192,0))&amp;" | ",""))&amp;IF(N5="","",IFERROR(INDEX('Raw lists'!$A$2:$A$192,MATCH(N5,'Raw lists'!$A$2:$A$192,0))&amp;" | ",""))&amp;IF(O5="","",IFERROR(INDEX('Raw lists'!$A$2:$A$192,MATCH(O5,'Raw lists'!$A$2:$A$192,0))&amp;" | ",""))&amp;IF(P5="","",IFERROR(INDEX('Raw lists'!$A$2:$A$192,MATCH(P5,'Raw lists'!$A$2:$A$192,0))&amp;" | ","")),LEN(IF(K5="","",IFERROR(INDEX('Raw lists'!$A$2:$A$192,MATCH(K5,'Raw lists'!$A$2:$A$192,0))&amp;" | ",""))&amp;IF(L5="","",IFERROR(INDEX('Raw lists'!$A$2:$A$192,MATCH(L5,'Raw lists'!$A$2:$A$192,0))&amp;" | ",""))&amp;IF(M5="","",IFERROR(INDEX('Raw lists'!$A$2:$A$192,MATCH(M5,'Raw lists'!$A$2:$A$192,0))&amp;" | ",""))&amp;IF(N5="","",IFERROR(INDEX('Raw lists'!$A$2:$A$192,MATCH(N5,'Raw lists'!$A$2:$A$192,0))&amp;" | ",""))&amp;IF(O5="","",IFERROR(INDEX('Raw lists'!$A$2:$A$192,MATCH(O5,'Raw lists'!$A$2:$A$192,0))&amp;" | ",""))&amp;IF(P5="","",IFERROR(INDEX('Raw lists'!$A$2:$A$192,MATCH(P5,'Raw lists'!$A$2:$A$192,0))&amp;" | ","")))-3))</f>
        <v>Polarized Light | Plane Polarized Light | Plane-polarized Wave</v>
      </c>
      <c r="D5" s="30" t="str">
        <f>IF(LEN(IF(K5="","",IFERROR(INDEX('Raw lists'!$B$2:$B$627,MATCH(K5,'Raw lists'!$B$2:$B$627,0))&amp;" | ",""))&amp;IF(L5="","",IFERROR(INDEX('Raw lists'!$B$2:$B$627,MATCH(L5,'Raw lists'!$B$2:$B$627,0))&amp;" | ",""))&amp;IF(M5="","",IFERROR(INDEX('Raw lists'!$B$2:$B$627,MATCH(M5,'Raw lists'!$B$2:$B$627,0))&amp;" | ",""))&amp;IF(N5="","",IFERROR(INDEX('Raw lists'!$B$2:$B$627,MATCH(N5,'Raw lists'!$B$2:$B$627,0))&amp;" | ",""))&amp;IF(O5="","",IFERROR(INDEX('Raw lists'!$B$2:$B$627,MATCH(O5,'Raw lists'!$B$2:$B$627,0))&amp;" | ",""))&amp;IF(P5="","",IFERROR(INDEX('Raw lists'!$B$2:$B$627,MATCH(P5,'Raw lists'!$B$2:$B$627,0))&amp;" | ","")))=0,"",LEFT(IF(K5="","",IFERROR(INDEX('Raw lists'!$B$2:$B$627,MATCH(K5,'Raw lists'!$B$2:$B$627,0))&amp;" | ",""))&amp;IF(L5="","",IFERROR(INDEX('Raw lists'!$B$2:$B$627,MATCH(L5,'Raw lists'!$B$2:$B$627,0))&amp;" | ",""))&amp;IF(M5="","",IFERROR(INDEX('Raw lists'!$B$2:$B$627,MATCH(M5,'Raw lists'!$B$2:$B$627,0))&amp;" | ",""))&amp;IF(N5="","",IFERROR(INDEX('Raw lists'!$B$2:$B$627,MATCH(N5,'Raw lists'!$B$2:$B$627,0))&amp;" | ",""))&amp;IF(O5="","",IFERROR(INDEX('Raw lists'!$B$2:$B$627,MATCH(O5,'Raw lists'!$B$2:$B$627,0))&amp;" | ",""))&amp;IF(P5="","",IFERROR(INDEX('Raw lists'!$B$2:$B$627,MATCH(P5,'Raw lists'!$B$2:$B$627,0))&amp;" | ","")),LEN(IF(K5="","",IFERROR(INDEX('Raw lists'!$B$2:$B$627,MATCH(K5,'Raw lists'!$B$2:$B$627,0))&amp;" | ",""))&amp;IF(L5="","",IFERROR(INDEX('Raw lists'!$B$2:$B$627,MATCH(L5,'Raw lists'!$B$2:$B$627,0))&amp;" | ",""))&amp;IF(M5="","",IFERROR(INDEX('Raw lists'!$B$2:$B$627,MATCH(M5,'Raw lists'!$B$2:$B$627,0))&amp;" | ",""))&amp;IF(N5="","",IFERROR(INDEX('Raw lists'!$B$2:$B$627,MATCH(N5,'Raw lists'!$B$2:$B$627,0))&amp;" | ",""))&amp;IF(O5="","",IFERROR(INDEX('Raw lists'!$B$2:$B$627,MATCH(O5,'Raw lists'!$B$2:$B$627,0))&amp;" | ",""))&amp;IF(P5="","",IFERROR(INDEX('Raw lists'!$B$2:$B$627,MATCH(P5,'Raw lists'!$B$2:$B$627,0))&amp;" | ","")))-3))</f>
        <v>Polarized Light | Plane Polarized Light | Plane Polarized | Linearly Polarized</v>
      </c>
      <c r="E5" s="30" t="str">
        <f>IF(LEN(IF(K5="","",IFERROR(INDEX('Raw lists'!$C$2:$C$616,MATCH(K5,'Raw lists'!$C$2:$C$616,0))&amp;" | ",""))&amp;IF(L5="","",IFERROR(INDEX('Raw lists'!$C$2:$C$616,MATCH(L5,'Raw lists'!$C$2:$C$616,0))&amp;" | ",""))&amp;IF(M5="","",IFERROR(INDEX('Raw lists'!$C$2:$C$616,MATCH(M5,'Raw lists'!$C$2:$C$616,0))&amp;" | ",""))&amp;IF(N5="","",IFERROR(INDEX('Raw lists'!$C$2:$C$616,MATCH(N5,'Raw lists'!$C$2:$C$616,0))&amp;" | ",""))&amp;IF(O5="","",IFERROR(INDEX('Raw lists'!$C$2:$C$616,MATCH(O5,'Raw lists'!$C$2:$C$616,0))&amp;" | ",""))&amp;IF(P5="","",IFERROR(INDEX('Raw lists'!$C$2:$C$616,MATCH(P5,'Raw lists'!$C$2:$C$616,0))&amp;" | ","")))=0,"",LEFT(IF(K5="","",IFERROR(INDEX('Raw lists'!$C$2:$C$616,MATCH(K5,'Raw lists'!$C$2:$C$616,0))&amp;" | ",""))&amp;IF(L5="","",IFERROR(INDEX('Raw lists'!$C$2:$C$616,MATCH(L5,'Raw lists'!$C$2:$C$616,0))&amp;" | ",""))&amp;IF(M5="","",IFERROR(INDEX('Raw lists'!$C$2:$C$616,MATCH(M5,'Raw lists'!$C$2:$C$616,0))&amp;" | ",""))&amp;IF(N5="","",IFERROR(INDEX('Raw lists'!$C$2:$C$616,MATCH(N5,'Raw lists'!$C$2:$C$616,0))&amp;" | ",""))&amp;IF(O5="","",IFERROR(INDEX('Raw lists'!$C$2:$C$616,MATCH(O5,'Raw lists'!$C$2:$C$616,0))&amp;" | ",""))&amp;IF(P5="","",IFERROR(INDEX('Raw lists'!$C$2:$C$616,MATCH(P5,'Raw lists'!$C$2:$C$616,0))&amp;" | ","")),LEN(IF(K5="","",IFERROR(INDEX('Raw lists'!$C$2:$C$616,MATCH(K5,'Raw lists'!$C$2:$C$616,0))&amp;" | ",""))&amp;IF(L5="","",IFERROR(INDEX('Raw lists'!$C$2:$C$616,MATCH(L5,'Raw lists'!$C$2:$C$616,0))&amp;" | ",""))&amp;IF(M5="","",IFERROR(INDEX('Raw lists'!$C$2:$C$616,MATCH(M5,'Raw lists'!$C$2:$C$616,0))&amp;" | ",""))&amp;IF(N5="","",IFERROR(INDEX('Raw lists'!$C$2:$C$616,MATCH(N5,'Raw lists'!$C$2:$C$616,0))&amp;" | ",""))&amp;IF(O5="","",IFERROR(INDEX('Raw lists'!$C$2:$C$616,MATCH(O5,'Raw lists'!$C$2:$C$616,0))&amp;" | ",""))&amp;IF(P5="","",IFERROR(INDEX('Raw lists'!$C$2:$C$616,MATCH(P5,'Raw lists'!$C$2:$C$616,0))&amp;" | ","")))-3))</f>
        <v>Polarized Light | Plane Polarized Light | Plane Polarized</v>
      </c>
      <c r="F5" s="28" t="s">
        <v>17</v>
      </c>
      <c r="G5" s="30" t="s">
        <v>30</v>
      </c>
      <c r="H5" s="28">
        <f t="shared" si="0"/>
        <v>3</v>
      </c>
      <c r="I5" s="31" t="str">
        <f t="shared" si="1"/>
        <v>All three</v>
      </c>
      <c r="K5" s="32" t="s">
        <v>31</v>
      </c>
      <c r="L5" s="32" t="s">
        <v>32</v>
      </c>
      <c r="M5" s="32" t="s">
        <v>33</v>
      </c>
      <c r="N5" s="32" t="s">
        <v>34</v>
      </c>
      <c r="O5" s="32" t="s">
        <v>35</v>
      </c>
      <c r="P5" s="32" t="s">
        <v>36</v>
      </c>
      <c r="R5" s="36" t="s">
        <v>37</v>
      </c>
    </row>
    <row r="6" spans="1:25" ht="45" customHeight="1" x14ac:dyDescent="0.3">
      <c r="A6" s="28">
        <v>5</v>
      </c>
      <c r="B6" s="29" t="s">
        <v>38</v>
      </c>
      <c r="C6" s="30" t="str">
        <f>IF(LEN(IF(K6="","",IFERROR(INDEX('Raw lists'!$A$2:$A$192,MATCH(K6,'Raw lists'!$A$2:$A$192,0))&amp;" | ",""))&amp;IF(L6="","",IFERROR(INDEX('Raw lists'!$A$2:$A$192,MATCH(L6,'Raw lists'!$A$2:$A$192,0))&amp;" | ",""))&amp;IF(M6="","",IFERROR(INDEX('Raw lists'!$A$2:$A$192,MATCH(M6,'Raw lists'!$A$2:$A$192,0))&amp;" | ",""))&amp;IF(N6="","",IFERROR(INDEX('Raw lists'!$A$2:$A$192,MATCH(N6,'Raw lists'!$A$2:$A$192,0))&amp;" | ",""))&amp;IF(O6="","",IFERROR(INDEX('Raw lists'!$A$2:$A$192,MATCH(O6,'Raw lists'!$A$2:$A$192,0))&amp;" | ",""))&amp;IF(P6="","",IFERROR(INDEX('Raw lists'!$A$2:$A$192,MATCH(P6,'Raw lists'!$A$2:$A$192,0))&amp;" | ","")))=0,"",LEFT(IF(K6="","",IFERROR(INDEX('Raw lists'!$A$2:$A$192,MATCH(K6,'Raw lists'!$A$2:$A$192,0))&amp;" | ",""))&amp;IF(L6="","",IFERROR(INDEX('Raw lists'!$A$2:$A$192,MATCH(L6,'Raw lists'!$A$2:$A$192,0))&amp;" | ",""))&amp;IF(M6="","",IFERROR(INDEX('Raw lists'!$A$2:$A$192,MATCH(M6,'Raw lists'!$A$2:$A$192,0))&amp;" | ",""))&amp;IF(N6="","",IFERROR(INDEX('Raw lists'!$A$2:$A$192,MATCH(N6,'Raw lists'!$A$2:$A$192,0))&amp;" | ",""))&amp;IF(O6="","",IFERROR(INDEX('Raw lists'!$A$2:$A$192,MATCH(O6,'Raw lists'!$A$2:$A$192,0))&amp;" | ",""))&amp;IF(P6="","",IFERROR(INDEX('Raw lists'!$A$2:$A$192,MATCH(P6,'Raw lists'!$A$2:$A$192,0))&amp;" | ","")),LEN(IF(K6="","",IFERROR(INDEX('Raw lists'!$A$2:$A$192,MATCH(K6,'Raw lists'!$A$2:$A$192,0))&amp;" | ",""))&amp;IF(L6="","",IFERROR(INDEX('Raw lists'!$A$2:$A$192,MATCH(L6,'Raw lists'!$A$2:$A$192,0))&amp;" | ",""))&amp;IF(M6="","",IFERROR(INDEX('Raw lists'!$A$2:$A$192,MATCH(M6,'Raw lists'!$A$2:$A$192,0))&amp;" | ",""))&amp;IF(N6="","",IFERROR(INDEX('Raw lists'!$A$2:$A$192,MATCH(N6,'Raw lists'!$A$2:$A$192,0))&amp;" | ",""))&amp;IF(O6="","",IFERROR(INDEX('Raw lists'!$A$2:$A$192,MATCH(O6,'Raw lists'!$A$2:$A$192,0))&amp;" | ",""))&amp;IF(P6="","",IFERROR(INDEX('Raw lists'!$A$2:$A$192,MATCH(P6,'Raw lists'!$A$2:$A$192,0))&amp;" | ","")))-3))</f>
        <v>Unpolarized Light</v>
      </c>
      <c r="D6" s="30" t="str">
        <f>IF(LEN(IF(K6="","",IFERROR(INDEX('Raw lists'!$B$2:$B$627,MATCH(K6,'Raw lists'!$B$2:$B$627,0))&amp;" | ",""))&amp;IF(L6="","",IFERROR(INDEX('Raw lists'!$B$2:$B$627,MATCH(L6,'Raw lists'!$B$2:$B$627,0))&amp;" | ",""))&amp;IF(M6="","",IFERROR(INDEX('Raw lists'!$B$2:$B$627,MATCH(M6,'Raw lists'!$B$2:$B$627,0))&amp;" | ",""))&amp;IF(N6="","",IFERROR(INDEX('Raw lists'!$B$2:$B$627,MATCH(N6,'Raw lists'!$B$2:$B$627,0))&amp;" | ",""))&amp;IF(O6="","",IFERROR(INDEX('Raw lists'!$B$2:$B$627,MATCH(O6,'Raw lists'!$B$2:$B$627,0))&amp;" | ",""))&amp;IF(P6="","",IFERROR(INDEX('Raw lists'!$B$2:$B$627,MATCH(P6,'Raw lists'!$B$2:$B$627,0))&amp;" | ","")))=0,"",LEFT(IF(K6="","",IFERROR(INDEX('Raw lists'!$B$2:$B$627,MATCH(K6,'Raw lists'!$B$2:$B$627,0))&amp;" | ",""))&amp;IF(L6="","",IFERROR(INDEX('Raw lists'!$B$2:$B$627,MATCH(L6,'Raw lists'!$B$2:$B$627,0))&amp;" | ",""))&amp;IF(M6="","",IFERROR(INDEX('Raw lists'!$B$2:$B$627,MATCH(M6,'Raw lists'!$B$2:$B$627,0))&amp;" | ",""))&amp;IF(N6="","",IFERROR(INDEX('Raw lists'!$B$2:$B$627,MATCH(N6,'Raw lists'!$B$2:$B$627,0))&amp;" | ",""))&amp;IF(O6="","",IFERROR(INDEX('Raw lists'!$B$2:$B$627,MATCH(O6,'Raw lists'!$B$2:$B$627,0))&amp;" | ",""))&amp;IF(P6="","",IFERROR(INDEX('Raw lists'!$B$2:$B$627,MATCH(P6,'Raw lists'!$B$2:$B$627,0))&amp;" | ","")),LEN(IF(K6="","",IFERROR(INDEX('Raw lists'!$B$2:$B$627,MATCH(K6,'Raw lists'!$B$2:$B$627,0))&amp;" | ",""))&amp;IF(L6="","",IFERROR(INDEX('Raw lists'!$B$2:$B$627,MATCH(L6,'Raw lists'!$B$2:$B$627,0))&amp;" | ",""))&amp;IF(M6="","",IFERROR(INDEX('Raw lists'!$B$2:$B$627,MATCH(M6,'Raw lists'!$B$2:$B$627,0))&amp;" | ",""))&amp;IF(N6="","",IFERROR(INDEX('Raw lists'!$B$2:$B$627,MATCH(N6,'Raw lists'!$B$2:$B$627,0))&amp;" | ",""))&amp;IF(O6="","",IFERROR(INDEX('Raw lists'!$B$2:$B$627,MATCH(O6,'Raw lists'!$B$2:$B$627,0))&amp;" | ",""))&amp;IF(P6="","",IFERROR(INDEX('Raw lists'!$B$2:$B$627,MATCH(P6,'Raw lists'!$B$2:$B$627,0))&amp;" | ","")))-3))</f>
        <v>Unpolarized Light</v>
      </c>
      <c r="E6" s="30" t="str">
        <f>IF(LEN(IF(K6="","",IFERROR(INDEX('Raw lists'!$C$2:$C$616,MATCH(K6,'Raw lists'!$C$2:$C$616,0))&amp;" | ",""))&amp;IF(L6="","",IFERROR(INDEX('Raw lists'!$C$2:$C$616,MATCH(L6,'Raw lists'!$C$2:$C$616,0))&amp;" | ",""))&amp;IF(M6="","",IFERROR(INDEX('Raw lists'!$C$2:$C$616,MATCH(M6,'Raw lists'!$C$2:$C$616,0))&amp;" | ",""))&amp;IF(N6="","",IFERROR(INDEX('Raw lists'!$C$2:$C$616,MATCH(N6,'Raw lists'!$C$2:$C$616,0))&amp;" | ",""))&amp;IF(O6="","",IFERROR(INDEX('Raw lists'!$C$2:$C$616,MATCH(O6,'Raw lists'!$C$2:$C$616,0))&amp;" | ",""))&amp;IF(P6="","",IFERROR(INDEX('Raw lists'!$C$2:$C$616,MATCH(P6,'Raw lists'!$C$2:$C$616,0))&amp;" | ","")))=0,"",LEFT(IF(K6="","",IFERROR(INDEX('Raw lists'!$C$2:$C$616,MATCH(K6,'Raw lists'!$C$2:$C$616,0))&amp;" | ",""))&amp;IF(L6="","",IFERROR(INDEX('Raw lists'!$C$2:$C$616,MATCH(L6,'Raw lists'!$C$2:$C$616,0))&amp;" | ",""))&amp;IF(M6="","",IFERROR(INDEX('Raw lists'!$C$2:$C$616,MATCH(M6,'Raw lists'!$C$2:$C$616,0))&amp;" | ",""))&amp;IF(N6="","",IFERROR(INDEX('Raw lists'!$C$2:$C$616,MATCH(N6,'Raw lists'!$C$2:$C$616,0))&amp;" | ",""))&amp;IF(O6="","",IFERROR(INDEX('Raw lists'!$C$2:$C$616,MATCH(O6,'Raw lists'!$C$2:$C$616,0))&amp;" | ",""))&amp;IF(P6="","",IFERROR(INDEX('Raw lists'!$C$2:$C$616,MATCH(P6,'Raw lists'!$C$2:$C$616,0))&amp;" | ","")),LEN(IF(K6="","",IFERROR(INDEX('Raw lists'!$C$2:$C$616,MATCH(K6,'Raw lists'!$C$2:$C$616,0))&amp;" | ",""))&amp;IF(L6="","",IFERROR(INDEX('Raw lists'!$C$2:$C$616,MATCH(L6,'Raw lists'!$C$2:$C$616,0))&amp;" | ",""))&amp;IF(M6="","",IFERROR(INDEX('Raw lists'!$C$2:$C$616,MATCH(M6,'Raw lists'!$C$2:$C$616,0))&amp;" | ",""))&amp;IF(N6="","",IFERROR(INDEX('Raw lists'!$C$2:$C$616,MATCH(N6,'Raw lists'!$C$2:$C$616,0))&amp;" | ",""))&amp;IF(O6="","",IFERROR(INDEX('Raw lists'!$C$2:$C$616,MATCH(O6,'Raw lists'!$C$2:$C$616,0))&amp;" | ",""))&amp;IF(P6="","",IFERROR(INDEX('Raw lists'!$C$2:$C$616,MATCH(P6,'Raw lists'!$C$2:$C$616,0))&amp;" | ","")))-3))</f>
        <v>Un-polarized Light | Un-polarized</v>
      </c>
      <c r="F6" s="28" t="s">
        <v>17</v>
      </c>
      <c r="G6" s="30" t="s">
        <v>39</v>
      </c>
      <c r="H6" s="28">
        <f t="shared" si="0"/>
        <v>3</v>
      </c>
      <c r="I6" s="31" t="str">
        <f t="shared" si="1"/>
        <v>All three</v>
      </c>
      <c r="K6" s="32" t="s">
        <v>40</v>
      </c>
      <c r="L6" s="32" t="s">
        <v>41</v>
      </c>
      <c r="M6" s="32" t="s">
        <v>42</v>
      </c>
      <c r="N6" s="32"/>
      <c r="O6" s="32"/>
      <c r="P6" s="32"/>
      <c r="R6" s="37" t="s">
        <v>43</v>
      </c>
      <c r="T6" s="42" t="s">
        <v>1372</v>
      </c>
      <c r="U6" s="42" t="s">
        <v>2284</v>
      </c>
      <c r="V6" s="42" t="s">
        <v>1375</v>
      </c>
      <c r="W6" s="42" t="s">
        <v>2285</v>
      </c>
      <c r="X6" s="42" t="s">
        <v>2286</v>
      </c>
      <c r="Y6" s="42" t="s">
        <v>2287</v>
      </c>
    </row>
    <row r="7" spans="1:25" ht="26.4" x14ac:dyDescent="0.3">
      <c r="A7" s="28">
        <v>6</v>
      </c>
      <c r="B7" s="29" t="s">
        <v>44</v>
      </c>
      <c r="C7" s="30" t="str">
        <f>IF(LEN(IF(K7="","",IFERROR(INDEX('Raw lists'!$A$2:$A$192,MATCH(K7,'Raw lists'!$A$2:$A$192,0))&amp;" | ",""))&amp;IF(L7="","",IFERROR(INDEX('Raw lists'!$A$2:$A$192,MATCH(L7,'Raw lists'!$A$2:$A$192,0))&amp;" | ",""))&amp;IF(M7="","",IFERROR(INDEX('Raw lists'!$A$2:$A$192,MATCH(M7,'Raw lists'!$A$2:$A$192,0))&amp;" | ",""))&amp;IF(N7="","",IFERROR(INDEX('Raw lists'!$A$2:$A$192,MATCH(N7,'Raw lists'!$A$2:$A$192,0))&amp;" | ",""))&amp;IF(O7="","",IFERROR(INDEX('Raw lists'!$A$2:$A$192,MATCH(O7,'Raw lists'!$A$2:$A$192,0))&amp;" | ",""))&amp;IF(P7="","",IFERROR(INDEX('Raw lists'!$A$2:$A$192,MATCH(P7,'Raw lists'!$A$2:$A$192,0))&amp;" | ","")))=0,"",LEFT(IF(K7="","",IFERROR(INDEX('Raw lists'!$A$2:$A$192,MATCH(K7,'Raw lists'!$A$2:$A$192,0))&amp;" | ",""))&amp;IF(L7="","",IFERROR(INDEX('Raw lists'!$A$2:$A$192,MATCH(L7,'Raw lists'!$A$2:$A$192,0))&amp;" | ",""))&amp;IF(M7="","",IFERROR(INDEX('Raw lists'!$A$2:$A$192,MATCH(M7,'Raw lists'!$A$2:$A$192,0))&amp;" | ",""))&amp;IF(N7="","",IFERROR(INDEX('Raw lists'!$A$2:$A$192,MATCH(N7,'Raw lists'!$A$2:$A$192,0))&amp;" | ",""))&amp;IF(O7="","",IFERROR(INDEX('Raw lists'!$A$2:$A$192,MATCH(O7,'Raw lists'!$A$2:$A$192,0))&amp;" | ",""))&amp;IF(P7="","",IFERROR(INDEX('Raw lists'!$A$2:$A$192,MATCH(P7,'Raw lists'!$A$2:$A$192,0))&amp;" | ","")),LEN(IF(K7="","",IFERROR(INDEX('Raw lists'!$A$2:$A$192,MATCH(K7,'Raw lists'!$A$2:$A$192,0))&amp;" | ",""))&amp;IF(L7="","",IFERROR(INDEX('Raw lists'!$A$2:$A$192,MATCH(L7,'Raw lists'!$A$2:$A$192,0))&amp;" | ",""))&amp;IF(M7="","",IFERROR(INDEX('Raw lists'!$A$2:$A$192,MATCH(M7,'Raw lists'!$A$2:$A$192,0))&amp;" | ",""))&amp;IF(N7="","",IFERROR(INDEX('Raw lists'!$A$2:$A$192,MATCH(N7,'Raw lists'!$A$2:$A$192,0))&amp;" | ",""))&amp;IF(O7="","",IFERROR(INDEX('Raw lists'!$A$2:$A$192,MATCH(O7,'Raw lists'!$A$2:$A$192,0))&amp;" | ",""))&amp;IF(P7="","",IFERROR(INDEX('Raw lists'!$A$2:$A$192,MATCH(P7,'Raw lists'!$A$2:$A$192,0))&amp;" | ","")))-3))</f>
        <v/>
      </c>
      <c r="D7" s="30" t="str">
        <f>IF(LEN(IF(K7="","",IFERROR(INDEX('Raw lists'!$B$2:$B$627,MATCH(K7,'Raw lists'!$B$2:$B$627,0))&amp;" | ",""))&amp;IF(L7="","",IFERROR(INDEX('Raw lists'!$B$2:$B$627,MATCH(L7,'Raw lists'!$B$2:$B$627,0))&amp;" | ",""))&amp;IF(M7="","",IFERROR(INDEX('Raw lists'!$B$2:$B$627,MATCH(M7,'Raw lists'!$B$2:$B$627,0))&amp;" | ",""))&amp;IF(N7="","",IFERROR(INDEX('Raw lists'!$B$2:$B$627,MATCH(N7,'Raw lists'!$B$2:$B$627,0))&amp;" | ",""))&amp;IF(O7="","",IFERROR(INDEX('Raw lists'!$B$2:$B$627,MATCH(O7,'Raw lists'!$B$2:$B$627,0))&amp;" | ",""))&amp;IF(P7="","",IFERROR(INDEX('Raw lists'!$B$2:$B$627,MATCH(P7,'Raw lists'!$B$2:$B$627,0))&amp;" | ","")))=0,"",LEFT(IF(K7="","",IFERROR(INDEX('Raw lists'!$B$2:$B$627,MATCH(K7,'Raw lists'!$B$2:$B$627,0))&amp;" | ",""))&amp;IF(L7="","",IFERROR(INDEX('Raw lists'!$B$2:$B$627,MATCH(L7,'Raw lists'!$B$2:$B$627,0))&amp;" | ",""))&amp;IF(M7="","",IFERROR(INDEX('Raw lists'!$B$2:$B$627,MATCH(M7,'Raw lists'!$B$2:$B$627,0))&amp;" | ",""))&amp;IF(N7="","",IFERROR(INDEX('Raw lists'!$B$2:$B$627,MATCH(N7,'Raw lists'!$B$2:$B$627,0))&amp;" | ",""))&amp;IF(O7="","",IFERROR(INDEX('Raw lists'!$B$2:$B$627,MATCH(O7,'Raw lists'!$B$2:$B$627,0))&amp;" | ",""))&amp;IF(P7="","",IFERROR(INDEX('Raw lists'!$B$2:$B$627,MATCH(P7,'Raw lists'!$B$2:$B$627,0))&amp;" | ","")),LEN(IF(K7="","",IFERROR(INDEX('Raw lists'!$B$2:$B$627,MATCH(K7,'Raw lists'!$B$2:$B$627,0))&amp;" | ",""))&amp;IF(L7="","",IFERROR(INDEX('Raw lists'!$B$2:$B$627,MATCH(L7,'Raw lists'!$B$2:$B$627,0))&amp;" | ",""))&amp;IF(M7="","",IFERROR(INDEX('Raw lists'!$B$2:$B$627,MATCH(M7,'Raw lists'!$B$2:$B$627,0))&amp;" | ",""))&amp;IF(N7="","",IFERROR(INDEX('Raw lists'!$B$2:$B$627,MATCH(N7,'Raw lists'!$B$2:$B$627,0))&amp;" | ",""))&amp;IF(O7="","",IFERROR(INDEX('Raw lists'!$B$2:$B$627,MATCH(O7,'Raw lists'!$B$2:$B$627,0))&amp;" | ",""))&amp;IF(P7="","",IFERROR(INDEX('Raw lists'!$B$2:$B$627,MATCH(P7,'Raw lists'!$B$2:$B$627,0))&amp;" | ","")))-3))</f>
        <v>Electromagnetic Theory</v>
      </c>
      <c r="E7" s="30" t="str">
        <f>IF(LEN(IF(K7="","",IFERROR(INDEX('Raw lists'!$C$2:$C$616,MATCH(K7,'Raw lists'!$C$2:$C$616,0))&amp;" | ",""))&amp;IF(L7="","",IFERROR(INDEX('Raw lists'!$C$2:$C$616,MATCH(L7,'Raw lists'!$C$2:$C$616,0))&amp;" | ",""))&amp;IF(M7="","",IFERROR(INDEX('Raw lists'!$C$2:$C$616,MATCH(M7,'Raw lists'!$C$2:$C$616,0))&amp;" | ",""))&amp;IF(N7="","",IFERROR(INDEX('Raw lists'!$C$2:$C$616,MATCH(N7,'Raw lists'!$C$2:$C$616,0))&amp;" | ",""))&amp;IF(O7="","",IFERROR(INDEX('Raw lists'!$C$2:$C$616,MATCH(O7,'Raw lists'!$C$2:$C$616,0))&amp;" | ",""))&amp;IF(P7="","",IFERROR(INDEX('Raw lists'!$C$2:$C$616,MATCH(P7,'Raw lists'!$C$2:$C$616,0))&amp;" | ","")))=0,"",LEFT(IF(K7="","",IFERROR(INDEX('Raw lists'!$C$2:$C$616,MATCH(K7,'Raw lists'!$C$2:$C$616,0))&amp;" | ",""))&amp;IF(L7="","",IFERROR(INDEX('Raw lists'!$C$2:$C$616,MATCH(L7,'Raw lists'!$C$2:$C$616,0))&amp;" | ",""))&amp;IF(M7="","",IFERROR(INDEX('Raw lists'!$C$2:$C$616,MATCH(M7,'Raw lists'!$C$2:$C$616,0))&amp;" | ",""))&amp;IF(N7="","",IFERROR(INDEX('Raw lists'!$C$2:$C$616,MATCH(N7,'Raw lists'!$C$2:$C$616,0))&amp;" | ",""))&amp;IF(O7="","",IFERROR(INDEX('Raw lists'!$C$2:$C$616,MATCH(O7,'Raw lists'!$C$2:$C$616,0))&amp;" | ",""))&amp;IF(P7="","",IFERROR(INDEX('Raw lists'!$C$2:$C$616,MATCH(P7,'Raw lists'!$C$2:$C$616,0))&amp;" | ","")),LEN(IF(K7="","",IFERROR(INDEX('Raw lists'!$C$2:$C$616,MATCH(K7,'Raw lists'!$C$2:$C$616,0))&amp;" | ",""))&amp;IF(L7="","",IFERROR(INDEX('Raw lists'!$C$2:$C$616,MATCH(L7,'Raw lists'!$C$2:$C$616,0))&amp;" | ",""))&amp;IF(M7="","",IFERROR(INDEX('Raw lists'!$C$2:$C$616,MATCH(M7,'Raw lists'!$C$2:$C$616,0))&amp;" | ",""))&amp;IF(N7="","",IFERROR(INDEX('Raw lists'!$C$2:$C$616,MATCH(N7,'Raw lists'!$C$2:$C$616,0))&amp;" | ",""))&amp;IF(O7="","",IFERROR(INDEX('Raw lists'!$C$2:$C$616,MATCH(O7,'Raw lists'!$C$2:$C$616,0))&amp;" | ",""))&amp;IF(P7="","",IFERROR(INDEX('Raw lists'!$C$2:$C$616,MATCH(P7,'Raw lists'!$C$2:$C$616,0))&amp;" | ","")))-3))</f>
        <v/>
      </c>
      <c r="F7" s="28" t="s">
        <v>17</v>
      </c>
      <c r="G7" s="30" t="s">
        <v>45</v>
      </c>
      <c r="H7" s="28">
        <f t="shared" si="0"/>
        <v>1</v>
      </c>
      <c r="I7" s="31" t="str">
        <f t="shared" si="1"/>
        <v>Only RAKE</v>
      </c>
      <c r="K7" s="32" t="s">
        <v>46</v>
      </c>
      <c r="L7" s="32"/>
      <c r="M7" s="32"/>
      <c r="N7" s="32"/>
      <c r="O7" s="32"/>
      <c r="P7" s="32"/>
      <c r="T7" s="43" t="s">
        <v>1380</v>
      </c>
      <c r="U7" s="44">
        <v>191</v>
      </c>
      <c r="V7" s="45">
        <v>0.42</v>
      </c>
      <c r="W7" s="45">
        <v>0.41</v>
      </c>
      <c r="X7" s="46">
        <v>0.42</v>
      </c>
      <c r="Y7" s="45">
        <v>0.39</v>
      </c>
    </row>
    <row r="8" spans="1:25" ht="79.5" customHeight="1" x14ac:dyDescent="0.3">
      <c r="A8" s="28">
        <v>7</v>
      </c>
      <c r="B8" s="29" t="s">
        <v>47</v>
      </c>
      <c r="C8" s="30" t="str">
        <f>IF(LEN(IF(K8="","",IFERROR(INDEX('Raw lists'!$A$2:$A$192,MATCH(K8,'Raw lists'!$A$2:$A$192,0))&amp;" | ",""))&amp;IF(L8="","",IFERROR(INDEX('Raw lists'!$A$2:$A$192,MATCH(L8,'Raw lists'!$A$2:$A$192,0))&amp;" | ",""))&amp;IF(M8="","",IFERROR(INDEX('Raw lists'!$A$2:$A$192,MATCH(M8,'Raw lists'!$A$2:$A$192,0))&amp;" | ",""))&amp;IF(N8="","",IFERROR(INDEX('Raw lists'!$A$2:$A$192,MATCH(N8,'Raw lists'!$A$2:$A$192,0))&amp;" | ",""))&amp;IF(O8="","",IFERROR(INDEX('Raw lists'!$A$2:$A$192,MATCH(O8,'Raw lists'!$A$2:$A$192,0))&amp;" | ",""))&amp;IF(P8="","",IFERROR(INDEX('Raw lists'!$A$2:$A$192,MATCH(P8,'Raw lists'!$A$2:$A$192,0))&amp;" | ","")))=0,"",LEFT(IF(K8="","",IFERROR(INDEX('Raw lists'!$A$2:$A$192,MATCH(K8,'Raw lists'!$A$2:$A$192,0))&amp;" | ",""))&amp;IF(L8="","",IFERROR(INDEX('Raw lists'!$A$2:$A$192,MATCH(L8,'Raw lists'!$A$2:$A$192,0))&amp;" | ",""))&amp;IF(M8="","",IFERROR(INDEX('Raw lists'!$A$2:$A$192,MATCH(M8,'Raw lists'!$A$2:$A$192,0))&amp;" | ",""))&amp;IF(N8="","",IFERROR(INDEX('Raw lists'!$A$2:$A$192,MATCH(N8,'Raw lists'!$A$2:$A$192,0))&amp;" | ",""))&amp;IF(O8="","",IFERROR(INDEX('Raw lists'!$A$2:$A$192,MATCH(O8,'Raw lists'!$A$2:$A$192,0))&amp;" | ",""))&amp;IF(P8="","",IFERROR(INDEX('Raw lists'!$A$2:$A$192,MATCH(P8,'Raw lists'!$A$2:$A$192,0))&amp;" | ","")),LEN(IF(K8="","",IFERROR(INDEX('Raw lists'!$A$2:$A$192,MATCH(K8,'Raw lists'!$A$2:$A$192,0))&amp;" | ",""))&amp;IF(L8="","",IFERROR(INDEX('Raw lists'!$A$2:$A$192,MATCH(L8,'Raw lists'!$A$2:$A$192,0))&amp;" | ",""))&amp;IF(M8="","",IFERROR(INDEX('Raw lists'!$A$2:$A$192,MATCH(M8,'Raw lists'!$A$2:$A$192,0))&amp;" | ",""))&amp;IF(N8="","",IFERROR(INDEX('Raw lists'!$A$2:$A$192,MATCH(N8,'Raw lists'!$A$2:$A$192,0))&amp;" | ",""))&amp;IF(O8="","",IFERROR(INDEX('Raw lists'!$A$2:$A$192,MATCH(O8,'Raw lists'!$A$2:$A$192,0))&amp;" | ",""))&amp;IF(P8="","",IFERROR(INDEX('Raw lists'!$A$2:$A$192,MATCH(P8,'Raw lists'!$A$2:$A$192,0))&amp;" | ","")))-3))</f>
        <v/>
      </c>
      <c r="D8" s="30" t="str">
        <f>IF(LEN(IF(K8="","",IFERROR(INDEX('Raw lists'!$B$2:$B$627,MATCH(K8,'Raw lists'!$B$2:$B$627,0))&amp;" | ",""))&amp;IF(L8="","",IFERROR(INDEX('Raw lists'!$B$2:$B$627,MATCH(L8,'Raw lists'!$B$2:$B$627,0))&amp;" | ",""))&amp;IF(M8="","",IFERROR(INDEX('Raw lists'!$B$2:$B$627,MATCH(M8,'Raw lists'!$B$2:$B$627,0))&amp;" | ",""))&amp;IF(N8="","",IFERROR(INDEX('Raw lists'!$B$2:$B$627,MATCH(N8,'Raw lists'!$B$2:$B$627,0))&amp;" | ",""))&amp;IF(O8="","",IFERROR(INDEX('Raw lists'!$B$2:$B$627,MATCH(O8,'Raw lists'!$B$2:$B$627,0))&amp;" | ",""))&amp;IF(P8="","",IFERROR(INDEX('Raw lists'!$B$2:$B$627,MATCH(P8,'Raw lists'!$B$2:$B$627,0))&amp;" | ","")))=0,"",LEFT(IF(K8="","",IFERROR(INDEX('Raw lists'!$B$2:$B$627,MATCH(K8,'Raw lists'!$B$2:$B$627,0))&amp;" | ",""))&amp;IF(L8="","",IFERROR(INDEX('Raw lists'!$B$2:$B$627,MATCH(L8,'Raw lists'!$B$2:$B$627,0))&amp;" | ",""))&amp;IF(M8="","",IFERROR(INDEX('Raw lists'!$B$2:$B$627,MATCH(M8,'Raw lists'!$B$2:$B$627,0))&amp;" | ",""))&amp;IF(N8="","",IFERROR(INDEX('Raw lists'!$B$2:$B$627,MATCH(N8,'Raw lists'!$B$2:$B$627,0))&amp;" | ",""))&amp;IF(O8="","",IFERROR(INDEX('Raw lists'!$B$2:$B$627,MATCH(O8,'Raw lists'!$B$2:$B$627,0))&amp;" | ",""))&amp;IF(P8="","",IFERROR(INDEX('Raw lists'!$B$2:$B$627,MATCH(P8,'Raw lists'!$B$2:$B$627,0))&amp;" | ","")),LEN(IF(K8="","",IFERROR(INDEX('Raw lists'!$B$2:$B$627,MATCH(K8,'Raw lists'!$B$2:$B$627,0))&amp;" | ",""))&amp;IF(L8="","",IFERROR(INDEX('Raw lists'!$B$2:$B$627,MATCH(L8,'Raw lists'!$B$2:$B$627,0))&amp;" | ",""))&amp;IF(M8="","",IFERROR(INDEX('Raw lists'!$B$2:$B$627,MATCH(M8,'Raw lists'!$B$2:$B$627,0))&amp;" | ",""))&amp;IF(N8="","",IFERROR(INDEX('Raw lists'!$B$2:$B$627,MATCH(N8,'Raw lists'!$B$2:$B$627,0))&amp;" | ",""))&amp;IF(O8="","",IFERROR(INDEX('Raw lists'!$B$2:$B$627,MATCH(O8,'Raw lists'!$B$2:$B$627,0))&amp;" | ",""))&amp;IF(P8="","",IFERROR(INDEX('Raw lists'!$B$2:$B$627,MATCH(P8,'Raw lists'!$B$2:$B$627,0))&amp;" | ","")))-3))</f>
        <v>Electric Vector | Magnetic Vector | Magnetic Field Vectors</v>
      </c>
      <c r="E8" s="30" t="str">
        <f>IF(LEN(IF(K8="","",IFERROR(INDEX('Raw lists'!$C$2:$C$616,MATCH(K8,'Raw lists'!$C$2:$C$616,0))&amp;" | ",""))&amp;IF(L8="","",IFERROR(INDEX('Raw lists'!$C$2:$C$616,MATCH(L8,'Raw lists'!$C$2:$C$616,0))&amp;" | ",""))&amp;IF(M8="","",IFERROR(INDEX('Raw lists'!$C$2:$C$616,MATCH(M8,'Raw lists'!$C$2:$C$616,0))&amp;" | ",""))&amp;IF(N8="","",IFERROR(INDEX('Raw lists'!$C$2:$C$616,MATCH(N8,'Raw lists'!$C$2:$C$616,0))&amp;" | ",""))&amp;IF(O8="","",IFERROR(INDEX('Raw lists'!$C$2:$C$616,MATCH(O8,'Raw lists'!$C$2:$C$616,0))&amp;" | ",""))&amp;IF(P8="","",IFERROR(INDEX('Raw lists'!$C$2:$C$616,MATCH(P8,'Raw lists'!$C$2:$C$616,0))&amp;" | ","")))=0,"",LEFT(IF(K8="","",IFERROR(INDEX('Raw lists'!$C$2:$C$616,MATCH(K8,'Raw lists'!$C$2:$C$616,0))&amp;" | ",""))&amp;IF(L8="","",IFERROR(INDEX('Raw lists'!$C$2:$C$616,MATCH(L8,'Raw lists'!$C$2:$C$616,0))&amp;" | ",""))&amp;IF(M8="","",IFERROR(INDEX('Raw lists'!$C$2:$C$616,MATCH(M8,'Raw lists'!$C$2:$C$616,0))&amp;" | ",""))&amp;IF(N8="","",IFERROR(INDEX('Raw lists'!$C$2:$C$616,MATCH(N8,'Raw lists'!$C$2:$C$616,0))&amp;" | ",""))&amp;IF(O8="","",IFERROR(INDEX('Raw lists'!$C$2:$C$616,MATCH(O8,'Raw lists'!$C$2:$C$616,0))&amp;" | ",""))&amp;IF(P8="","",IFERROR(INDEX('Raw lists'!$C$2:$C$616,MATCH(P8,'Raw lists'!$C$2:$C$616,0))&amp;" | ","")),LEN(IF(K8="","",IFERROR(INDEX('Raw lists'!$C$2:$C$616,MATCH(K8,'Raw lists'!$C$2:$C$616,0))&amp;" | ",""))&amp;IF(L8="","",IFERROR(INDEX('Raw lists'!$C$2:$C$616,MATCH(L8,'Raw lists'!$C$2:$C$616,0))&amp;" | ",""))&amp;IF(M8="","",IFERROR(INDEX('Raw lists'!$C$2:$C$616,MATCH(M8,'Raw lists'!$C$2:$C$616,0))&amp;" | ",""))&amp;IF(N8="","",IFERROR(INDEX('Raw lists'!$C$2:$C$616,MATCH(N8,'Raw lists'!$C$2:$C$616,0))&amp;" | ",""))&amp;IF(O8="","",IFERROR(INDEX('Raw lists'!$C$2:$C$616,MATCH(O8,'Raw lists'!$C$2:$C$616,0))&amp;" | ",""))&amp;IF(P8="","",IFERROR(INDEX('Raw lists'!$C$2:$C$616,MATCH(P8,'Raw lists'!$C$2:$C$616,0))&amp;" | ","")))-3))</f>
        <v/>
      </c>
      <c r="F8" s="28" t="s">
        <v>17</v>
      </c>
      <c r="G8" s="30" t="s">
        <v>48</v>
      </c>
      <c r="H8" s="28">
        <f t="shared" si="0"/>
        <v>1</v>
      </c>
      <c r="I8" s="31" t="str">
        <f t="shared" si="1"/>
        <v>Only RAKE</v>
      </c>
      <c r="K8" s="32" t="s">
        <v>49</v>
      </c>
      <c r="L8" s="32" t="s">
        <v>50</v>
      </c>
      <c r="M8" s="32" t="s">
        <v>51</v>
      </c>
      <c r="N8" s="32"/>
      <c r="O8" s="32"/>
      <c r="P8" s="32"/>
      <c r="R8" s="37" t="s">
        <v>52</v>
      </c>
      <c r="T8" s="43" t="s">
        <v>1382</v>
      </c>
      <c r="U8" s="44">
        <v>615</v>
      </c>
      <c r="V8" s="45">
        <v>0.27</v>
      </c>
      <c r="W8" s="45">
        <v>0.71</v>
      </c>
      <c r="X8" s="47">
        <v>0.39</v>
      </c>
      <c r="Y8" s="45">
        <v>0.74</v>
      </c>
    </row>
    <row r="9" spans="1:25" ht="26.4" x14ac:dyDescent="0.3">
      <c r="A9" s="28">
        <v>8</v>
      </c>
      <c r="B9" s="29" t="s">
        <v>53</v>
      </c>
      <c r="C9" s="30" t="str">
        <f>IF(LEN(IF(K9="","",IFERROR(INDEX('Raw lists'!$A$2:$A$192,MATCH(K9,'Raw lists'!$A$2:$A$192,0))&amp;" | ",""))&amp;IF(L9="","",IFERROR(INDEX('Raw lists'!$A$2:$A$192,MATCH(L9,'Raw lists'!$A$2:$A$192,0))&amp;" | ",""))&amp;IF(M9="","",IFERROR(INDEX('Raw lists'!$A$2:$A$192,MATCH(M9,'Raw lists'!$A$2:$A$192,0))&amp;" | ",""))&amp;IF(N9="","",IFERROR(INDEX('Raw lists'!$A$2:$A$192,MATCH(N9,'Raw lists'!$A$2:$A$192,0))&amp;" | ",""))&amp;IF(O9="","",IFERROR(INDEX('Raw lists'!$A$2:$A$192,MATCH(O9,'Raw lists'!$A$2:$A$192,0))&amp;" | ",""))&amp;IF(P9="","",IFERROR(INDEX('Raw lists'!$A$2:$A$192,MATCH(P9,'Raw lists'!$A$2:$A$192,0))&amp;" | ","")))=0,"",LEFT(IF(K9="","",IFERROR(INDEX('Raw lists'!$A$2:$A$192,MATCH(K9,'Raw lists'!$A$2:$A$192,0))&amp;" | ",""))&amp;IF(L9="","",IFERROR(INDEX('Raw lists'!$A$2:$A$192,MATCH(L9,'Raw lists'!$A$2:$A$192,0))&amp;" | ",""))&amp;IF(M9="","",IFERROR(INDEX('Raw lists'!$A$2:$A$192,MATCH(M9,'Raw lists'!$A$2:$A$192,0))&amp;" | ",""))&amp;IF(N9="","",IFERROR(INDEX('Raw lists'!$A$2:$A$192,MATCH(N9,'Raw lists'!$A$2:$A$192,0))&amp;" | ",""))&amp;IF(O9="","",IFERROR(INDEX('Raw lists'!$A$2:$A$192,MATCH(O9,'Raw lists'!$A$2:$A$192,0))&amp;" | ",""))&amp;IF(P9="","",IFERROR(INDEX('Raw lists'!$A$2:$A$192,MATCH(P9,'Raw lists'!$A$2:$A$192,0))&amp;" | ","")),LEN(IF(K9="","",IFERROR(INDEX('Raw lists'!$A$2:$A$192,MATCH(K9,'Raw lists'!$A$2:$A$192,0))&amp;" | ",""))&amp;IF(L9="","",IFERROR(INDEX('Raw lists'!$A$2:$A$192,MATCH(L9,'Raw lists'!$A$2:$A$192,0))&amp;" | ",""))&amp;IF(M9="","",IFERROR(INDEX('Raw lists'!$A$2:$A$192,MATCH(M9,'Raw lists'!$A$2:$A$192,0))&amp;" | ",""))&amp;IF(N9="","",IFERROR(INDEX('Raw lists'!$A$2:$A$192,MATCH(N9,'Raw lists'!$A$2:$A$192,0))&amp;" | ",""))&amp;IF(O9="","",IFERROR(INDEX('Raw lists'!$A$2:$A$192,MATCH(O9,'Raw lists'!$A$2:$A$192,0))&amp;" | ",""))&amp;IF(P9="","",IFERROR(INDEX('Raw lists'!$A$2:$A$192,MATCH(P9,'Raw lists'!$A$2:$A$192,0))&amp;" | ","")))-3))</f>
        <v/>
      </c>
      <c r="D9" s="30" t="str">
        <f>IF(LEN(IF(K9="","",IFERROR(INDEX('Raw lists'!$B$2:$B$627,MATCH(K9,'Raw lists'!$B$2:$B$627,0))&amp;" | ",""))&amp;IF(L9="","",IFERROR(INDEX('Raw lists'!$B$2:$B$627,MATCH(L9,'Raw lists'!$B$2:$B$627,0))&amp;" | ",""))&amp;IF(M9="","",IFERROR(INDEX('Raw lists'!$B$2:$B$627,MATCH(M9,'Raw lists'!$B$2:$B$627,0))&amp;" | ",""))&amp;IF(N9="","",IFERROR(INDEX('Raw lists'!$B$2:$B$627,MATCH(N9,'Raw lists'!$B$2:$B$627,0))&amp;" | ",""))&amp;IF(O9="","",IFERROR(INDEX('Raw lists'!$B$2:$B$627,MATCH(O9,'Raw lists'!$B$2:$B$627,0))&amp;" | ",""))&amp;IF(P9="","",IFERROR(INDEX('Raw lists'!$B$2:$B$627,MATCH(P9,'Raw lists'!$B$2:$B$627,0))&amp;" | ","")))=0,"",LEFT(IF(K9="","",IFERROR(INDEX('Raw lists'!$B$2:$B$627,MATCH(K9,'Raw lists'!$B$2:$B$627,0))&amp;" | ",""))&amp;IF(L9="","",IFERROR(INDEX('Raw lists'!$B$2:$B$627,MATCH(L9,'Raw lists'!$B$2:$B$627,0))&amp;" | ",""))&amp;IF(M9="","",IFERROR(INDEX('Raw lists'!$B$2:$B$627,MATCH(M9,'Raw lists'!$B$2:$B$627,0))&amp;" | ",""))&amp;IF(N9="","",IFERROR(INDEX('Raw lists'!$B$2:$B$627,MATCH(N9,'Raw lists'!$B$2:$B$627,0))&amp;" | ",""))&amp;IF(O9="","",IFERROR(INDEX('Raw lists'!$B$2:$B$627,MATCH(O9,'Raw lists'!$B$2:$B$627,0))&amp;" | ",""))&amp;IF(P9="","",IFERROR(INDEX('Raw lists'!$B$2:$B$627,MATCH(P9,'Raw lists'!$B$2:$B$627,0))&amp;" | ","")),LEN(IF(K9="","",IFERROR(INDEX('Raw lists'!$B$2:$B$627,MATCH(K9,'Raw lists'!$B$2:$B$627,0))&amp;" | ",""))&amp;IF(L9="","",IFERROR(INDEX('Raw lists'!$B$2:$B$627,MATCH(L9,'Raw lists'!$B$2:$B$627,0))&amp;" | ",""))&amp;IF(M9="","",IFERROR(INDEX('Raw lists'!$B$2:$B$627,MATCH(M9,'Raw lists'!$B$2:$B$627,0))&amp;" | ",""))&amp;IF(N9="","",IFERROR(INDEX('Raw lists'!$B$2:$B$627,MATCH(N9,'Raw lists'!$B$2:$B$627,0))&amp;" | ",""))&amp;IF(O9="","",IFERROR(INDEX('Raw lists'!$B$2:$B$627,MATCH(O9,'Raw lists'!$B$2:$B$627,0))&amp;" | ",""))&amp;IF(P9="","",IFERROR(INDEX('Raw lists'!$B$2:$B$627,MATCH(P9,'Raw lists'!$B$2:$B$627,0))&amp;" | ","")))-3))</f>
        <v>Tourmaline | Single Tourmaline Crystal</v>
      </c>
      <c r="E9" s="30" t="str">
        <f>IF(LEN(IF(K9="","",IFERROR(INDEX('Raw lists'!$C$2:$C$616,MATCH(K9,'Raw lists'!$C$2:$C$616,0))&amp;" | ",""))&amp;IF(L9="","",IFERROR(INDEX('Raw lists'!$C$2:$C$616,MATCH(L9,'Raw lists'!$C$2:$C$616,0))&amp;" | ",""))&amp;IF(M9="","",IFERROR(INDEX('Raw lists'!$C$2:$C$616,MATCH(M9,'Raw lists'!$C$2:$C$616,0))&amp;" | ",""))&amp;IF(N9="","",IFERROR(INDEX('Raw lists'!$C$2:$C$616,MATCH(N9,'Raw lists'!$C$2:$C$616,0))&amp;" | ",""))&amp;IF(O9="","",IFERROR(INDEX('Raw lists'!$C$2:$C$616,MATCH(O9,'Raw lists'!$C$2:$C$616,0))&amp;" | ",""))&amp;IF(P9="","",IFERROR(INDEX('Raw lists'!$C$2:$C$616,MATCH(P9,'Raw lists'!$C$2:$C$616,0))&amp;" | ","")))=0,"",LEFT(IF(K9="","",IFERROR(INDEX('Raw lists'!$C$2:$C$616,MATCH(K9,'Raw lists'!$C$2:$C$616,0))&amp;" | ",""))&amp;IF(L9="","",IFERROR(INDEX('Raw lists'!$C$2:$C$616,MATCH(L9,'Raw lists'!$C$2:$C$616,0))&amp;" | ",""))&amp;IF(M9="","",IFERROR(INDEX('Raw lists'!$C$2:$C$616,MATCH(M9,'Raw lists'!$C$2:$C$616,0))&amp;" | ",""))&amp;IF(N9="","",IFERROR(INDEX('Raw lists'!$C$2:$C$616,MATCH(N9,'Raw lists'!$C$2:$C$616,0))&amp;" | ",""))&amp;IF(O9="","",IFERROR(INDEX('Raw lists'!$C$2:$C$616,MATCH(O9,'Raw lists'!$C$2:$C$616,0))&amp;" | ",""))&amp;IF(P9="","",IFERROR(INDEX('Raw lists'!$C$2:$C$616,MATCH(P9,'Raw lists'!$C$2:$C$616,0))&amp;" | ","")),LEN(IF(K9="","",IFERROR(INDEX('Raw lists'!$C$2:$C$616,MATCH(K9,'Raw lists'!$C$2:$C$616,0))&amp;" | ",""))&amp;IF(L9="","",IFERROR(INDEX('Raw lists'!$C$2:$C$616,MATCH(L9,'Raw lists'!$C$2:$C$616,0))&amp;" | ",""))&amp;IF(M9="","",IFERROR(INDEX('Raw lists'!$C$2:$C$616,MATCH(M9,'Raw lists'!$C$2:$C$616,0))&amp;" | ",""))&amp;IF(N9="","",IFERROR(INDEX('Raw lists'!$C$2:$C$616,MATCH(N9,'Raw lists'!$C$2:$C$616,0))&amp;" | ",""))&amp;IF(O9="","",IFERROR(INDEX('Raw lists'!$C$2:$C$616,MATCH(O9,'Raw lists'!$C$2:$C$616,0))&amp;" | ",""))&amp;IF(P9="","",IFERROR(INDEX('Raw lists'!$C$2:$C$616,MATCH(P9,'Raw lists'!$C$2:$C$616,0))&amp;" | ","")))-3))</f>
        <v/>
      </c>
      <c r="F9" s="28" t="s">
        <v>54</v>
      </c>
      <c r="G9" s="30" t="s">
        <v>55</v>
      </c>
      <c r="H9" s="28">
        <f t="shared" si="0"/>
        <v>1</v>
      </c>
      <c r="I9" s="31" t="str">
        <f t="shared" si="1"/>
        <v>Only RAKE</v>
      </c>
      <c r="K9" s="32" t="s">
        <v>56</v>
      </c>
      <c r="L9" s="32" t="s">
        <v>57</v>
      </c>
      <c r="M9" s="32"/>
      <c r="N9" s="32"/>
      <c r="O9" s="32"/>
      <c r="P9" s="32"/>
      <c r="T9" s="43" t="s">
        <v>1381</v>
      </c>
      <c r="U9" s="44">
        <v>626</v>
      </c>
      <c r="V9" s="45">
        <v>0.24</v>
      </c>
      <c r="W9" s="45">
        <v>0.7</v>
      </c>
      <c r="X9" s="48">
        <v>0.36</v>
      </c>
      <c r="Y9" s="45">
        <v>0.7</v>
      </c>
    </row>
    <row r="10" spans="1:25" ht="26.4" x14ac:dyDescent="0.3">
      <c r="A10" s="28">
        <v>9</v>
      </c>
      <c r="B10" s="29" t="s">
        <v>58</v>
      </c>
      <c r="C10" s="30" t="str">
        <f>IF(LEN(IF(K10="","",IFERROR(INDEX('Raw lists'!$A$2:$A$192,MATCH(K10,'Raw lists'!$A$2:$A$192,0))&amp;" | ",""))&amp;IF(L10="","",IFERROR(INDEX('Raw lists'!$A$2:$A$192,MATCH(L10,'Raw lists'!$A$2:$A$192,0))&amp;" | ",""))&amp;IF(M10="","",IFERROR(INDEX('Raw lists'!$A$2:$A$192,MATCH(M10,'Raw lists'!$A$2:$A$192,0))&amp;" | ",""))&amp;IF(N10="","",IFERROR(INDEX('Raw lists'!$A$2:$A$192,MATCH(N10,'Raw lists'!$A$2:$A$192,0))&amp;" | ",""))&amp;IF(O10="","",IFERROR(INDEX('Raw lists'!$A$2:$A$192,MATCH(O10,'Raw lists'!$A$2:$A$192,0))&amp;" | ",""))&amp;IF(P10="","",IFERROR(INDEX('Raw lists'!$A$2:$A$192,MATCH(P10,'Raw lists'!$A$2:$A$192,0))&amp;" | ","")))=0,"",LEFT(IF(K10="","",IFERROR(INDEX('Raw lists'!$A$2:$A$192,MATCH(K10,'Raw lists'!$A$2:$A$192,0))&amp;" | ",""))&amp;IF(L10="","",IFERROR(INDEX('Raw lists'!$A$2:$A$192,MATCH(L10,'Raw lists'!$A$2:$A$192,0))&amp;" | ",""))&amp;IF(M10="","",IFERROR(INDEX('Raw lists'!$A$2:$A$192,MATCH(M10,'Raw lists'!$A$2:$A$192,0))&amp;" | ",""))&amp;IF(N10="","",IFERROR(INDEX('Raw lists'!$A$2:$A$192,MATCH(N10,'Raw lists'!$A$2:$A$192,0))&amp;" | ",""))&amp;IF(O10="","",IFERROR(INDEX('Raw lists'!$A$2:$A$192,MATCH(O10,'Raw lists'!$A$2:$A$192,0))&amp;" | ",""))&amp;IF(P10="","",IFERROR(INDEX('Raw lists'!$A$2:$A$192,MATCH(P10,'Raw lists'!$A$2:$A$192,0))&amp;" | ","")),LEN(IF(K10="","",IFERROR(INDEX('Raw lists'!$A$2:$A$192,MATCH(K10,'Raw lists'!$A$2:$A$192,0))&amp;" | ",""))&amp;IF(L10="","",IFERROR(INDEX('Raw lists'!$A$2:$A$192,MATCH(L10,'Raw lists'!$A$2:$A$192,0))&amp;" | ",""))&amp;IF(M10="","",IFERROR(INDEX('Raw lists'!$A$2:$A$192,MATCH(M10,'Raw lists'!$A$2:$A$192,0))&amp;" | ",""))&amp;IF(N10="","",IFERROR(INDEX('Raw lists'!$A$2:$A$192,MATCH(N10,'Raw lists'!$A$2:$A$192,0))&amp;" | ",""))&amp;IF(O10="","",IFERROR(INDEX('Raw lists'!$A$2:$A$192,MATCH(O10,'Raw lists'!$A$2:$A$192,0))&amp;" | ",""))&amp;IF(P10="","",IFERROR(INDEX('Raw lists'!$A$2:$A$192,MATCH(P10,'Raw lists'!$A$2:$A$192,0))&amp;" | ","")))-3))</f>
        <v>Principal Section</v>
      </c>
      <c r="D10" s="30" t="str">
        <f>IF(LEN(IF(K10="","",IFERROR(INDEX('Raw lists'!$B$2:$B$627,MATCH(K10,'Raw lists'!$B$2:$B$627,0))&amp;" | ",""))&amp;IF(L10="","",IFERROR(INDEX('Raw lists'!$B$2:$B$627,MATCH(L10,'Raw lists'!$B$2:$B$627,0))&amp;" | ",""))&amp;IF(M10="","",IFERROR(INDEX('Raw lists'!$B$2:$B$627,MATCH(M10,'Raw lists'!$B$2:$B$627,0))&amp;" | ",""))&amp;IF(N10="","",IFERROR(INDEX('Raw lists'!$B$2:$B$627,MATCH(N10,'Raw lists'!$B$2:$B$627,0))&amp;" | ",""))&amp;IF(O10="","",IFERROR(INDEX('Raw lists'!$B$2:$B$627,MATCH(O10,'Raw lists'!$B$2:$B$627,0))&amp;" | ",""))&amp;IF(P10="","",IFERROR(INDEX('Raw lists'!$B$2:$B$627,MATCH(P10,'Raw lists'!$B$2:$B$627,0))&amp;" | ","")))=0,"",LEFT(IF(K10="","",IFERROR(INDEX('Raw lists'!$B$2:$B$627,MATCH(K10,'Raw lists'!$B$2:$B$627,0))&amp;" | ",""))&amp;IF(L10="","",IFERROR(INDEX('Raw lists'!$B$2:$B$627,MATCH(L10,'Raw lists'!$B$2:$B$627,0))&amp;" | ",""))&amp;IF(M10="","",IFERROR(INDEX('Raw lists'!$B$2:$B$627,MATCH(M10,'Raw lists'!$B$2:$B$627,0))&amp;" | ",""))&amp;IF(N10="","",IFERROR(INDEX('Raw lists'!$B$2:$B$627,MATCH(N10,'Raw lists'!$B$2:$B$627,0))&amp;" | ",""))&amp;IF(O10="","",IFERROR(INDEX('Raw lists'!$B$2:$B$627,MATCH(O10,'Raw lists'!$B$2:$B$627,0))&amp;" | ",""))&amp;IF(P10="","",IFERROR(INDEX('Raw lists'!$B$2:$B$627,MATCH(P10,'Raw lists'!$B$2:$B$627,0))&amp;" | ","")),LEN(IF(K10="","",IFERROR(INDEX('Raw lists'!$B$2:$B$627,MATCH(K10,'Raw lists'!$B$2:$B$627,0))&amp;" | ",""))&amp;IF(L10="","",IFERROR(INDEX('Raw lists'!$B$2:$B$627,MATCH(L10,'Raw lists'!$B$2:$B$627,0))&amp;" | ",""))&amp;IF(M10="","",IFERROR(INDEX('Raw lists'!$B$2:$B$627,MATCH(M10,'Raw lists'!$B$2:$B$627,0))&amp;" | ",""))&amp;IF(N10="","",IFERROR(INDEX('Raw lists'!$B$2:$B$627,MATCH(N10,'Raw lists'!$B$2:$B$627,0))&amp;" | ",""))&amp;IF(O10="","",IFERROR(INDEX('Raw lists'!$B$2:$B$627,MATCH(O10,'Raw lists'!$B$2:$B$627,0))&amp;" | ",""))&amp;IF(P10="","",IFERROR(INDEX('Raw lists'!$B$2:$B$627,MATCH(P10,'Raw lists'!$B$2:$B$627,0))&amp;" | ","")))-3))</f>
        <v>Principal Section</v>
      </c>
      <c r="E10" s="30" t="str">
        <f>IF(LEN(IF(K10="","",IFERROR(INDEX('Raw lists'!$C$2:$C$616,MATCH(K10,'Raw lists'!$C$2:$C$616,0))&amp;" | ",""))&amp;IF(L10="","",IFERROR(INDEX('Raw lists'!$C$2:$C$616,MATCH(L10,'Raw lists'!$C$2:$C$616,0))&amp;" | ",""))&amp;IF(M10="","",IFERROR(INDEX('Raw lists'!$C$2:$C$616,MATCH(M10,'Raw lists'!$C$2:$C$616,0))&amp;" | ",""))&amp;IF(N10="","",IFERROR(INDEX('Raw lists'!$C$2:$C$616,MATCH(N10,'Raw lists'!$C$2:$C$616,0))&amp;" | ",""))&amp;IF(O10="","",IFERROR(INDEX('Raw lists'!$C$2:$C$616,MATCH(O10,'Raw lists'!$C$2:$C$616,0))&amp;" | ",""))&amp;IF(P10="","",IFERROR(INDEX('Raw lists'!$C$2:$C$616,MATCH(P10,'Raw lists'!$C$2:$C$616,0))&amp;" | ","")))=0,"",LEFT(IF(K10="","",IFERROR(INDEX('Raw lists'!$C$2:$C$616,MATCH(K10,'Raw lists'!$C$2:$C$616,0))&amp;" | ",""))&amp;IF(L10="","",IFERROR(INDEX('Raw lists'!$C$2:$C$616,MATCH(L10,'Raw lists'!$C$2:$C$616,0))&amp;" | ",""))&amp;IF(M10="","",IFERROR(INDEX('Raw lists'!$C$2:$C$616,MATCH(M10,'Raw lists'!$C$2:$C$616,0))&amp;" | ",""))&amp;IF(N10="","",IFERROR(INDEX('Raw lists'!$C$2:$C$616,MATCH(N10,'Raw lists'!$C$2:$C$616,0))&amp;" | ",""))&amp;IF(O10="","",IFERROR(INDEX('Raw lists'!$C$2:$C$616,MATCH(O10,'Raw lists'!$C$2:$C$616,0))&amp;" | ",""))&amp;IF(P10="","",IFERROR(INDEX('Raw lists'!$C$2:$C$616,MATCH(P10,'Raw lists'!$C$2:$C$616,0))&amp;" | ","")),LEN(IF(K10="","",IFERROR(INDEX('Raw lists'!$C$2:$C$616,MATCH(K10,'Raw lists'!$C$2:$C$616,0))&amp;" | ",""))&amp;IF(L10="","",IFERROR(INDEX('Raw lists'!$C$2:$C$616,MATCH(L10,'Raw lists'!$C$2:$C$616,0))&amp;" | ",""))&amp;IF(M10="","",IFERROR(INDEX('Raw lists'!$C$2:$C$616,MATCH(M10,'Raw lists'!$C$2:$C$616,0))&amp;" | ",""))&amp;IF(N10="","",IFERROR(INDEX('Raw lists'!$C$2:$C$616,MATCH(N10,'Raw lists'!$C$2:$C$616,0))&amp;" | ",""))&amp;IF(O10="","",IFERROR(INDEX('Raw lists'!$C$2:$C$616,MATCH(O10,'Raw lists'!$C$2:$C$616,0))&amp;" | ",""))&amp;IF(P10="","",IFERROR(INDEX('Raw lists'!$C$2:$C$616,MATCH(P10,'Raw lists'!$C$2:$C$616,0))&amp;" | ","")))-3))</f>
        <v>Principal Section</v>
      </c>
      <c r="F10" s="28" t="s">
        <v>17</v>
      </c>
      <c r="G10" s="30" t="s">
        <v>59</v>
      </c>
      <c r="H10" s="28">
        <f t="shared" si="0"/>
        <v>3</v>
      </c>
      <c r="I10" s="31" t="str">
        <f t="shared" si="1"/>
        <v>All three</v>
      </c>
      <c r="K10" s="32" t="s">
        <v>60</v>
      </c>
      <c r="L10" s="32"/>
      <c r="M10" s="32"/>
      <c r="N10" s="32"/>
      <c r="O10" s="32"/>
      <c r="P10" s="32"/>
    </row>
    <row r="11" spans="1:25" ht="39.6" x14ac:dyDescent="0.3">
      <c r="A11" s="28">
        <v>10</v>
      </c>
      <c r="B11" s="29" t="s">
        <v>61</v>
      </c>
      <c r="C11" s="30" t="str">
        <f>IF(LEN(IF(K11="","",IFERROR(INDEX('Raw lists'!$A$2:$A$192,MATCH(K11,'Raw lists'!$A$2:$A$192,0))&amp;" | ",""))&amp;IF(L11="","",IFERROR(INDEX('Raw lists'!$A$2:$A$192,MATCH(L11,'Raw lists'!$A$2:$A$192,0))&amp;" | ",""))&amp;IF(M11="","",IFERROR(INDEX('Raw lists'!$A$2:$A$192,MATCH(M11,'Raw lists'!$A$2:$A$192,0))&amp;" | ",""))&amp;IF(N11="","",IFERROR(INDEX('Raw lists'!$A$2:$A$192,MATCH(N11,'Raw lists'!$A$2:$A$192,0))&amp;" | ",""))&amp;IF(O11="","",IFERROR(INDEX('Raw lists'!$A$2:$A$192,MATCH(O11,'Raw lists'!$A$2:$A$192,0))&amp;" | ",""))&amp;IF(P11="","",IFERROR(INDEX('Raw lists'!$A$2:$A$192,MATCH(P11,'Raw lists'!$A$2:$A$192,0))&amp;" | ","")))=0,"",LEFT(IF(K11="","",IFERROR(INDEX('Raw lists'!$A$2:$A$192,MATCH(K11,'Raw lists'!$A$2:$A$192,0))&amp;" | ",""))&amp;IF(L11="","",IFERROR(INDEX('Raw lists'!$A$2:$A$192,MATCH(L11,'Raw lists'!$A$2:$A$192,0))&amp;" | ",""))&amp;IF(M11="","",IFERROR(INDEX('Raw lists'!$A$2:$A$192,MATCH(M11,'Raw lists'!$A$2:$A$192,0))&amp;" | ",""))&amp;IF(N11="","",IFERROR(INDEX('Raw lists'!$A$2:$A$192,MATCH(N11,'Raw lists'!$A$2:$A$192,0))&amp;" | ",""))&amp;IF(O11="","",IFERROR(INDEX('Raw lists'!$A$2:$A$192,MATCH(O11,'Raw lists'!$A$2:$A$192,0))&amp;" | ",""))&amp;IF(P11="","",IFERROR(INDEX('Raw lists'!$A$2:$A$192,MATCH(P11,'Raw lists'!$A$2:$A$192,0))&amp;" | ","")),LEN(IF(K11="","",IFERROR(INDEX('Raw lists'!$A$2:$A$192,MATCH(K11,'Raw lists'!$A$2:$A$192,0))&amp;" | ",""))&amp;IF(L11="","",IFERROR(INDEX('Raw lists'!$A$2:$A$192,MATCH(L11,'Raw lists'!$A$2:$A$192,0))&amp;" | ",""))&amp;IF(M11="","",IFERROR(INDEX('Raw lists'!$A$2:$A$192,MATCH(M11,'Raw lists'!$A$2:$A$192,0))&amp;" | ",""))&amp;IF(N11="","",IFERROR(INDEX('Raw lists'!$A$2:$A$192,MATCH(N11,'Raw lists'!$A$2:$A$192,0))&amp;" | ",""))&amp;IF(O11="","",IFERROR(INDEX('Raw lists'!$A$2:$A$192,MATCH(O11,'Raw lists'!$A$2:$A$192,0))&amp;" | ",""))&amp;IF(P11="","",IFERROR(INDEX('Raw lists'!$A$2:$A$192,MATCH(P11,'Raw lists'!$A$2:$A$192,0))&amp;" | ","")))-3))</f>
        <v>Principal Plane Of The Ordinary Ray | Principal Plane Of The Extraordinary Ray</v>
      </c>
      <c r="D11" s="30" t="str">
        <f>IF(LEN(IF(K11="","",IFERROR(INDEX('Raw lists'!$B$2:$B$627,MATCH(K11,'Raw lists'!$B$2:$B$627,0))&amp;" | ",""))&amp;IF(L11="","",IFERROR(INDEX('Raw lists'!$B$2:$B$627,MATCH(L11,'Raw lists'!$B$2:$B$627,0))&amp;" | ",""))&amp;IF(M11="","",IFERROR(INDEX('Raw lists'!$B$2:$B$627,MATCH(M11,'Raw lists'!$B$2:$B$627,0))&amp;" | ",""))&amp;IF(N11="","",IFERROR(INDEX('Raw lists'!$B$2:$B$627,MATCH(N11,'Raw lists'!$B$2:$B$627,0))&amp;" | ",""))&amp;IF(O11="","",IFERROR(INDEX('Raw lists'!$B$2:$B$627,MATCH(O11,'Raw lists'!$B$2:$B$627,0))&amp;" | ",""))&amp;IF(P11="","",IFERROR(INDEX('Raw lists'!$B$2:$B$627,MATCH(P11,'Raw lists'!$B$2:$B$627,0))&amp;" | ","")))=0,"",LEFT(IF(K11="","",IFERROR(INDEX('Raw lists'!$B$2:$B$627,MATCH(K11,'Raw lists'!$B$2:$B$627,0))&amp;" | ",""))&amp;IF(L11="","",IFERROR(INDEX('Raw lists'!$B$2:$B$627,MATCH(L11,'Raw lists'!$B$2:$B$627,0))&amp;" | ",""))&amp;IF(M11="","",IFERROR(INDEX('Raw lists'!$B$2:$B$627,MATCH(M11,'Raw lists'!$B$2:$B$627,0))&amp;" | ",""))&amp;IF(N11="","",IFERROR(INDEX('Raw lists'!$B$2:$B$627,MATCH(N11,'Raw lists'!$B$2:$B$627,0))&amp;" | ",""))&amp;IF(O11="","",IFERROR(INDEX('Raw lists'!$B$2:$B$627,MATCH(O11,'Raw lists'!$B$2:$B$627,0))&amp;" | ",""))&amp;IF(P11="","",IFERROR(INDEX('Raw lists'!$B$2:$B$627,MATCH(P11,'Raw lists'!$B$2:$B$627,0))&amp;" | ","")),LEN(IF(K11="","",IFERROR(INDEX('Raw lists'!$B$2:$B$627,MATCH(K11,'Raw lists'!$B$2:$B$627,0))&amp;" | ",""))&amp;IF(L11="","",IFERROR(INDEX('Raw lists'!$B$2:$B$627,MATCH(L11,'Raw lists'!$B$2:$B$627,0))&amp;" | ",""))&amp;IF(M11="","",IFERROR(INDEX('Raw lists'!$B$2:$B$627,MATCH(M11,'Raw lists'!$B$2:$B$627,0))&amp;" | ",""))&amp;IF(N11="","",IFERROR(INDEX('Raw lists'!$B$2:$B$627,MATCH(N11,'Raw lists'!$B$2:$B$627,0))&amp;" | ",""))&amp;IF(O11="","",IFERROR(INDEX('Raw lists'!$B$2:$B$627,MATCH(O11,'Raw lists'!$B$2:$B$627,0))&amp;" | ",""))&amp;IF(P11="","",IFERROR(INDEX('Raw lists'!$B$2:$B$627,MATCH(P11,'Raw lists'!$B$2:$B$627,0))&amp;" | ","")))-3))</f>
        <v>Principal Plane</v>
      </c>
      <c r="E11" s="30" t="str">
        <f>IF(LEN(IF(K11="","",IFERROR(INDEX('Raw lists'!$C$2:$C$616,MATCH(K11,'Raw lists'!$C$2:$C$616,0))&amp;" | ",""))&amp;IF(L11="","",IFERROR(INDEX('Raw lists'!$C$2:$C$616,MATCH(L11,'Raw lists'!$C$2:$C$616,0))&amp;" | ",""))&amp;IF(M11="","",IFERROR(INDEX('Raw lists'!$C$2:$C$616,MATCH(M11,'Raw lists'!$C$2:$C$616,0))&amp;" | ",""))&amp;IF(N11="","",IFERROR(INDEX('Raw lists'!$C$2:$C$616,MATCH(N11,'Raw lists'!$C$2:$C$616,0))&amp;" | ",""))&amp;IF(O11="","",IFERROR(INDEX('Raw lists'!$C$2:$C$616,MATCH(O11,'Raw lists'!$C$2:$C$616,0))&amp;" | ",""))&amp;IF(P11="","",IFERROR(INDEX('Raw lists'!$C$2:$C$616,MATCH(P11,'Raw lists'!$C$2:$C$616,0))&amp;" | ","")))=0,"",LEFT(IF(K11="","",IFERROR(INDEX('Raw lists'!$C$2:$C$616,MATCH(K11,'Raw lists'!$C$2:$C$616,0))&amp;" | ",""))&amp;IF(L11="","",IFERROR(INDEX('Raw lists'!$C$2:$C$616,MATCH(L11,'Raw lists'!$C$2:$C$616,0))&amp;" | ",""))&amp;IF(M11="","",IFERROR(INDEX('Raw lists'!$C$2:$C$616,MATCH(M11,'Raw lists'!$C$2:$C$616,0))&amp;" | ",""))&amp;IF(N11="","",IFERROR(INDEX('Raw lists'!$C$2:$C$616,MATCH(N11,'Raw lists'!$C$2:$C$616,0))&amp;" | ",""))&amp;IF(O11="","",IFERROR(INDEX('Raw lists'!$C$2:$C$616,MATCH(O11,'Raw lists'!$C$2:$C$616,0))&amp;" | ",""))&amp;IF(P11="","",IFERROR(INDEX('Raw lists'!$C$2:$C$616,MATCH(P11,'Raw lists'!$C$2:$C$616,0))&amp;" | ","")),LEN(IF(K11="","",IFERROR(INDEX('Raw lists'!$C$2:$C$616,MATCH(K11,'Raw lists'!$C$2:$C$616,0))&amp;" | ",""))&amp;IF(L11="","",IFERROR(INDEX('Raw lists'!$C$2:$C$616,MATCH(L11,'Raw lists'!$C$2:$C$616,0))&amp;" | ",""))&amp;IF(M11="","",IFERROR(INDEX('Raw lists'!$C$2:$C$616,MATCH(M11,'Raw lists'!$C$2:$C$616,0))&amp;" | ",""))&amp;IF(N11="","",IFERROR(INDEX('Raw lists'!$C$2:$C$616,MATCH(N11,'Raw lists'!$C$2:$C$616,0))&amp;" | ",""))&amp;IF(O11="","",IFERROR(INDEX('Raw lists'!$C$2:$C$616,MATCH(O11,'Raw lists'!$C$2:$C$616,0))&amp;" | ",""))&amp;IF(P11="","",IFERROR(INDEX('Raw lists'!$C$2:$C$616,MATCH(P11,'Raw lists'!$C$2:$C$616,0))&amp;" | ","")))-3))</f>
        <v>Principal Plane</v>
      </c>
      <c r="F11" s="28" t="s">
        <v>17</v>
      </c>
      <c r="G11" s="30" t="s">
        <v>62</v>
      </c>
      <c r="H11" s="28">
        <f t="shared" si="0"/>
        <v>3</v>
      </c>
      <c r="I11" s="31" t="str">
        <f t="shared" si="1"/>
        <v>All three</v>
      </c>
      <c r="K11" s="32" t="s">
        <v>63</v>
      </c>
      <c r="L11" s="32" t="s">
        <v>64</v>
      </c>
      <c r="M11" s="32" t="s">
        <v>65</v>
      </c>
      <c r="N11" s="32"/>
      <c r="O11" s="32"/>
      <c r="P11" s="32"/>
    </row>
    <row r="12" spans="1:25" ht="26.4" x14ac:dyDescent="0.3">
      <c r="A12" s="28">
        <v>11</v>
      </c>
      <c r="B12" s="29" t="s">
        <v>66</v>
      </c>
      <c r="C12" s="30" t="str">
        <f>IF(LEN(IF(K12="","",IFERROR(INDEX('Raw lists'!$A$2:$A$192,MATCH(K12,'Raw lists'!$A$2:$A$192,0))&amp;" | ",""))&amp;IF(L12="","",IFERROR(INDEX('Raw lists'!$A$2:$A$192,MATCH(L12,'Raw lists'!$A$2:$A$192,0))&amp;" | ",""))&amp;IF(M12="","",IFERROR(INDEX('Raw lists'!$A$2:$A$192,MATCH(M12,'Raw lists'!$A$2:$A$192,0))&amp;" | ",""))&amp;IF(N12="","",IFERROR(INDEX('Raw lists'!$A$2:$A$192,MATCH(N12,'Raw lists'!$A$2:$A$192,0))&amp;" | ",""))&amp;IF(O12="","",IFERROR(INDEX('Raw lists'!$A$2:$A$192,MATCH(O12,'Raw lists'!$A$2:$A$192,0))&amp;" | ",""))&amp;IF(P12="","",IFERROR(INDEX('Raw lists'!$A$2:$A$192,MATCH(P12,'Raw lists'!$A$2:$A$192,0))&amp;" | ","")))=0,"",LEFT(IF(K12="","",IFERROR(INDEX('Raw lists'!$A$2:$A$192,MATCH(K12,'Raw lists'!$A$2:$A$192,0))&amp;" | ",""))&amp;IF(L12="","",IFERROR(INDEX('Raw lists'!$A$2:$A$192,MATCH(L12,'Raw lists'!$A$2:$A$192,0))&amp;" | ",""))&amp;IF(M12="","",IFERROR(INDEX('Raw lists'!$A$2:$A$192,MATCH(M12,'Raw lists'!$A$2:$A$192,0))&amp;" | ",""))&amp;IF(N12="","",IFERROR(INDEX('Raw lists'!$A$2:$A$192,MATCH(N12,'Raw lists'!$A$2:$A$192,0))&amp;" | ",""))&amp;IF(O12="","",IFERROR(INDEX('Raw lists'!$A$2:$A$192,MATCH(O12,'Raw lists'!$A$2:$A$192,0))&amp;" | ",""))&amp;IF(P12="","",IFERROR(INDEX('Raw lists'!$A$2:$A$192,MATCH(P12,'Raw lists'!$A$2:$A$192,0))&amp;" | ","")),LEN(IF(K12="","",IFERROR(INDEX('Raw lists'!$A$2:$A$192,MATCH(K12,'Raw lists'!$A$2:$A$192,0))&amp;" | ",""))&amp;IF(L12="","",IFERROR(INDEX('Raw lists'!$A$2:$A$192,MATCH(L12,'Raw lists'!$A$2:$A$192,0))&amp;" | ",""))&amp;IF(M12="","",IFERROR(INDEX('Raw lists'!$A$2:$A$192,MATCH(M12,'Raw lists'!$A$2:$A$192,0))&amp;" | ",""))&amp;IF(N12="","",IFERROR(INDEX('Raw lists'!$A$2:$A$192,MATCH(N12,'Raw lists'!$A$2:$A$192,0))&amp;" | ",""))&amp;IF(O12="","",IFERROR(INDEX('Raw lists'!$A$2:$A$192,MATCH(O12,'Raw lists'!$A$2:$A$192,0))&amp;" | ",""))&amp;IF(P12="","",IFERROR(INDEX('Raw lists'!$A$2:$A$192,MATCH(P12,'Raw lists'!$A$2:$A$192,0))&amp;" | ","")))-3))</f>
        <v/>
      </c>
      <c r="D12" s="30" t="str">
        <f>IF(LEN(IF(K12="","",IFERROR(INDEX('Raw lists'!$B$2:$B$627,MATCH(K12,'Raw lists'!$B$2:$B$627,0))&amp;" | ",""))&amp;IF(L12="","",IFERROR(INDEX('Raw lists'!$B$2:$B$627,MATCH(L12,'Raw lists'!$B$2:$B$627,0))&amp;" | ",""))&amp;IF(M12="","",IFERROR(INDEX('Raw lists'!$B$2:$B$627,MATCH(M12,'Raw lists'!$B$2:$B$627,0))&amp;" | ",""))&amp;IF(N12="","",IFERROR(INDEX('Raw lists'!$B$2:$B$627,MATCH(N12,'Raw lists'!$B$2:$B$627,0))&amp;" | ",""))&amp;IF(O12="","",IFERROR(INDEX('Raw lists'!$B$2:$B$627,MATCH(O12,'Raw lists'!$B$2:$B$627,0))&amp;" | ",""))&amp;IF(P12="","",IFERROR(INDEX('Raw lists'!$B$2:$B$627,MATCH(P12,'Raw lists'!$B$2:$B$627,0))&amp;" | ","")))=0,"",LEFT(IF(K12="","",IFERROR(INDEX('Raw lists'!$B$2:$B$627,MATCH(K12,'Raw lists'!$B$2:$B$627,0))&amp;" | ",""))&amp;IF(L12="","",IFERROR(INDEX('Raw lists'!$B$2:$B$627,MATCH(L12,'Raw lists'!$B$2:$B$627,0))&amp;" | ",""))&amp;IF(M12="","",IFERROR(INDEX('Raw lists'!$B$2:$B$627,MATCH(M12,'Raw lists'!$B$2:$B$627,0))&amp;" | ",""))&amp;IF(N12="","",IFERROR(INDEX('Raw lists'!$B$2:$B$627,MATCH(N12,'Raw lists'!$B$2:$B$627,0))&amp;" | ",""))&amp;IF(O12="","",IFERROR(INDEX('Raw lists'!$B$2:$B$627,MATCH(O12,'Raw lists'!$B$2:$B$627,0))&amp;" | ",""))&amp;IF(P12="","",IFERROR(INDEX('Raw lists'!$B$2:$B$627,MATCH(P12,'Raw lists'!$B$2:$B$627,0))&amp;" | ","")),LEN(IF(K12="","",IFERROR(INDEX('Raw lists'!$B$2:$B$627,MATCH(K12,'Raw lists'!$B$2:$B$627,0))&amp;" | ",""))&amp;IF(L12="","",IFERROR(INDEX('Raw lists'!$B$2:$B$627,MATCH(L12,'Raw lists'!$B$2:$B$627,0))&amp;" | ",""))&amp;IF(M12="","",IFERROR(INDEX('Raw lists'!$B$2:$B$627,MATCH(M12,'Raw lists'!$B$2:$B$627,0))&amp;" | ",""))&amp;IF(N12="","",IFERROR(INDEX('Raw lists'!$B$2:$B$627,MATCH(N12,'Raw lists'!$B$2:$B$627,0))&amp;" | ",""))&amp;IF(O12="","",IFERROR(INDEX('Raw lists'!$B$2:$B$627,MATCH(O12,'Raw lists'!$B$2:$B$627,0))&amp;" | ",""))&amp;IF(P12="","",IFERROR(INDEX('Raw lists'!$B$2:$B$627,MATCH(P12,'Raw lists'!$B$2:$B$627,0))&amp;" | ","")))-3))</f>
        <v>Optic Axis</v>
      </c>
      <c r="E12" s="30" t="str">
        <f>IF(LEN(IF(K12="","",IFERROR(INDEX('Raw lists'!$C$2:$C$616,MATCH(K12,'Raw lists'!$C$2:$C$616,0))&amp;" | ",""))&amp;IF(L12="","",IFERROR(INDEX('Raw lists'!$C$2:$C$616,MATCH(L12,'Raw lists'!$C$2:$C$616,0))&amp;" | ",""))&amp;IF(M12="","",IFERROR(INDEX('Raw lists'!$C$2:$C$616,MATCH(M12,'Raw lists'!$C$2:$C$616,0))&amp;" | ",""))&amp;IF(N12="","",IFERROR(INDEX('Raw lists'!$C$2:$C$616,MATCH(N12,'Raw lists'!$C$2:$C$616,0))&amp;" | ",""))&amp;IF(O12="","",IFERROR(INDEX('Raw lists'!$C$2:$C$616,MATCH(O12,'Raw lists'!$C$2:$C$616,0))&amp;" | ",""))&amp;IF(P12="","",IFERROR(INDEX('Raw lists'!$C$2:$C$616,MATCH(P12,'Raw lists'!$C$2:$C$616,0))&amp;" | ","")))=0,"",LEFT(IF(K12="","",IFERROR(INDEX('Raw lists'!$C$2:$C$616,MATCH(K12,'Raw lists'!$C$2:$C$616,0))&amp;" | ",""))&amp;IF(L12="","",IFERROR(INDEX('Raw lists'!$C$2:$C$616,MATCH(L12,'Raw lists'!$C$2:$C$616,0))&amp;" | ",""))&amp;IF(M12="","",IFERROR(INDEX('Raw lists'!$C$2:$C$616,MATCH(M12,'Raw lists'!$C$2:$C$616,0))&amp;" | ",""))&amp;IF(N12="","",IFERROR(INDEX('Raw lists'!$C$2:$C$616,MATCH(N12,'Raw lists'!$C$2:$C$616,0))&amp;" | ",""))&amp;IF(O12="","",IFERROR(INDEX('Raw lists'!$C$2:$C$616,MATCH(O12,'Raw lists'!$C$2:$C$616,0))&amp;" | ",""))&amp;IF(P12="","",IFERROR(INDEX('Raw lists'!$C$2:$C$616,MATCH(P12,'Raw lists'!$C$2:$C$616,0))&amp;" | ","")),LEN(IF(K12="","",IFERROR(INDEX('Raw lists'!$C$2:$C$616,MATCH(K12,'Raw lists'!$C$2:$C$616,0))&amp;" | ",""))&amp;IF(L12="","",IFERROR(INDEX('Raw lists'!$C$2:$C$616,MATCH(L12,'Raw lists'!$C$2:$C$616,0))&amp;" | ",""))&amp;IF(M12="","",IFERROR(INDEX('Raw lists'!$C$2:$C$616,MATCH(M12,'Raw lists'!$C$2:$C$616,0))&amp;" | ",""))&amp;IF(N12="","",IFERROR(INDEX('Raw lists'!$C$2:$C$616,MATCH(N12,'Raw lists'!$C$2:$C$616,0))&amp;" | ",""))&amp;IF(O12="","",IFERROR(INDEX('Raw lists'!$C$2:$C$616,MATCH(O12,'Raw lists'!$C$2:$C$616,0))&amp;" | ",""))&amp;IF(P12="","",IFERROR(INDEX('Raw lists'!$C$2:$C$616,MATCH(P12,'Raw lists'!$C$2:$C$616,0))&amp;" | ","")))-3))</f>
        <v>Optic Axis</v>
      </c>
      <c r="F12" s="28" t="s">
        <v>17</v>
      </c>
      <c r="G12" s="30" t="s">
        <v>67</v>
      </c>
      <c r="H12" s="28">
        <f t="shared" si="0"/>
        <v>2</v>
      </c>
      <c r="I12" s="31" t="str">
        <f t="shared" si="1"/>
        <v>RAKE + YAKE</v>
      </c>
      <c r="K12" s="32" t="s">
        <v>68</v>
      </c>
      <c r="L12" s="32"/>
      <c r="M12" s="32"/>
      <c r="N12" s="32"/>
      <c r="O12" s="32"/>
      <c r="P12" s="32"/>
    </row>
    <row r="13" spans="1:25" ht="26.4" x14ac:dyDescent="0.3">
      <c r="A13" s="28">
        <v>12</v>
      </c>
      <c r="B13" s="29" t="s">
        <v>69</v>
      </c>
      <c r="C13" s="30" t="str">
        <f>IF(LEN(IF(K13="","",IFERROR(INDEX('Raw lists'!$A$2:$A$192,MATCH(K13,'Raw lists'!$A$2:$A$192,0))&amp;" | ",""))&amp;IF(L13="","",IFERROR(INDEX('Raw lists'!$A$2:$A$192,MATCH(L13,'Raw lists'!$A$2:$A$192,0))&amp;" | ",""))&amp;IF(M13="","",IFERROR(INDEX('Raw lists'!$A$2:$A$192,MATCH(M13,'Raw lists'!$A$2:$A$192,0))&amp;" | ",""))&amp;IF(N13="","",IFERROR(INDEX('Raw lists'!$A$2:$A$192,MATCH(N13,'Raw lists'!$A$2:$A$192,0))&amp;" | ",""))&amp;IF(O13="","",IFERROR(INDEX('Raw lists'!$A$2:$A$192,MATCH(O13,'Raw lists'!$A$2:$A$192,0))&amp;" | ",""))&amp;IF(P13="","",IFERROR(INDEX('Raw lists'!$A$2:$A$192,MATCH(P13,'Raw lists'!$A$2:$A$192,0))&amp;" | ","")))=0,"",LEFT(IF(K13="","",IFERROR(INDEX('Raw lists'!$A$2:$A$192,MATCH(K13,'Raw lists'!$A$2:$A$192,0))&amp;" | ",""))&amp;IF(L13="","",IFERROR(INDEX('Raw lists'!$A$2:$A$192,MATCH(L13,'Raw lists'!$A$2:$A$192,0))&amp;" | ",""))&amp;IF(M13="","",IFERROR(INDEX('Raw lists'!$A$2:$A$192,MATCH(M13,'Raw lists'!$A$2:$A$192,0))&amp;" | ",""))&amp;IF(N13="","",IFERROR(INDEX('Raw lists'!$A$2:$A$192,MATCH(N13,'Raw lists'!$A$2:$A$192,0))&amp;" | ",""))&amp;IF(O13="","",IFERROR(INDEX('Raw lists'!$A$2:$A$192,MATCH(O13,'Raw lists'!$A$2:$A$192,0))&amp;" | ",""))&amp;IF(P13="","",IFERROR(INDEX('Raw lists'!$A$2:$A$192,MATCH(P13,'Raw lists'!$A$2:$A$192,0))&amp;" | ","")),LEN(IF(K13="","",IFERROR(INDEX('Raw lists'!$A$2:$A$192,MATCH(K13,'Raw lists'!$A$2:$A$192,0))&amp;" | ",""))&amp;IF(L13="","",IFERROR(INDEX('Raw lists'!$A$2:$A$192,MATCH(L13,'Raw lists'!$A$2:$A$192,0))&amp;" | ",""))&amp;IF(M13="","",IFERROR(INDEX('Raw lists'!$A$2:$A$192,MATCH(M13,'Raw lists'!$A$2:$A$192,0))&amp;" | ",""))&amp;IF(N13="","",IFERROR(INDEX('Raw lists'!$A$2:$A$192,MATCH(N13,'Raw lists'!$A$2:$A$192,0))&amp;" | ",""))&amp;IF(O13="","",IFERROR(INDEX('Raw lists'!$A$2:$A$192,MATCH(O13,'Raw lists'!$A$2:$A$192,0))&amp;" | ",""))&amp;IF(P13="","",IFERROR(INDEX('Raw lists'!$A$2:$A$192,MATCH(P13,'Raw lists'!$A$2:$A$192,0))&amp;" | ","")))-3))</f>
        <v/>
      </c>
      <c r="D13" s="30" t="str">
        <f>IF(LEN(IF(K13="","",IFERROR(INDEX('Raw lists'!$B$2:$B$627,MATCH(K13,'Raw lists'!$B$2:$B$627,0))&amp;" | ",""))&amp;IF(L13="","",IFERROR(INDEX('Raw lists'!$B$2:$B$627,MATCH(L13,'Raw lists'!$B$2:$B$627,0))&amp;" | ",""))&amp;IF(M13="","",IFERROR(INDEX('Raw lists'!$B$2:$B$627,MATCH(M13,'Raw lists'!$B$2:$B$627,0))&amp;" | ",""))&amp;IF(N13="","",IFERROR(INDEX('Raw lists'!$B$2:$B$627,MATCH(N13,'Raw lists'!$B$2:$B$627,0))&amp;" | ",""))&amp;IF(O13="","",IFERROR(INDEX('Raw lists'!$B$2:$B$627,MATCH(O13,'Raw lists'!$B$2:$B$627,0))&amp;" | ",""))&amp;IF(P13="","",IFERROR(INDEX('Raw lists'!$B$2:$B$627,MATCH(P13,'Raw lists'!$B$2:$B$627,0))&amp;" | ","")))=0,"",LEFT(IF(K13="","",IFERROR(INDEX('Raw lists'!$B$2:$B$627,MATCH(K13,'Raw lists'!$B$2:$B$627,0))&amp;" | ",""))&amp;IF(L13="","",IFERROR(INDEX('Raw lists'!$B$2:$B$627,MATCH(L13,'Raw lists'!$B$2:$B$627,0))&amp;" | ",""))&amp;IF(M13="","",IFERROR(INDEX('Raw lists'!$B$2:$B$627,MATCH(M13,'Raw lists'!$B$2:$B$627,0))&amp;" | ",""))&amp;IF(N13="","",IFERROR(INDEX('Raw lists'!$B$2:$B$627,MATCH(N13,'Raw lists'!$B$2:$B$627,0))&amp;" | ",""))&amp;IF(O13="","",IFERROR(INDEX('Raw lists'!$B$2:$B$627,MATCH(O13,'Raw lists'!$B$2:$B$627,0))&amp;" | ",""))&amp;IF(P13="","",IFERROR(INDEX('Raw lists'!$B$2:$B$627,MATCH(P13,'Raw lists'!$B$2:$B$627,0))&amp;" | ","")),LEN(IF(K13="","",IFERROR(INDEX('Raw lists'!$B$2:$B$627,MATCH(K13,'Raw lists'!$B$2:$B$627,0))&amp;" | ",""))&amp;IF(L13="","",IFERROR(INDEX('Raw lists'!$B$2:$B$627,MATCH(L13,'Raw lists'!$B$2:$B$627,0))&amp;" | ",""))&amp;IF(M13="","",IFERROR(INDEX('Raw lists'!$B$2:$B$627,MATCH(M13,'Raw lists'!$B$2:$B$627,0))&amp;" | ",""))&amp;IF(N13="","",IFERROR(INDEX('Raw lists'!$B$2:$B$627,MATCH(N13,'Raw lists'!$B$2:$B$627,0))&amp;" | ",""))&amp;IF(O13="","",IFERROR(INDEX('Raw lists'!$B$2:$B$627,MATCH(O13,'Raw lists'!$B$2:$B$627,0))&amp;" | ",""))&amp;IF(P13="","",IFERROR(INDEX('Raw lists'!$B$2:$B$627,MATCH(P13,'Raw lists'!$B$2:$B$627,0))&amp;" | ","")))-3))</f>
        <v>Calcite | Calcite Crystal</v>
      </c>
      <c r="E13" s="30" t="str">
        <f>IF(LEN(IF(K13="","",IFERROR(INDEX('Raw lists'!$C$2:$C$616,MATCH(K13,'Raw lists'!$C$2:$C$616,0))&amp;" | ",""))&amp;IF(L13="","",IFERROR(INDEX('Raw lists'!$C$2:$C$616,MATCH(L13,'Raw lists'!$C$2:$C$616,0))&amp;" | ",""))&amp;IF(M13="","",IFERROR(INDEX('Raw lists'!$C$2:$C$616,MATCH(M13,'Raw lists'!$C$2:$C$616,0))&amp;" | ",""))&amp;IF(N13="","",IFERROR(INDEX('Raw lists'!$C$2:$C$616,MATCH(N13,'Raw lists'!$C$2:$C$616,0))&amp;" | ",""))&amp;IF(O13="","",IFERROR(INDEX('Raw lists'!$C$2:$C$616,MATCH(O13,'Raw lists'!$C$2:$C$616,0))&amp;" | ",""))&amp;IF(P13="","",IFERROR(INDEX('Raw lists'!$C$2:$C$616,MATCH(P13,'Raw lists'!$C$2:$C$616,0))&amp;" | ","")))=0,"",LEFT(IF(K13="","",IFERROR(INDEX('Raw lists'!$C$2:$C$616,MATCH(K13,'Raw lists'!$C$2:$C$616,0))&amp;" | ",""))&amp;IF(L13="","",IFERROR(INDEX('Raw lists'!$C$2:$C$616,MATCH(L13,'Raw lists'!$C$2:$C$616,0))&amp;" | ",""))&amp;IF(M13="","",IFERROR(INDEX('Raw lists'!$C$2:$C$616,MATCH(M13,'Raw lists'!$C$2:$C$616,0))&amp;" | ",""))&amp;IF(N13="","",IFERROR(INDEX('Raw lists'!$C$2:$C$616,MATCH(N13,'Raw lists'!$C$2:$C$616,0))&amp;" | ",""))&amp;IF(O13="","",IFERROR(INDEX('Raw lists'!$C$2:$C$616,MATCH(O13,'Raw lists'!$C$2:$C$616,0))&amp;" | ",""))&amp;IF(P13="","",IFERROR(INDEX('Raw lists'!$C$2:$C$616,MATCH(P13,'Raw lists'!$C$2:$C$616,0))&amp;" | ","")),LEN(IF(K13="","",IFERROR(INDEX('Raw lists'!$C$2:$C$616,MATCH(K13,'Raw lists'!$C$2:$C$616,0))&amp;" | ",""))&amp;IF(L13="","",IFERROR(INDEX('Raw lists'!$C$2:$C$616,MATCH(L13,'Raw lists'!$C$2:$C$616,0))&amp;" | ",""))&amp;IF(M13="","",IFERROR(INDEX('Raw lists'!$C$2:$C$616,MATCH(M13,'Raw lists'!$C$2:$C$616,0))&amp;" | ",""))&amp;IF(N13="","",IFERROR(INDEX('Raw lists'!$C$2:$C$616,MATCH(N13,'Raw lists'!$C$2:$C$616,0))&amp;" | ",""))&amp;IF(O13="","",IFERROR(INDEX('Raw lists'!$C$2:$C$616,MATCH(O13,'Raw lists'!$C$2:$C$616,0))&amp;" | ",""))&amp;IF(P13="","",IFERROR(INDEX('Raw lists'!$C$2:$C$616,MATCH(P13,'Raw lists'!$C$2:$C$616,0))&amp;" | ","")))-3))</f>
        <v>Calcite | Calcite Crystal</v>
      </c>
      <c r="F13" s="28" t="s">
        <v>54</v>
      </c>
      <c r="G13" s="30" t="s">
        <v>70</v>
      </c>
      <c r="H13" s="28">
        <f t="shared" si="0"/>
        <v>2</v>
      </c>
      <c r="I13" s="31" t="str">
        <f t="shared" si="1"/>
        <v>RAKE + YAKE</v>
      </c>
      <c r="K13" s="32" t="s">
        <v>71</v>
      </c>
      <c r="L13" s="32" t="s">
        <v>72</v>
      </c>
      <c r="M13" s="32"/>
      <c r="N13" s="32"/>
      <c r="O13" s="32"/>
      <c r="P13" s="32"/>
    </row>
    <row r="14" spans="1:25" x14ac:dyDescent="0.3">
      <c r="A14" s="28">
        <v>13</v>
      </c>
      <c r="B14" s="29" t="s">
        <v>73</v>
      </c>
      <c r="C14" s="30" t="str">
        <f>IF(LEN(IF(K14="","",IFERROR(INDEX('Raw lists'!$A$2:$A$192,MATCH(K14,'Raw lists'!$A$2:$A$192,0))&amp;" | ",""))&amp;IF(L14="","",IFERROR(INDEX('Raw lists'!$A$2:$A$192,MATCH(L14,'Raw lists'!$A$2:$A$192,0))&amp;" | ",""))&amp;IF(M14="","",IFERROR(INDEX('Raw lists'!$A$2:$A$192,MATCH(M14,'Raw lists'!$A$2:$A$192,0))&amp;" | ",""))&amp;IF(N14="","",IFERROR(INDEX('Raw lists'!$A$2:$A$192,MATCH(N14,'Raw lists'!$A$2:$A$192,0))&amp;" | ",""))&amp;IF(O14="","",IFERROR(INDEX('Raw lists'!$A$2:$A$192,MATCH(O14,'Raw lists'!$A$2:$A$192,0))&amp;" | ",""))&amp;IF(P14="","",IFERROR(INDEX('Raw lists'!$A$2:$A$192,MATCH(P14,'Raw lists'!$A$2:$A$192,0))&amp;" | ","")))=0,"",LEFT(IF(K14="","",IFERROR(INDEX('Raw lists'!$A$2:$A$192,MATCH(K14,'Raw lists'!$A$2:$A$192,0))&amp;" | ",""))&amp;IF(L14="","",IFERROR(INDEX('Raw lists'!$A$2:$A$192,MATCH(L14,'Raw lists'!$A$2:$A$192,0))&amp;" | ",""))&amp;IF(M14="","",IFERROR(INDEX('Raw lists'!$A$2:$A$192,MATCH(M14,'Raw lists'!$A$2:$A$192,0))&amp;" | ",""))&amp;IF(N14="","",IFERROR(INDEX('Raw lists'!$A$2:$A$192,MATCH(N14,'Raw lists'!$A$2:$A$192,0))&amp;" | ",""))&amp;IF(O14="","",IFERROR(INDEX('Raw lists'!$A$2:$A$192,MATCH(O14,'Raw lists'!$A$2:$A$192,0))&amp;" | ",""))&amp;IF(P14="","",IFERROR(INDEX('Raw lists'!$A$2:$A$192,MATCH(P14,'Raw lists'!$A$2:$A$192,0))&amp;" | ","")),LEN(IF(K14="","",IFERROR(INDEX('Raw lists'!$A$2:$A$192,MATCH(K14,'Raw lists'!$A$2:$A$192,0))&amp;" | ",""))&amp;IF(L14="","",IFERROR(INDEX('Raw lists'!$A$2:$A$192,MATCH(L14,'Raw lists'!$A$2:$A$192,0))&amp;" | ",""))&amp;IF(M14="","",IFERROR(INDEX('Raw lists'!$A$2:$A$192,MATCH(M14,'Raw lists'!$A$2:$A$192,0))&amp;" | ",""))&amp;IF(N14="","",IFERROR(INDEX('Raw lists'!$A$2:$A$192,MATCH(N14,'Raw lists'!$A$2:$A$192,0))&amp;" | ",""))&amp;IF(O14="","",IFERROR(INDEX('Raw lists'!$A$2:$A$192,MATCH(O14,'Raw lists'!$A$2:$A$192,0))&amp;" | ",""))&amp;IF(P14="","",IFERROR(INDEX('Raw lists'!$A$2:$A$192,MATCH(P14,'Raw lists'!$A$2:$A$192,0))&amp;" | ","")))-3))</f>
        <v>Double Refraction</v>
      </c>
      <c r="D14" s="30" t="str">
        <f>IF(LEN(IF(K14="","",IFERROR(INDEX('Raw lists'!$B$2:$B$627,MATCH(K14,'Raw lists'!$B$2:$B$627,0))&amp;" | ",""))&amp;IF(L14="","",IFERROR(INDEX('Raw lists'!$B$2:$B$627,MATCH(L14,'Raw lists'!$B$2:$B$627,0))&amp;" | ",""))&amp;IF(M14="","",IFERROR(INDEX('Raw lists'!$B$2:$B$627,MATCH(M14,'Raw lists'!$B$2:$B$627,0))&amp;" | ",""))&amp;IF(N14="","",IFERROR(INDEX('Raw lists'!$B$2:$B$627,MATCH(N14,'Raw lists'!$B$2:$B$627,0))&amp;" | ",""))&amp;IF(O14="","",IFERROR(INDEX('Raw lists'!$B$2:$B$627,MATCH(O14,'Raw lists'!$B$2:$B$627,0))&amp;" | ",""))&amp;IF(P14="","",IFERROR(INDEX('Raw lists'!$B$2:$B$627,MATCH(P14,'Raw lists'!$B$2:$B$627,0))&amp;" | ","")))=0,"",LEFT(IF(K14="","",IFERROR(INDEX('Raw lists'!$B$2:$B$627,MATCH(K14,'Raw lists'!$B$2:$B$627,0))&amp;" | ",""))&amp;IF(L14="","",IFERROR(INDEX('Raw lists'!$B$2:$B$627,MATCH(L14,'Raw lists'!$B$2:$B$627,0))&amp;" | ",""))&amp;IF(M14="","",IFERROR(INDEX('Raw lists'!$B$2:$B$627,MATCH(M14,'Raw lists'!$B$2:$B$627,0))&amp;" | ",""))&amp;IF(N14="","",IFERROR(INDEX('Raw lists'!$B$2:$B$627,MATCH(N14,'Raw lists'!$B$2:$B$627,0))&amp;" | ",""))&amp;IF(O14="","",IFERROR(INDEX('Raw lists'!$B$2:$B$627,MATCH(O14,'Raw lists'!$B$2:$B$627,0))&amp;" | ",""))&amp;IF(P14="","",IFERROR(INDEX('Raw lists'!$B$2:$B$627,MATCH(P14,'Raw lists'!$B$2:$B$627,0))&amp;" | ","")),LEN(IF(K14="","",IFERROR(INDEX('Raw lists'!$B$2:$B$627,MATCH(K14,'Raw lists'!$B$2:$B$627,0))&amp;" | ",""))&amp;IF(L14="","",IFERROR(INDEX('Raw lists'!$B$2:$B$627,MATCH(L14,'Raw lists'!$B$2:$B$627,0))&amp;" | ",""))&amp;IF(M14="","",IFERROR(INDEX('Raw lists'!$B$2:$B$627,MATCH(M14,'Raw lists'!$B$2:$B$627,0))&amp;" | ",""))&amp;IF(N14="","",IFERROR(INDEX('Raw lists'!$B$2:$B$627,MATCH(N14,'Raw lists'!$B$2:$B$627,0))&amp;" | ",""))&amp;IF(O14="","",IFERROR(INDEX('Raw lists'!$B$2:$B$627,MATCH(O14,'Raw lists'!$B$2:$B$627,0))&amp;" | ",""))&amp;IF(P14="","",IFERROR(INDEX('Raw lists'!$B$2:$B$627,MATCH(P14,'Raw lists'!$B$2:$B$627,0))&amp;" | ","")))-3))</f>
        <v>Double Refraction</v>
      </c>
      <c r="E14" s="30" t="str">
        <f>IF(LEN(IF(K14="","",IFERROR(INDEX('Raw lists'!$C$2:$C$616,MATCH(K14,'Raw lists'!$C$2:$C$616,0))&amp;" | ",""))&amp;IF(L14="","",IFERROR(INDEX('Raw lists'!$C$2:$C$616,MATCH(L14,'Raw lists'!$C$2:$C$616,0))&amp;" | ",""))&amp;IF(M14="","",IFERROR(INDEX('Raw lists'!$C$2:$C$616,MATCH(M14,'Raw lists'!$C$2:$C$616,0))&amp;" | ",""))&amp;IF(N14="","",IFERROR(INDEX('Raw lists'!$C$2:$C$616,MATCH(N14,'Raw lists'!$C$2:$C$616,0))&amp;" | ",""))&amp;IF(O14="","",IFERROR(INDEX('Raw lists'!$C$2:$C$616,MATCH(O14,'Raw lists'!$C$2:$C$616,0))&amp;" | ",""))&amp;IF(P14="","",IFERROR(INDEX('Raw lists'!$C$2:$C$616,MATCH(P14,'Raw lists'!$C$2:$C$616,0))&amp;" | ","")))=0,"",LEFT(IF(K14="","",IFERROR(INDEX('Raw lists'!$C$2:$C$616,MATCH(K14,'Raw lists'!$C$2:$C$616,0))&amp;" | ",""))&amp;IF(L14="","",IFERROR(INDEX('Raw lists'!$C$2:$C$616,MATCH(L14,'Raw lists'!$C$2:$C$616,0))&amp;" | ",""))&amp;IF(M14="","",IFERROR(INDEX('Raw lists'!$C$2:$C$616,MATCH(M14,'Raw lists'!$C$2:$C$616,0))&amp;" | ",""))&amp;IF(N14="","",IFERROR(INDEX('Raw lists'!$C$2:$C$616,MATCH(N14,'Raw lists'!$C$2:$C$616,0))&amp;" | ",""))&amp;IF(O14="","",IFERROR(INDEX('Raw lists'!$C$2:$C$616,MATCH(O14,'Raw lists'!$C$2:$C$616,0))&amp;" | ",""))&amp;IF(P14="","",IFERROR(INDEX('Raw lists'!$C$2:$C$616,MATCH(P14,'Raw lists'!$C$2:$C$616,0))&amp;" | ","")),LEN(IF(K14="","",IFERROR(INDEX('Raw lists'!$C$2:$C$616,MATCH(K14,'Raw lists'!$C$2:$C$616,0))&amp;" | ",""))&amp;IF(L14="","",IFERROR(INDEX('Raw lists'!$C$2:$C$616,MATCH(L14,'Raw lists'!$C$2:$C$616,0))&amp;" | ",""))&amp;IF(M14="","",IFERROR(INDEX('Raw lists'!$C$2:$C$616,MATCH(M14,'Raw lists'!$C$2:$C$616,0))&amp;" | ",""))&amp;IF(N14="","",IFERROR(INDEX('Raw lists'!$C$2:$C$616,MATCH(N14,'Raw lists'!$C$2:$C$616,0))&amp;" | ",""))&amp;IF(O14="","",IFERROR(INDEX('Raw lists'!$C$2:$C$616,MATCH(O14,'Raw lists'!$C$2:$C$616,0))&amp;" | ",""))&amp;IF(P14="","",IFERROR(INDEX('Raw lists'!$C$2:$C$616,MATCH(P14,'Raw lists'!$C$2:$C$616,0))&amp;" | ","")))-3))</f>
        <v>Double Refraction</v>
      </c>
      <c r="F14" s="28" t="s">
        <v>17</v>
      </c>
      <c r="G14" s="30" t="s">
        <v>74</v>
      </c>
      <c r="H14" s="28">
        <f t="shared" si="0"/>
        <v>3</v>
      </c>
      <c r="I14" s="31" t="str">
        <f t="shared" si="1"/>
        <v>All three</v>
      </c>
      <c r="K14" s="32" t="s">
        <v>75</v>
      </c>
      <c r="L14" s="32" t="s">
        <v>76</v>
      </c>
      <c r="M14" s="32"/>
      <c r="N14" s="32"/>
      <c r="O14" s="32"/>
      <c r="P14" s="32"/>
    </row>
    <row r="15" spans="1:25" x14ac:dyDescent="0.3">
      <c r="A15" s="28">
        <v>14</v>
      </c>
      <c r="B15" s="29" t="s">
        <v>77</v>
      </c>
      <c r="C15" s="30" t="str">
        <f>IF(LEN(IF(K15="","",IFERROR(INDEX('Raw lists'!$A$2:$A$192,MATCH(K15,'Raw lists'!$A$2:$A$192,0))&amp;" | ",""))&amp;IF(L15="","",IFERROR(INDEX('Raw lists'!$A$2:$A$192,MATCH(L15,'Raw lists'!$A$2:$A$192,0))&amp;" | ",""))&amp;IF(M15="","",IFERROR(INDEX('Raw lists'!$A$2:$A$192,MATCH(M15,'Raw lists'!$A$2:$A$192,0))&amp;" | ",""))&amp;IF(N15="","",IFERROR(INDEX('Raw lists'!$A$2:$A$192,MATCH(N15,'Raw lists'!$A$2:$A$192,0))&amp;" | ",""))&amp;IF(O15="","",IFERROR(INDEX('Raw lists'!$A$2:$A$192,MATCH(O15,'Raw lists'!$A$2:$A$192,0))&amp;" | ",""))&amp;IF(P15="","",IFERROR(INDEX('Raw lists'!$A$2:$A$192,MATCH(P15,'Raw lists'!$A$2:$A$192,0))&amp;" | ","")))=0,"",LEFT(IF(K15="","",IFERROR(INDEX('Raw lists'!$A$2:$A$192,MATCH(K15,'Raw lists'!$A$2:$A$192,0))&amp;" | ",""))&amp;IF(L15="","",IFERROR(INDEX('Raw lists'!$A$2:$A$192,MATCH(L15,'Raw lists'!$A$2:$A$192,0))&amp;" | ",""))&amp;IF(M15="","",IFERROR(INDEX('Raw lists'!$A$2:$A$192,MATCH(M15,'Raw lists'!$A$2:$A$192,0))&amp;" | ",""))&amp;IF(N15="","",IFERROR(INDEX('Raw lists'!$A$2:$A$192,MATCH(N15,'Raw lists'!$A$2:$A$192,0))&amp;" | ",""))&amp;IF(O15="","",IFERROR(INDEX('Raw lists'!$A$2:$A$192,MATCH(O15,'Raw lists'!$A$2:$A$192,0))&amp;" | ",""))&amp;IF(P15="","",IFERROR(INDEX('Raw lists'!$A$2:$A$192,MATCH(P15,'Raw lists'!$A$2:$A$192,0))&amp;" | ","")),LEN(IF(K15="","",IFERROR(INDEX('Raw lists'!$A$2:$A$192,MATCH(K15,'Raw lists'!$A$2:$A$192,0))&amp;" | ",""))&amp;IF(L15="","",IFERROR(INDEX('Raw lists'!$A$2:$A$192,MATCH(L15,'Raw lists'!$A$2:$A$192,0))&amp;" | ",""))&amp;IF(M15="","",IFERROR(INDEX('Raw lists'!$A$2:$A$192,MATCH(M15,'Raw lists'!$A$2:$A$192,0))&amp;" | ",""))&amp;IF(N15="","",IFERROR(INDEX('Raw lists'!$A$2:$A$192,MATCH(N15,'Raw lists'!$A$2:$A$192,0))&amp;" | ",""))&amp;IF(O15="","",IFERROR(INDEX('Raw lists'!$A$2:$A$192,MATCH(O15,'Raw lists'!$A$2:$A$192,0))&amp;" | ",""))&amp;IF(P15="","",IFERROR(INDEX('Raw lists'!$A$2:$A$192,MATCH(P15,'Raw lists'!$A$2:$A$192,0))&amp;" | ","")))-3))</f>
        <v/>
      </c>
      <c r="D15" s="30" t="str">
        <f>IF(LEN(IF(K15="","",IFERROR(INDEX('Raw lists'!$B$2:$B$627,MATCH(K15,'Raw lists'!$B$2:$B$627,0))&amp;" | ",""))&amp;IF(L15="","",IFERROR(INDEX('Raw lists'!$B$2:$B$627,MATCH(L15,'Raw lists'!$B$2:$B$627,0))&amp;" | ",""))&amp;IF(M15="","",IFERROR(INDEX('Raw lists'!$B$2:$B$627,MATCH(M15,'Raw lists'!$B$2:$B$627,0))&amp;" | ",""))&amp;IF(N15="","",IFERROR(INDEX('Raw lists'!$B$2:$B$627,MATCH(N15,'Raw lists'!$B$2:$B$627,0))&amp;" | ",""))&amp;IF(O15="","",IFERROR(INDEX('Raw lists'!$B$2:$B$627,MATCH(O15,'Raw lists'!$B$2:$B$627,0))&amp;" | ",""))&amp;IF(P15="","",IFERROR(INDEX('Raw lists'!$B$2:$B$627,MATCH(P15,'Raw lists'!$B$2:$B$627,0))&amp;" | ","")))=0,"",LEFT(IF(K15="","",IFERROR(INDEX('Raw lists'!$B$2:$B$627,MATCH(K15,'Raw lists'!$B$2:$B$627,0))&amp;" | ",""))&amp;IF(L15="","",IFERROR(INDEX('Raw lists'!$B$2:$B$627,MATCH(L15,'Raw lists'!$B$2:$B$627,0))&amp;" | ",""))&amp;IF(M15="","",IFERROR(INDEX('Raw lists'!$B$2:$B$627,MATCH(M15,'Raw lists'!$B$2:$B$627,0))&amp;" | ",""))&amp;IF(N15="","",IFERROR(INDEX('Raw lists'!$B$2:$B$627,MATCH(N15,'Raw lists'!$B$2:$B$627,0))&amp;" | ",""))&amp;IF(O15="","",IFERROR(INDEX('Raw lists'!$B$2:$B$627,MATCH(O15,'Raw lists'!$B$2:$B$627,0))&amp;" | ",""))&amp;IF(P15="","",IFERROR(INDEX('Raw lists'!$B$2:$B$627,MATCH(P15,'Raw lists'!$B$2:$B$627,0))&amp;" | ","")),LEN(IF(K15="","",IFERROR(INDEX('Raw lists'!$B$2:$B$627,MATCH(K15,'Raw lists'!$B$2:$B$627,0))&amp;" | ",""))&amp;IF(L15="","",IFERROR(INDEX('Raw lists'!$B$2:$B$627,MATCH(L15,'Raw lists'!$B$2:$B$627,0))&amp;" | ",""))&amp;IF(M15="","",IFERROR(INDEX('Raw lists'!$B$2:$B$627,MATCH(M15,'Raw lists'!$B$2:$B$627,0))&amp;" | ",""))&amp;IF(N15="","",IFERROR(INDEX('Raw lists'!$B$2:$B$627,MATCH(N15,'Raw lists'!$B$2:$B$627,0))&amp;" | ",""))&amp;IF(O15="","",IFERROR(INDEX('Raw lists'!$B$2:$B$627,MATCH(O15,'Raw lists'!$B$2:$B$627,0))&amp;" | ",""))&amp;IF(P15="","",IFERROR(INDEX('Raw lists'!$B$2:$B$627,MATCH(P15,'Raw lists'!$B$2:$B$627,0))&amp;" | ","")))-3))</f>
        <v>Doubly Refracting Crystal</v>
      </c>
      <c r="E15" s="30" t="str">
        <f>IF(LEN(IF(K15="","",IFERROR(INDEX('Raw lists'!$C$2:$C$616,MATCH(K15,'Raw lists'!$C$2:$C$616,0))&amp;" | ",""))&amp;IF(L15="","",IFERROR(INDEX('Raw lists'!$C$2:$C$616,MATCH(L15,'Raw lists'!$C$2:$C$616,0))&amp;" | ",""))&amp;IF(M15="","",IFERROR(INDEX('Raw lists'!$C$2:$C$616,MATCH(M15,'Raw lists'!$C$2:$C$616,0))&amp;" | ",""))&amp;IF(N15="","",IFERROR(INDEX('Raw lists'!$C$2:$C$616,MATCH(N15,'Raw lists'!$C$2:$C$616,0))&amp;" | ",""))&amp;IF(O15="","",IFERROR(INDEX('Raw lists'!$C$2:$C$616,MATCH(O15,'Raw lists'!$C$2:$C$616,0))&amp;" | ",""))&amp;IF(P15="","",IFERROR(INDEX('Raw lists'!$C$2:$C$616,MATCH(P15,'Raw lists'!$C$2:$C$616,0))&amp;" | ","")))=0,"",LEFT(IF(K15="","",IFERROR(INDEX('Raw lists'!$C$2:$C$616,MATCH(K15,'Raw lists'!$C$2:$C$616,0))&amp;" | ",""))&amp;IF(L15="","",IFERROR(INDEX('Raw lists'!$C$2:$C$616,MATCH(L15,'Raw lists'!$C$2:$C$616,0))&amp;" | ",""))&amp;IF(M15="","",IFERROR(INDEX('Raw lists'!$C$2:$C$616,MATCH(M15,'Raw lists'!$C$2:$C$616,0))&amp;" | ",""))&amp;IF(N15="","",IFERROR(INDEX('Raw lists'!$C$2:$C$616,MATCH(N15,'Raw lists'!$C$2:$C$616,0))&amp;" | ",""))&amp;IF(O15="","",IFERROR(INDEX('Raw lists'!$C$2:$C$616,MATCH(O15,'Raw lists'!$C$2:$C$616,0))&amp;" | ",""))&amp;IF(P15="","",IFERROR(INDEX('Raw lists'!$C$2:$C$616,MATCH(P15,'Raw lists'!$C$2:$C$616,0))&amp;" | ","")),LEN(IF(K15="","",IFERROR(INDEX('Raw lists'!$C$2:$C$616,MATCH(K15,'Raw lists'!$C$2:$C$616,0))&amp;" | ",""))&amp;IF(L15="","",IFERROR(INDEX('Raw lists'!$C$2:$C$616,MATCH(L15,'Raw lists'!$C$2:$C$616,0))&amp;" | ",""))&amp;IF(M15="","",IFERROR(INDEX('Raw lists'!$C$2:$C$616,MATCH(M15,'Raw lists'!$C$2:$C$616,0))&amp;" | ",""))&amp;IF(N15="","",IFERROR(INDEX('Raw lists'!$C$2:$C$616,MATCH(N15,'Raw lists'!$C$2:$C$616,0))&amp;" | ",""))&amp;IF(O15="","",IFERROR(INDEX('Raw lists'!$C$2:$C$616,MATCH(O15,'Raw lists'!$C$2:$C$616,0))&amp;" | ",""))&amp;IF(P15="","",IFERROR(INDEX('Raw lists'!$C$2:$C$616,MATCH(P15,'Raw lists'!$C$2:$C$616,0))&amp;" | ","")))-3))</f>
        <v/>
      </c>
      <c r="F15" s="28" t="s">
        <v>17</v>
      </c>
      <c r="G15" s="30" t="s">
        <v>78</v>
      </c>
      <c r="H15" s="28">
        <f t="shared" si="0"/>
        <v>1</v>
      </c>
      <c r="I15" s="31" t="str">
        <f t="shared" si="1"/>
        <v>Only RAKE</v>
      </c>
      <c r="K15" s="32" t="s">
        <v>79</v>
      </c>
      <c r="L15" s="32" t="s">
        <v>80</v>
      </c>
      <c r="M15" s="32"/>
      <c r="N15" s="32"/>
      <c r="O15" s="32"/>
      <c r="P15" s="32"/>
    </row>
    <row r="16" spans="1:25" x14ac:dyDescent="0.3">
      <c r="A16" s="28">
        <v>15</v>
      </c>
      <c r="B16" s="29" t="s">
        <v>81</v>
      </c>
      <c r="C16" s="30" t="str">
        <f>IF(LEN(IF(K16="","",IFERROR(INDEX('Raw lists'!$A$2:$A$192,MATCH(K16,'Raw lists'!$A$2:$A$192,0))&amp;" | ",""))&amp;IF(L16="","",IFERROR(INDEX('Raw lists'!$A$2:$A$192,MATCH(L16,'Raw lists'!$A$2:$A$192,0))&amp;" | ",""))&amp;IF(M16="","",IFERROR(INDEX('Raw lists'!$A$2:$A$192,MATCH(M16,'Raw lists'!$A$2:$A$192,0))&amp;" | ",""))&amp;IF(N16="","",IFERROR(INDEX('Raw lists'!$A$2:$A$192,MATCH(N16,'Raw lists'!$A$2:$A$192,0))&amp;" | ",""))&amp;IF(O16="","",IFERROR(INDEX('Raw lists'!$A$2:$A$192,MATCH(O16,'Raw lists'!$A$2:$A$192,0))&amp;" | ",""))&amp;IF(P16="","",IFERROR(INDEX('Raw lists'!$A$2:$A$192,MATCH(P16,'Raw lists'!$A$2:$A$192,0))&amp;" | ","")))=0,"",LEFT(IF(K16="","",IFERROR(INDEX('Raw lists'!$A$2:$A$192,MATCH(K16,'Raw lists'!$A$2:$A$192,0))&amp;" | ",""))&amp;IF(L16="","",IFERROR(INDEX('Raw lists'!$A$2:$A$192,MATCH(L16,'Raw lists'!$A$2:$A$192,0))&amp;" | ",""))&amp;IF(M16="","",IFERROR(INDEX('Raw lists'!$A$2:$A$192,MATCH(M16,'Raw lists'!$A$2:$A$192,0))&amp;" | ",""))&amp;IF(N16="","",IFERROR(INDEX('Raw lists'!$A$2:$A$192,MATCH(N16,'Raw lists'!$A$2:$A$192,0))&amp;" | ",""))&amp;IF(O16="","",IFERROR(INDEX('Raw lists'!$A$2:$A$192,MATCH(O16,'Raw lists'!$A$2:$A$192,0))&amp;" | ",""))&amp;IF(P16="","",IFERROR(INDEX('Raw lists'!$A$2:$A$192,MATCH(P16,'Raw lists'!$A$2:$A$192,0))&amp;" | ","")),LEN(IF(K16="","",IFERROR(INDEX('Raw lists'!$A$2:$A$192,MATCH(K16,'Raw lists'!$A$2:$A$192,0))&amp;" | ",""))&amp;IF(L16="","",IFERROR(INDEX('Raw lists'!$A$2:$A$192,MATCH(L16,'Raw lists'!$A$2:$A$192,0))&amp;" | ",""))&amp;IF(M16="","",IFERROR(INDEX('Raw lists'!$A$2:$A$192,MATCH(M16,'Raw lists'!$A$2:$A$192,0))&amp;" | ",""))&amp;IF(N16="","",IFERROR(INDEX('Raw lists'!$A$2:$A$192,MATCH(N16,'Raw lists'!$A$2:$A$192,0))&amp;" | ",""))&amp;IF(O16="","",IFERROR(INDEX('Raw lists'!$A$2:$A$192,MATCH(O16,'Raw lists'!$A$2:$A$192,0))&amp;" | ",""))&amp;IF(P16="","",IFERROR(INDEX('Raw lists'!$A$2:$A$192,MATCH(P16,'Raw lists'!$A$2:$A$192,0))&amp;" | ","")))-3))</f>
        <v/>
      </c>
      <c r="D16" s="30" t="str">
        <f>IF(LEN(IF(K16="","",IFERROR(INDEX('Raw lists'!$B$2:$B$627,MATCH(K16,'Raw lists'!$B$2:$B$627,0))&amp;" | ",""))&amp;IF(L16="","",IFERROR(INDEX('Raw lists'!$B$2:$B$627,MATCH(L16,'Raw lists'!$B$2:$B$627,0))&amp;" | ",""))&amp;IF(M16="","",IFERROR(INDEX('Raw lists'!$B$2:$B$627,MATCH(M16,'Raw lists'!$B$2:$B$627,0))&amp;" | ",""))&amp;IF(N16="","",IFERROR(INDEX('Raw lists'!$B$2:$B$627,MATCH(N16,'Raw lists'!$B$2:$B$627,0))&amp;" | ",""))&amp;IF(O16="","",IFERROR(INDEX('Raw lists'!$B$2:$B$627,MATCH(O16,'Raw lists'!$B$2:$B$627,0))&amp;" | ",""))&amp;IF(P16="","",IFERROR(INDEX('Raw lists'!$B$2:$B$627,MATCH(P16,'Raw lists'!$B$2:$B$627,0))&amp;" | ","")))=0,"",LEFT(IF(K16="","",IFERROR(INDEX('Raw lists'!$B$2:$B$627,MATCH(K16,'Raw lists'!$B$2:$B$627,0))&amp;" | ",""))&amp;IF(L16="","",IFERROR(INDEX('Raw lists'!$B$2:$B$627,MATCH(L16,'Raw lists'!$B$2:$B$627,0))&amp;" | ",""))&amp;IF(M16="","",IFERROR(INDEX('Raw lists'!$B$2:$B$627,MATCH(M16,'Raw lists'!$B$2:$B$627,0))&amp;" | ",""))&amp;IF(N16="","",IFERROR(INDEX('Raw lists'!$B$2:$B$627,MATCH(N16,'Raw lists'!$B$2:$B$627,0))&amp;" | ",""))&amp;IF(O16="","",IFERROR(INDEX('Raw lists'!$B$2:$B$627,MATCH(O16,'Raw lists'!$B$2:$B$627,0))&amp;" | ",""))&amp;IF(P16="","",IFERROR(INDEX('Raw lists'!$B$2:$B$627,MATCH(P16,'Raw lists'!$B$2:$B$627,0))&amp;" | ","")),LEN(IF(K16="","",IFERROR(INDEX('Raw lists'!$B$2:$B$627,MATCH(K16,'Raw lists'!$B$2:$B$627,0))&amp;" | ",""))&amp;IF(L16="","",IFERROR(INDEX('Raw lists'!$B$2:$B$627,MATCH(L16,'Raw lists'!$B$2:$B$627,0))&amp;" | ",""))&amp;IF(M16="","",IFERROR(INDEX('Raw lists'!$B$2:$B$627,MATCH(M16,'Raw lists'!$B$2:$B$627,0))&amp;" | ",""))&amp;IF(N16="","",IFERROR(INDEX('Raw lists'!$B$2:$B$627,MATCH(N16,'Raw lists'!$B$2:$B$627,0))&amp;" | ",""))&amp;IF(O16="","",IFERROR(INDEX('Raw lists'!$B$2:$B$627,MATCH(O16,'Raw lists'!$B$2:$B$627,0))&amp;" | ",""))&amp;IF(P16="","",IFERROR(INDEX('Raw lists'!$B$2:$B$627,MATCH(P16,'Raw lists'!$B$2:$B$627,0))&amp;" | ","")))-3))</f>
        <v/>
      </c>
      <c r="E16" s="30" t="str">
        <f>IF(LEN(IF(K16="","",IFERROR(INDEX('Raw lists'!$C$2:$C$616,MATCH(K16,'Raw lists'!$C$2:$C$616,0))&amp;" | ",""))&amp;IF(L16="","",IFERROR(INDEX('Raw lists'!$C$2:$C$616,MATCH(L16,'Raw lists'!$C$2:$C$616,0))&amp;" | ",""))&amp;IF(M16="","",IFERROR(INDEX('Raw lists'!$C$2:$C$616,MATCH(M16,'Raw lists'!$C$2:$C$616,0))&amp;" | ",""))&amp;IF(N16="","",IFERROR(INDEX('Raw lists'!$C$2:$C$616,MATCH(N16,'Raw lists'!$C$2:$C$616,0))&amp;" | ",""))&amp;IF(O16="","",IFERROR(INDEX('Raw lists'!$C$2:$C$616,MATCH(O16,'Raw lists'!$C$2:$C$616,0))&amp;" | ",""))&amp;IF(P16="","",IFERROR(INDEX('Raw lists'!$C$2:$C$616,MATCH(P16,'Raw lists'!$C$2:$C$616,0))&amp;" | ","")))=0,"",LEFT(IF(K16="","",IFERROR(INDEX('Raw lists'!$C$2:$C$616,MATCH(K16,'Raw lists'!$C$2:$C$616,0))&amp;" | ",""))&amp;IF(L16="","",IFERROR(INDEX('Raw lists'!$C$2:$C$616,MATCH(L16,'Raw lists'!$C$2:$C$616,0))&amp;" | ",""))&amp;IF(M16="","",IFERROR(INDEX('Raw lists'!$C$2:$C$616,MATCH(M16,'Raw lists'!$C$2:$C$616,0))&amp;" | ",""))&amp;IF(N16="","",IFERROR(INDEX('Raw lists'!$C$2:$C$616,MATCH(N16,'Raw lists'!$C$2:$C$616,0))&amp;" | ",""))&amp;IF(O16="","",IFERROR(INDEX('Raw lists'!$C$2:$C$616,MATCH(O16,'Raw lists'!$C$2:$C$616,0))&amp;" | ",""))&amp;IF(P16="","",IFERROR(INDEX('Raw lists'!$C$2:$C$616,MATCH(P16,'Raw lists'!$C$2:$C$616,0))&amp;" | ","")),LEN(IF(K16="","",IFERROR(INDEX('Raw lists'!$C$2:$C$616,MATCH(K16,'Raw lists'!$C$2:$C$616,0))&amp;" | ",""))&amp;IF(L16="","",IFERROR(INDEX('Raw lists'!$C$2:$C$616,MATCH(L16,'Raw lists'!$C$2:$C$616,0))&amp;" | ",""))&amp;IF(M16="","",IFERROR(INDEX('Raw lists'!$C$2:$C$616,MATCH(M16,'Raw lists'!$C$2:$C$616,0))&amp;" | ",""))&amp;IF(N16="","",IFERROR(INDEX('Raw lists'!$C$2:$C$616,MATCH(N16,'Raw lists'!$C$2:$C$616,0))&amp;" | ",""))&amp;IF(O16="","",IFERROR(INDEX('Raw lists'!$C$2:$C$616,MATCH(O16,'Raw lists'!$C$2:$C$616,0))&amp;" | ",""))&amp;IF(P16="","",IFERROR(INDEX('Raw lists'!$C$2:$C$616,MATCH(P16,'Raw lists'!$C$2:$C$616,0))&amp;" | ","")))-3))</f>
        <v>Anisotropic Materials</v>
      </c>
      <c r="F16" s="28" t="s">
        <v>17</v>
      </c>
      <c r="G16" s="30" t="s">
        <v>82</v>
      </c>
      <c r="H16" s="28">
        <f t="shared" si="0"/>
        <v>1</v>
      </c>
      <c r="I16" s="31" t="str">
        <f t="shared" si="1"/>
        <v>Only YAKE</v>
      </c>
      <c r="K16" s="32" t="s">
        <v>83</v>
      </c>
      <c r="L16" s="32"/>
      <c r="M16" s="32"/>
      <c r="N16" s="32"/>
      <c r="O16" s="32"/>
      <c r="P16" s="32"/>
    </row>
    <row r="17" spans="1:16" x14ac:dyDescent="0.3">
      <c r="A17" s="28">
        <v>16</v>
      </c>
      <c r="B17" s="29" t="s">
        <v>84</v>
      </c>
      <c r="C17" s="30" t="str">
        <f>IF(LEN(IF(K17="","",IFERROR(INDEX('Raw lists'!$A$2:$A$192,MATCH(K17,'Raw lists'!$A$2:$A$192,0))&amp;" | ",""))&amp;IF(L17="","",IFERROR(INDEX('Raw lists'!$A$2:$A$192,MATCH(L17,'Raw lists'!$A$2:$A$192,0))&amp;" | ",""))&amp;IF(M17="","",IFERROR(INDEX('Raw lists'!$A$2:$A$192,MATCH(M17,'Raw lists'!$A$2:$A$192,0))&amp;" | ",""))&amp;IF(N17="","",IFERROR(INDEX('Raw lists'!$A$2:$A$192,MATCH(N17,'Raw lists'!$A$2:$A$192,0))&amp;" | ",""))&amp;IF(O17="","",IFERROR(INDEX('Raw lists'!$A$2:$A$192,MATCH(O17,'Raw lists'!$A$2:$A$192,0))&amp;" | ",""))&amp;IF(P17="","",IFERROR(INDEX('Raw lists'!$A$2:$A$192,MATCH(P17,'Raw lists'!$A$2:$A$192,0))&amp;" | ","")))=0,"",LEFT(IF(K17="","",IFERROR(INDEX('Raw lists'!$A$2:$A$192,MATCH(K17,'Raw lists'!$A$2:$A$192,0))&amp;" | ",""))&amp;IF(L17="","",IFERROR(INDEX('Raw lists'!$A$2:$A$192,MATCH(L17,'Raw lists'!$A$2:$A$192,0))&amp;" | ",""))&amp;IF(M17="","",IFERROR(INDEX('Raw lists'!$A$2:$A$192,MATCH(M17,'Raw lists'!$A$2:$A$192,0))&amp;" | ",""))&amp;IF(N17="","",IFERROR(INDEX('Raw lists'!$A$2:$A$192,MATCH(N17,'Raw lists'!$A$2:$A$192,0))&amp;" | ",""))&amp;IF(O17="","",IFERROR(INDEX('Raw lists'!$A$2:$A$192,MATCH(O17,'Raw lists'!$A$2:$A$192,0))&amp;" | ",""))&amp;IF(P17="","",IFERROR(INDEX('Raw lists'!$A$2:$A$192,MATCH(P17,'Raw lists'!$A$2:$A$192,0))&amp;" | ","")),LEN(IF(K17="","",IFERROR(INDEX('Raw lists'!$A$2:$A$192,MATCH(K17,'Raw lists'!$A$2:$A$192,0))&amp;" | ",""))&amp;IF(L17="","",IFERROR(INDEX('Raw lists'!$A$2:$A$192,MATCH(L17,'Raw lists'!$A$2:$A$192,0))&amp;" | ",""))&amp;IF(M17="","",IFERROR(INDEX('Raw lists'!$A$2:$A$192,MATCH(M17,'Raw lists'!$A$2:$A$192,0))&amp;" | ",""))&amp;IF(N17="","",IFERROR(INDEX('Raw lists'!$A$2:$A$192,MATCH(N17,'Raw lists'!$A$2:$A$192,0))&amp;" | ",""))&amp;IF(O17="","",IFERROR(INDEX('Raw lists'!$A$2:$A$192,MATCH(O17,'Raw lists'!$A$2:$A$192,0))&amp;" | ",""))&amp;IF(P17="","",IFERROR(INDEX('Raw lists'!$A$2:$A$192,MATCH(P17,'Raw lists'!$A$2:$A$192,0))&amp;" | ","")))-3))</f>
        <v>Ordinary Ray | O-ray</v>
      </c>
      <c r="D17" s="30" t="str">
        <f>IF(LEN(IF(K17="","",IFERROR(INDEX('Raw lists'!$B$2:$B$627,MATCH(K17,'Raw lists'!$B$2:$B$627,0))&amp;" | ",""))&amp;IF(L17="","",IFERROR(INDEX('Raw lists'!$B$2:$B$627,MATCH(L17,'Raw lists'!$B$2:$B$627,0))&amp;" | ",""))&amp;IF(M17="","",IFERROR(INDEX('Raw lists'!$B$2:$B$627,MATCH(M17,'Raw lists'!$B$2:$B$627,0))&amp;" | ",""))&amp;IF(N17="","",IFERROR(INDEX('Raw lists'!$B$2:$B$627,MATCH(N17,'Raw lists'!$B$2:$B$627,0))&amp;" | ",""))&amp;IF(O17="","",IFERROR(INDEX('Raw lists'!$B$2:$B$627,MATCH(O17,'Raw lists'!$B$2:$B$627,0))&amp;" | ",""))&amp;IF(P17="","",IFERROR(INDEX('Raw lists'!$B$2:$B$627,MATCH(P17,'Raw lists'!$B$2:$B$627,0))&amp;" | ","")))=0,"",LEFT(IF(K17="","",IFERROR(INDEX('Raw lists'!$B$2:$B$627,MATCH(K17,'Raw lists'!$B$2:$B$627,0))&amp;" | ",""))&amp;IF(L17="","",IFERROR(INDEX('Raw lists'!$B$2:$B$627,MATCH(L17,'Raw lists'!$B$2:$B$627,0))&amp;" | ",""))&amp;IF(M17="","",IFERROR(INDEX('Raw lists'!$B$2:$B$627,MATCH(M17,'Raw lists'!$B$2:$B$627,0))&amp;" | ",""))&amp;IF(N17="","",IFERROR(INDEX('Raw lists'!$B$2:$B$627,MATCH(N17,'Raw lists'!$B$2:$B$627,0))&amp;" | ",""))&amp;IF(O17="","",IFERROR(INDEX('Raw lists'!$B$2:$B$627,MATCH(O17,'Raw lists'!$B$2:$B$627,0))&amp;" | ",""))&amp;IF(P17="","",IFERROR(INDEX('Raw lists'!$B$2:$B$627,MATCH(P17,'Raw lists'!$B$2:$B$627,0))&amp;" | ","")),LEN(IF(K17="","",IFERROR(INDEX('Raw lists'!$B$2:$B$627,MATCH(K17,'Raw lists'!$B$2:$B$627,0))&amp;" | ",""))&amp;IF(L17="","",IFERROR(INDEX('Raw lists'!$B$2:$B$627,MATCH(L17,'Raw lists'!$B$2:$B$627,0))&amp;" | ",""))&amp;IF(M17="","",IFERROR(INDEX('Raw lists'!$B$2:$B$627,MATCH(M17,'Raw lists'!$B$2:$B$627,0))&amp;" | ",""))&amp;IF(N17="","",IFERROR(INDEX('Raw lists'!$B$2:$B$627,MATCH(N17,'Raw lists'!$B$2:$B$627,0))&amp;" | ",""))&amp;IF(O17="","",IFERROR(INDEX('Raw lists'!$B$2:$B$627,MATCH(O17,'Raw lists'!$B$2:$B$627,0))&amp;" | ",""))&amp;IF(P17="","",IFERROR(INDEX('Raw lists'!$B$2:$B$627,MATCH(P17,'Raw lists'!$B$2:$B$627,0))&amp;" | ","")))-3))</f>
        <v>Ordinary Ray</v>
      </c>
      <c r="E17" s="30" t="str">
        <f>IF(LEN(IF(K17="","",IFERROR(INDEX('Raw lists'!$C$2:$C$616,MATCH(K17,'Raw lists'!$C$2:$C$616,0))&amp;" | ",""))&amp;IF(L17="","",IFERROR(INDEX('Raw lists'!$C$2:$C$616,MATCH(L17,'Raw lists'!$C$2:$C$616,0))&amp;" | ",""))&amp;IF(M17="","",IFERROR(INDEX('Raw lists'!$C$2:$C$616,MATCH(M17,'Raw lists'!$C$2:$C$616,0))&amp;" | ",""))&amp;IF(N17="","",IFERROR(INDEX('Raw lists'!$C$2:$C$616,MATCH(N17,'Raw lists'!$C$2:$C$616,0))&amp;" | ",""))&amp;IF(O17="","",IFERROR(INDEX('Raw lists'!$C$2:$C$616,MATCH(O17,'Raw lists'!$C$2:$C$616,0))&amp;" | ",""))&amp;IF(P17="","",IFERROR(INDEX('Raw lists'!$C$2:$C$616,MATCH(P17,'Raw lists'!$C$2:$C$616,0))&amp;" | ","")))=0,"",LEFT(IF(K17="","",IFERROR(INDEX('Raw lists'!$C$2:$C$616,MATCH(K17,'Raw lists'!$C$2:$C$616,0))&amp;" | ",""))&amp;IF(L17="","",IFERROR(INDEX('Raw lists'!$C$2:$C$616,MATCH(L17,'Raw lists'!$C$2:$C$616,0))&amp;" | ",""))&amp;IF(M17="","",IFERROR(INDEX('Raw lists'!$C$2:$C$616,MATCH(M17,'Raw lists'!$C$2:$C$616,0))&amp;" | ",""))&amp;IF(N17="","",IFERROR(INDEX('Raw lists'!$C$2:$C$616,MATCH(N17,'Raw lists'!$C$2:$C$616,0))&amp;" | ",""))&amp;IF(O17="","",IFERROR(INDEX('Raw lists'!$C$2:$C$616,MATCH(O17,'Raw lists'!$C$2:$C$616,0))&amp;" | ",""))&amp;IF(P17="","",IFERROR(INDEX('Raw lists'!$C$2:$C$616,MATCH(P17,'Raw lists'!$C$2:$C$616,0))&amp;" | ","")),LEN(IF(K17="","",IFERROR(INDEX('Raw lists'!$C$2:$C$616,MATCH(K17,'Raw lists'!$C$2:$C$616,0))&amp;" | ",""))&amp;IF(L17="","",IFERROR(INDEX('Raw lists'!$C$2:$C$616,MATCH(L17,'Raw lists'!$C$2:$C$616,0))&amp;" | ",""))&amp;IF(M17="","",IFERROR(INDEX('Raw lists'!$C$2:$C$616,MATCH(M17,'Raw lists'!$C$2:$C$616,0))&amp;" | ",""))&amp;IF(N17="","",IFERROR(INDEX('Raw lists'!$C$2:$C$616,MATCH(N17,'Raw lists'!$C$2:$C$616,0))&amp;" | ",""))&amp;IF(O17="","",IFERROR(INDEX('Raw lists'!$C$2:$C$616,MATCH(O17,'Raw lists'!$C$2:$C$616,0))&amp;" | ",""))&amp;IF(P17="","",IFERROR(INDEX('Raw lists'!$C$2:$C$616,MATCH(P17,'Raw lists'!$C$2:$C$616,0))&amp;" | ","")))-3))</f>
        <v>Ordinary Ray | O-ray</v>
      </c>
      <c r="F17" s="28" t="s">
        <v>17</v>
      </c>
      <c r="G17" s="30" t="s">
        <v>85</v>
      </c>
      <c r="H17" s="28">
        <f t="shared" si="0"/>
        <v>3</v>
      </c>
      <c r="I17" s="31" t="str">
        <f t="shared" si="1"/>
        <v>All three</v>
      </c>
      <c r="K17" s="32" t="s">
        <v>86</v>
      </c>
      <c r="L17" s="32" t="s">
        <v>87</v>
      </c>
      <c r="M17" s="32" t="s">
        <v>88</v>
      </c>
      <c r="N17" s="32"/>
      <c r="O17" s="32"/>
      <c r="P17" s="32"/>
    </row>
    <row r="18" spans="1:16" x14ac:dyDescent="0.3">
      <c r="A18" s="28">
        <v>17</v>
      </c>
      <c r="B18" s="29" t="s">
        <v>89</v>
      </c>
      <c r="C18" s="30" t="str">
        <f>IF(LEN(IF(K18="","",IFERROR(INDEX('Raw lists'!$A$2:$A$192,MATCH(K18,'Raw lists'!$A$2:$A$192,0))&amp;" | ",""))&amp;IF(L18="","",IFERROR(INDEX('Raw lists'!$A$2:$A$192,MATCH(L18,'Raw lists'!$A$2:$A$192,0))&amp;" | ",""))&amp;IF(M18="","",IFERROR(INDEX('Raw lists'!$A$2:$A$192,MATCH(M18,'Raw lists'!$A$2:$A$192,0))&amp;" | ",""))&amp;IF(N18="","",IFERROR(INDEX('Raw lists'!$A$2:$A$192,MATCH(N18,'Raw lists'!$A$2:$A$192,0))&amp;" | ",""))&amp;IF(O18="","",IFERROR(INDEX('Raw lists'!$A$2:$A$192,MATCH(O18,'Raw lists'!$A$2:$A$192,0))&amp;" | ",""))&amp;IF(P18="","",IFERROR(INDEX('Raw lists'!$A$2:$A$192,MATCH(P18,'Raw lists'!$A$2:$A$192,0))&amp;" | ","")))=0,"",LEFT(IF(K18="","",IFERROR(INDEX('Raw lists'!$A$2:$A$192,MATCH(K18,'Raw lists'!$A$2:$A$192,0))&amp;" | ",""))&amp;IF(L18="","",IFERROR(INDEX('Raw lists'!$A$2:$A$192,MATCH(L18,'Raw lists'!$A$2:$A$192,0))&amp;" | ",""))&amp;IF(M18="","",IFERROR(INDEX('Raw lists'!$A$2:$A$192,MATCH(M18,'Raw lists'!$A$2:$A$192,0))&amp;" | ",""))&amp;IF(N18="","",IFERROR(INDEX('Raw lists'!$A$2:$A$192,MATCH(N18,'Raw lists'!$A$2:$A$192,0))&amp;" | ",""))&amp;IF(O18="","",IFERROR(INDEX('Raw lists'!$A$2:$A$192,MATCH(O18,'Raw lists'!$A$2:$A$192,0))&amp;" | ",""))&amp;IF(P18="","",IFERROR(INDEX('Raw lists'!$A$2:$A$192,MATCH(P18,'Raw lists'!$A$2:$A$192,0))&amp;" | ","")),LEN(IF(K18="","",IFERROR(INDEX('Raw lists'!$A$2:$A$192,MATCH(K18,'Raw lists'!$A$2:$A$192,0))&amp;" | ",""))&amp;IF(L18="","",IFERROR(INDEX('Raw lists'!$A$2:$A$192,MATCH(L18,'Raw lists'!$A$2:$A$192,0))&amp;" | ",""))&amp;IF(M18="","",IFERROR(INDEX('Raw lists'!$A$2:$A$192,MATCH(M18,'Raw lists'!$A$2:$A$192,0))&amp;" | ",""))&amp;IF(N18="","",IFERROR(INDEX('Raw lists'!$A$2:$A$192,MATCH(N18,'Raw lists'!$A$2:$A$192,0))&amp;" | ",""))&amp;IF(O18="","",IFERROR(INDEX('Raw lists'!$A$2:$A$192,MATCH(O18,'Raw lists'!$A$2:$A$192,0))&amp;" | ",""))&amp;IF(P18="","",IFERROR(INDEX('Raw lists'!$A$2:$A$192,MATCH(P18,'Raw lists'!$A$2:$A$192,0))&amp;" | ","")))-3))</f>
        <v>Extraordinary Ray</v>
      </c>
      <c r="D18" s="30" t="str">
        <f>IF(LEN(IF(K18="","",IFERROR(INDEX('Raw lists'!$B$2:$B$627,MATCH(K18,'Raw lists'!$B$2:$B$627,0))&amp;" | ",""))&amp;IF(L18="","",IFERROR(INDEX('Raw lists'!$B$2:$B$627,MATCH(L18,'Raw lists'!$B$2:$B$627,0))&amp;" | ",""))&amp;IF(M18="","",IFERROR(INDEX('Raw lists'!$B$2:$B$627,MATCH(M18,'Raw lists'!$B$2:$B$627,0))&amp;" | ",""))&amp;IF(N18="","",IFERROR(INDEX('Raw lists'!$B$2:$B$627,MATCH(N18,'Raw lists'!$B$2:$B$627,0))&amp;" | ",""))&amp;IF(O18="","",IFERROR(INDEX('Raw lists'!$B$2:$B$627,MATCH(O18,'Raw lists'!$B$2:$B$627,0))&amp;" | ",""))&amp;IF(P18="","",IFERROR(INDEX('Raw lists'!$B$2:$B$627,MATCH(P18,'Raw lists'!$B$2:$B$627,0))&amp;" | ","")))=0,"",LEFT(IF(K18="","",IFERROR(INDEX('Raw lists'!$B$2:$B$627,MATCH(K18,'Raw lists'!$B$2:$B$627,0))&amp;" | ",""))&amp;IF(L18="","",IFERROR(INDEX('Raw lists'!$B$2:$B$627,MATCH(L18,'Raw lists'!$B$2:$B$627,0))&amp;" | ",""))&amp;IF(M18="","",IFERROR(INDEX('Raw lists'!$B$2:$B$627,MATCH(M18,'Raw lists'!$B$2:$B$627,0))&amp;" | ",""))&amp;IF(N18="","",IFERROR(INDEX('Raw lists'!$B$2:$B$627,MATCH(N18,'Raw lists'!$B$2:$B$627,0))&amp;" | ",""))&amp;IF(O18="","",IFERROR(INDEX('Raw lists'!$B$2:$B$627,MATCH(O18,'Raw lists'!$B$2:$B$627,0))&amp;" | ",""))&amp;IF(P18="","",IFERROR(INDEX('Raw lists'!$B$2:$B$627,MATCH(P18,'Raw lists'!$B$2:$B$627,0))&amp;" | ","")),LEN(IF(K18="","",IFERROR(INDEX('Raw lists'!$B$2:$B$627,MATCH(K18,'Raw lists'!$B$2:$B$627,0))&amp;" | ",""))&amp;IF(L18="","",IFERROR(INDEX('Raw lists'!$B$2:$B$627,MATCH(L18,'Raw lists'!$B$2:$B$627,0))&amp;" | ",""))&amp;IF(M18="","",IFERROR(INDEX('Raw lists'!$B$2:$B$627,MATCH(M18,'Raw lists'!$B$2:$B$627,0))&amp;" | ",""))&amp;IF(N18="","",IFERROR(INDEX('Raw lists'!$B$2:$B$627,MATCH(N18,'Raw lists'!$B$2:$B$627,0))&amp;" | ",""))&amp;IF(O18="","",IFERROR(INDEX('Raw lists'!$B$2:$B$627,MATCH(O18,'Raw lists'!$B$2:$B$627,0))&amp;" | ",""))&amp;IF(P18="","",IFERROR(INDEX('Raw lists'!$B$2:$B$627,MATCH(P18,'Raw lists'!$B$2:$B$627,0))&amp;" | ","")))-3))</f>
        <v>Extraordinary Ray</v>
      </c>
      <c r="E18" s="30" t="str">
        <f>IF(LEN(IF(K18="","",IFERROR(INDEX('Raw lists'!$C$2:$C$616,MATCH(K18,'Raw lists'!$C$2:$C$616,0))&amp;" | ",""))&amp;IF(L18="","",IFERROR(INDEX('Raw lists'!$C$2:$C$616,MATCH(L18,'Raw lists'!$C$2:$C$616,0))&amp;" | ",""))&amp;IF(M18="","",IFERROR(INDEX('Raw lists'!$C$2:$C$616,MATCH(M18,'Raw lists'!$C$2:$C$616,0))&amp;" | ",""))&amp;IF(N18="","",IFERROR(INDEX('Raw lists'!$C$2:$C$616,MATCH(N18,'Raw lists'!$C$2:$C$616,0))&amp;" | ",""))&amp;IF(O18="","",IFERROR(INDEX('Raw lists'!$C$2:$C$616,MATCH(O18,'Raw lists'!$C$2:$C$616,0))&amp;" | ",""))&amp;IF(P18="","",IFERROR(INDEX('Raw lists'!$C$2:$C$616,MATCH(P18,'Raw lists'!$C$2:$C$616,0))&amp;" | ","")))=0,"",LEFT(IF(K18="","",IFERROR(INDEX('Raw lists'!$C$2:$C$616,MATCH(K18,'Raw lists'!$C$2:$C$616,0))&amp;" | ",""))&amp;IF(L18="","",IFERROR(INDEX('Raw lists'!$C$2:$C$616,MATCH(L18,'Raw lists'!$C$2:$C$616,0))&amp;" | ",""))&amp;IF(M18="","",IFERROR(INDEX('Raw lists'!$C$2:$C$616,MATCH(M18,'Raw lists'!$C$2:$C$616,0))&amp;" | ",""))&amp;IF(N18="","",IFERROR(INDEX('Raw lists'!$C$2:$C$616,MATCH(N18,'Raw lists'!$C$2:$C$616,0))&amp;" | ",""))&amp;IF(O18="","",IFERROR(INDEX('Raw lists'!$C$2:$C$616,MATCH(O18,'Raw lists'!$C$2:$C$616,0))&amp;" | ",""))&amp;IF(P18="","",IFERROR(INDEX('Raw lists'!$C$2:$C$616,MATCH(P18,'Raw lists'!$C$2:$C$616,0))&amp;" | ","")),LEN(IF(K18="","",IFERROR(INDEX('Raw lists'!$C$2:$C$616,MATCH(K18,'Raw lists'!$C$2:$C$616,0))&amp;" | ",""))&amp;IF(L18="","",IFERROR(INDEX('Raw lists'!$C$2:$C$616,MATCH(L18,'Raw lists'!$C$2:$C$616,0))&amp;" | ",""))&amp;IF(M18="","",IFERROR(INDEX('Raw lists'!$C$2:$C$616,MATCH(M18,'Raw lists'!$C$2:$C$616,0))&amp;" | ",""))&amp;IF(N18="","",IFERROR(INDEX('Raw lists'!$C$2:$C$616,MATCH(N18,'Raw lists'!$C$2:$C$616,0))&amp;" | ",""))&amp;IF(O18="","",IFERROR(INDEX('Raw lists'!$C$2:$C$616,MATCH(O18,'Raw lists'!$C$2:$C$616,0))&amp;" | ",""))&amp;IF(P18="","",IFERROR(INDEX('Raw lists'!$C$2:$C$616,MATCH(P18,'Raw lists'!$C$2:$C$616,0))&amp;" | ","")))-3))</f>
        <v>Extraordinary Ray | E-ray</v>
      </c>
      <c r="F18" s="28" t="s">
        <v>17</v>
      </c>
      <c r="G18" s="30" t="s">
        <v>90</v>
      </c>
      <c r="H18" s="28">
        <f t="shared" si="0"/>
        <v>3</v>
      </c>
      <c r="I18" s="31" t="str">
        <f t="shared" si="1"/>
        <v>All three</v>
      </c>
      <c r="K18" s="32" t="s">
        <v>91</v>
      </c>
      <c r="L18" s="32" t="s">
        <v>92</v>
      </c>
      <c r="M18" s="32" t="s">
        <v>93</v>
      </c>
      <c r="N18" s="32"/>
      <c r="O18" s="32"/>
      <c r="P18" s="32"/>
    </row>
    <row r="19" spans="1:16" x14ac:dyDescent="0.3">
      <c r="A19" s="28">
        <v>18</v>
      </c>
      <c r="B19" s="29" t="s">
        <v>94</v>
      </c>
      <c r="C19" s="30" t="str">
        <f>IF(LEN(IF(K19="","",IFERROR(INDEX('Raw lists'!$A$2:$A$192,MATCH(K19,'Raw lists'!$A$2:$A$192,0))&amp;" | ",""))&amp;IF(L19="","",IFERROR(INDEX('Raw lists'!$A$2:$A$192,MATCH(L19,'Raw lists'!$A$2:$A$192,0))&amp;" | ",""))&amp;IF(M19="","",IFERROR(INDEX('Raw lists'!$A$2:$A$192,MATCH(M19,'Raw lists'!$A$2:$A$192,0))&amp;" | ",""))&amp;IF(N19="","",IFERROR(INDEX('Raw lists'!$A$2:$A$192,MATCH(N19,'Raw lists'!$A$2:$A$192,0))&amp;" | ",""))&amp;IF(O19="","",IFERROR(INDEX('Raw lists'!$A$2:$A$192,MATCH(O19,'Raw lists'!$A$2:$A$192,0))&amp;" | ",""))&amp;IF(P19="","",IFERROR(INDEX('Raw lists'!$A$2:$A$192,MATCH(P19,'Raw lists'!$A$2:$A$192,0))&amp;" | ","")))=0,"",LEFT(IF(K19="","",IFERROR(INDEX('Raw lists'!$A$2:$A$192,MATCH(K19,'Raw lists'!$A$2:$A$192,0))&amp;" | ",""))&amp;IF(L19="","",IFERROR(INDEX('Raw lists'!$A$2:$A$192,MATCH(L19,'Raw lists'!$A$2:$A$192,0))&amp;" | ",""))&amp;IF(M19="","",IFERROR(INDEX('Raw lists'!$A$2:$A$192,MATCH(M19,'Raw lists'!$A$2:$A$192,0))&amp;" | ",""))&amp;IF(N19="","",IFERROR(INDEX('Raw lists'!$A$2:$A$192,MATCH(N19,'Raw lists'!$A$2:$A$192,0))&amp;" | ",""))&amp;IF(O19="","",IFERROR(INDEX('Raw lists'!$A$2:$A$192,MATCH(O19,'Raw lists'!$A$2:$A$192,0))&amp;" | ",""))&amp;IF(P19="","",IFERROR(INDEX('Raw lists'!$A$2:$A$192,MATCH(P19,'Raw lists'!$A$2:$A$192,0))&amp;" | ","")),LEN(IF(K19="","",IFERROR(INDEX('Raw lists'!$A$2:$A$192,MATCH(K19,'Raw lists'!$A$2:$A$192,0))&amp;" | ",""))&amp;IF(L19="","",IFERROR(INDEX('Raw lists'!$A$2:$A$192,MATCH(L19,'Raw lists'!$A$2:$A$192,0))&amp;" | ",""))&amp;IF(M19="","",IFERROR(INDEX('Raw lists'!$A$2:$A$192,MATCH(M19,'Raw lists'!$A$2:$A$192,0))&amp;" | ",""))&amp;IF(N19="","",IFERROR(INDEX('Raw lists'!$A$2:$A$192,MATCH(N19,'Raw lists'!$A$2:$A$192,0))&amp;" | ",""))&amp;IF(O19="","",IFERROR(INDEX('Raw lists'!$A$2:$A$192,MATCH(O19,'Raw lists'!$A$2:$A$192,0))&amp;" | ",""))&amp;IF(P19="","",IFERROR(INDEX('Raw lists'!$A$2:$A$192,MATCH(P19,'Raw lists'!$A$2:$A$192,0))&amp;" | ","")))-3))</f>
        <v/>
      </c>
      <c r="D19" s="30" t="str">
        <f>IF(LEN(IF(K19="","",IFERROR(INDEX('Raw lists'!$B$2:$B$627,MATCH(K19,'Raw lists'!$B$2:$B$627,0))&amp;" | ",""))&amp;IF(L19="","",IFERROR(INDEX('Raw lists'!$B$2:$B$627,MATCH(L19,'Raw lists'!$B$2:$B$627,0))&amp;" | ",""))&amp;IF(M19="","",IFERROR(INDEX('Raw lists'!$B$2:$B$627,MATCH(M19,'Raw lists'!$B$2:$B$627,0))&amp;" | ",""))&amp;IF(N19="","",IFERROR(INDEX('Raw lists'!$B$2:$B$627,MATCH(N19,'Raw lists'!$B$2:$B$627,0))&amp;" | ",""))&amp;IF(O19="","",IFERROR(INDEX('Raw lists'!$B$2:$B$627,MATCH(O19,'Raw lists'!$B$2:$B$627,0))&amp;" | ",""))&amp;IF(P19="","",IFERROR(INDEX('Raw lists'!$B$2:$B$627,MATCH(P19,'Raw lists'!$B$2:$B$627,0))&amp;" | ","")))=0,"",LEFT(IF(K19="","",IFERROR(INDEX('Raw lists'!$B$2:$B$627,MATCH(K19,'Raw lists'!$B$2:$B$627,0))&amp;" | ",""))&amp;IF(L19="","",IFERROR(INDEX('Raw lists'!$B$2:$B$627,MATCH(L19,'Raw lists'!$B$2:$B$627,0))&amp;" | ",""))&amp;IF(M19="","",IFERROR(INDEX('Raw lists'!$B$2:$B$627,MATCH(M19,'Raw lists'!$B$2:$B$627,0))&amp;" | ",""))&amp;IF(N19="","",IFERROR(INDEX('Raw lists'!$B$2:$B$627,MATCH(N19,'Raw lists'!$B$2:$B$627,0))&amp;" | ",""))&amp;IF(O19="","",IFERROR(INDEX('Raw lists'!$B$2:$B$627,MATCH(O19,'Raw lists'!$B$2:$B$627,0))&amp;" | ",""))&amp;IF(P19="","",IFERROR(INDEX('Raw lists'!$B$2:$B$627,MATCH(P19,'Raw lists'!$B$2:$B$627,0))&amp;" | ","")),LEN(IF(K19="","",IFERROR(INDEX('Raw lists'!$B$2:$B$627,MATCH(K19,'Raw lists'!$B$2:$B$627,0))&amp;" | ",""))&amp;IF(L19="","",IFERROR(INDEX('Raw lists'!$B$2:$B$627,MATCH(L19,'Raw lists'!$B$2:$B$627,0))&amp;" | ",""))&amp;IF(M19="","",IFERROR(INDEX('Raw lists'!$B$2:$B$627,MATCH(M19,'Raw lists'!$B$2:$B$627,0))&amp;" | ",""))&amp;IF(N19="","",IFERROR(INDEX('Raw lists'!$B$2:$B$627,MATCH(N19,'Raw lists'!$B$2:$B$627,0))&amp;" | ",""))&amp;IF(O19="","",IFERROR(INDEX('Raw lists'!$B$2:$B$627,MATCH(O19,'Raw lists'!$B$2:$B$627,0))&amp;" | ",""))&amp;IF(P19="","",IFERROR(INDEX('Raw lists'!$B$2:$B$627,MATCH(P19,'Raw lists'!$B$2:$B$627,0))&amp;" | ","")))-3))</f>
        <v/>
      </c>
      <c r="E19" s="30" t="str">
        <f>IF(LEN(IF(K19="","",IFERROR(INDEX('Raw lists'!$C$2:$C$616,MATCH(K19,'Raw lists'!$C$2:$C$616,0))&amp;" | ",""))&amp;IF(L19="","",IFERROR(INDEX('Raw lists'!$C$2:$C$616,MATCH(L19,'Raw lists'!$C$2:$C$616,0))&amp;" | ",""))&amp;IF(M19="","",IFERROR(INDEX('Raw lists'!$C$2:$C$616,MATCH(M19,'Raw lists'!$C$2:$C$616,0))&amp;" | ",""))&amp;IF(N19="","",IFERROR(INDEX('Raw lists'!$C$2:$C$616,MATCH(N19,'Raw lists'!$C$2:$C$616,0))&amp;" | ",""))&amp;IF(O19="","",IFERROR(INDEX('Raw lists'!$C$2:$C$616,MATCH(O19,'Raw lists'!$C$2:$C$616,0))&amp;" | ",""))&amp;IF(P19="","",IFERROR(INDEX('Raw lists'!$C$2:$C$616,MATCH(P19,'Raw lists'!$C$2:$C$616,0))&amp;" | ","")))=0,"",LEFT(IF(K19="","",IFERROR(INDEX('Raw lists'!$C$2:$C$616,MATCH(K19,'Raw lists'!$C$2:$C$616,0))&amp;" | ",""))&amp;IF(L19="","",IFERROR(INDEX('Raw lists'!$C$2:$C$616,MATCH(L19,'Raw lists'!$C$2:$C$616,0))&amp;" | ",""))&amp;IF(M19="","",IFERROR(INDEX('Raw lists'!$C$2:$C$616,MATCH(M19,'Raw lists'!$C$2:$C$616,0))&amp;" | ",""))&amp;IF(N19="","",IFERROR(INDEX('Raw lists'!$C$2:$C$616,MATCH(N19,'Raw lists'!$C$2:$C$616,0))&amp;" | ",""))&amp;IF(O19="","",IFERROR(INDEX('Raw lists'!$C$2:$C$616,MATCH(O19,'Raw lists'!$C$2:$C$616,0))&amp;" | ",""))&amp;IF(P19="","",IFERROR(INDEX('Raw lists'!$C$2:$C$616,MATCH(P19,'Raw lists'!$C$2:$C$616,0))&amp;" | ","")),LEN(IF(K19="","",IFERROR(INDEX('Raw lists'!$C$2:$C$616,MATCH(K19,'Raw lists'!$C$2:$C$616,0))&amp;" | ",""))&amp;IF(L19="","",IFERROR(INDEX('Raw lists'!$C$2:$C$616,MATCH(L19,'Raw lists'!$C$2:$C$616,0))&amp;" | ",""))&amp;IF(M19="","",IFERROR(INDEX('Raw lists'!$C$2:$C$616,MATCH(M19,'Raw lists'!$C$2:$C$616,0))&amp;" | ",""))&amp;IF(N19="","",IFERROR(INDEX('Raw lists'!$C$2:$C$616,MATCH(N19,'Raw lists'!$C$2:$C$616,0))&amp;" | ",""))&amp;IF(O19="","",IFERROR(INDEX('Raw lists'!$C$2:$C$616,MATCH(O19,'Raw lists'!$C$2:$C$616,0))&amp;" | ",""))&amp;IF(P19="","",IFERROR(INDEX('Raw lists'!$C$2:$C$616,MATCH(P19,'Raw lists'!$C$2:$C$616,0))&amp;" | ","")))-3))</f>
        <v>Snell Law</v>
      </c>
      <c r="F19" s="28" t="s">
        <v>17</v>
      </c>
      <c r="G19" s="30" t="s">
        <v>95</v>
      </c>
      <c r="H19" s="28">
        <f t="shared" si="0"/>
        <v>1</v>
      </c>
      <c r="I19" s="31" t="str">
        <f t="shared" si="1"/>
        <v>Only YAKE</v>
      </c>
      <c r="K19" s="32" t="s">
        <v>96</v>
      </c>
      <c r="L19" s="32" t="s">
        <v>97</v>
      </c>
      <c r="M19" s="32" t="s">
        <v>98</v>
      </c>
      <c r="N19" s="32"/>
      <c r="O19" s="32"/>
      <c r="P19" s="32"/>
    </row>
    <row r="20" spans="1:16" ht="26.4" x14ac:dyDescent="0.3">
      <c r="A20" s="28">
        <v>19</v>
      </c>
      <c r="B20" s="29" t="s">
        <v>99</v>
      </c>
      <c r="C20" s="30" t="str">
        <f>IF(LEN(IF(K20="","",IFERROR(INDEX('Raw lists'!$A$2:$A$192,MATCH(K20,'Raw lists'!$A$2:$A$192,0))&amp;" | ",""))&amp;IF(L20="","",IFERROR(INDEX('Raw lists'!$A$2:$A$192,MATCH(L20,'Raw lists'!$A$2:$A$192,0))&amp;" | ",""))&amp;IF(M20="","",IFERROR(INDEX('Raw lists'!$A$2:$A$192,MATCH(M20,'Raw lists'!$A$2:$A$192,0))&amp;" | ",""))&amp;IF(N20="","",IFERROR(INDEX('Raw lists'!$A$2:$A$192,MATCH(N20,'Raw lists'!$A$2:$A$192,0))&amp;" | ",""))&amp;IF(O20="","",IFERROR(INDEX('Raw lists'!$A$2:$A$192,MATCH(O20,'Raw lists'!$A$2:$A$192,0))&amp;" | ",""))&amp;IF(P20="","",IFERROR(INDEX('Raw lists'!$A$2:$A$192,MATCH(P20,'Raw lists'!$A$2:$A$192,0))&amp;" | ","")))=0,"",LEFT(IF(K20="","",IFERROR(INDEX('Raw lists'!$A$2:$A$192,MATCH(K20,'Raw lists'!$A$2:$A$192,0))&amp;" | ",""))&amp;IF(L20="","",IFERROR(INDEX('Raw lists'!$A$2:$A$192,MATCH(L20,'Raw lists'!$A$2:$A$192,0))&amp;" | ",""))&amp;IF(M20="","",IFERROR(INDEX('Raw lists'!$A$2:$A$192,MATCH(M20,'Raw lists'!$A$2:$A$192,0))&amp;" | ",""))&amp;IF(N20="","",IFERROR(INDEX('Raw lists'!$A$2:$A$192,MATCH(N20,'Raw lists'!$A$2:$A$192,0))&amp;" | ",""))&amp;IF(O20="","",IFERROR(INDEX('Raw lists'!$A$2:$A$192,MATCH(O20,'Raw lists'!$A$2:$A$192,0))&amp;" | ",""))&amp;IF(P20="","",IFERROR(INDEX('Raw lists'!$A$2:$A$192,MATCH(P20,'Raw lists'!$A$2:$A$192,0))&amp;" | ","")),LEN(IF(K20="","",IFERROR(INDEX('Raw lists'!$A$2:$A$192,MATCH(K20,'Raw lists'!$A$2:$A$192,0))&amp;" | ",""))&amp;IF(L20="","",IFERROR(INDEX('Raw lists'!$A$2:$A$192,MATCH(L20,'Raw lists'!$A$2:$A$192,0))&amp;" | ",""))&amp;IF(M20="","",IFERROR(INDEX('Raw lists'!$A$2:$A$192,MATCH(M20,'Raw lists'!$A$2:$A$192,0))&amp;" | ",""))&amp;IF(N20="","",IFERROR(INDEX('Raw lists'!$A$2:$A$192,MATCH(N20,'Raw lists'!$A$2:$A$192,0))&amp;" | ",""))&amp;IF(O20="","",IFERROR(INDEX('Raw lists'!$A$2:$A$192,MATCH(O20,'Raw lists'!$A$2:$A$192,0))&amp;" | ",""))&amp;IF(P20="","",IFERROR(INDEX('Raw lists'!$A$2:$A$192,MATCH(P20,'Raw lists'!$A$2:$A$192,0))&amp;" | ","")))-3))</f>
        <v/>
      </c>
      <c r="D20" s="30" t="str">
        <f>IF(LEN(IF(K20="","",IFERROR(INDEX('Raw lists'!$B$2:$B$627,MATCH(K20,'Raw lists'!$B$2:$B$627,0))&amp;" | ",""))&amp;IF(L20="","",IFERROR(INDEX('Raw lists'!$B$2:$B$627,MATCH(L20,'Raw lists'!$B$2:$B$627,0))&amp;" | ",""))&amp;IF(M20="","",IFERROR(INDEX('Raw lists'!$B$2:$B$627,MATCH(M20,'Raw lists'!$B$2:$B$627,0))&amp;" | ",""))&amp;IF(N20="","",IFERROR(INDEX('Raw lists'!$B$2:$B$627,MATCH(N20,'Raw lists'!$B$2:$B$627,0))&amp;" | ",""))&amp;IF(O20="","",IFERROR(INDEX('Raw lists'!$B$2:$B$627,MATCH(O20,'Raw lists'!$B$2:$B$627,0))&amp;" | ",""))&amp;IF(P20="","",IFERROR(INDEX('Raw lists'!$B$2:$B$627,MATCH(P20,'Raw lists'!$B$2:$B$627,0))&amp;" | ","")))=0,"",LEFT(IF(K20="","",IFERROR(INDEX('Raw lists'!$B$2:$B$627,MATCH(K20,'Raw lists'!$B$2:$B$627,0))&amp;" | ",""))&amp;IF(L20="","",IFERROR(INDEX('Raw lists'!$B$2:$B$627,MATCH(L20,'Raw lists'!$B$2:$B$627,0))&amp;" | ",""))&amp;IF(M20="","",IFERROR(INDEX('Raw lists'!$B$2:$B$627,MATCH(M20,'Raw lists'!$B$2:$B$627,0))&amp;" | ",""))&amp;IF(N20="","",IFERROR(INDEX('Raw lists'!$B$2:$B$627,MATCH(N20,'Raw lists'!$B$2:$B$627,0))&amp;" | ",""))&amp;IF(O20="","",IFERROR(INDEX('Raw lists'!$B$2:$B$627,MATCH(O20,'Raw lists'!$B$2:$B$627,0))&amp;" | ",""))&amp;IF(P20="","",IFERROR(INDEX('Raw lists'!$B$2:$B$627,MATCH(P20,'Raw lists'!$B$2:$B$627,0))&amp;" | ","")),LEN(IF(K20="","",IFERROR(INDEX('Raw lists'!$B$2:$B$627,MATCH(K20,'Raw lists'!$B$2:$B$627,0))&amp;" | ",""))&amp;IF(L20="","",IFERROR(INDEX('Raw lists'!$B$2:$B$627,MATCH(L20,'Raw lists'!$B$2:$B$627,0))&amp;" | ",""))&amp;IF(M20="","",IFERROR(INDEX('Raw lists'!$B$2:$B$627,MATCH(M20,'Raw lists'!$B$2:$B$627,0))&amp;" | ",""))&amp;IF(N20="","",IFERROR(INDEX('Raw lists'!$B$2:$B$627,MATCH(N20,'Raw lists'!$B$2:$B$627,0))&amp;" | ",""))&amp;IF(O20="","",IFERROR(INDEX('Raw lists'!$B$2:$B$627,MATCH(O20,'Raw lists'!$B$2:$B$627,0))&amp;" | ",""))&amp;IF(P20="","",IFERROR(INDEX('Raw lists'!$B$2:$B$627,MATCH(P20,'Raw lists'!$B$2:$B$627,0))&amp;" | ","")))-3))</f>
        <v>Huygen</v>
      </c>
      <c r="E20" s="30" t="str">
        <f>IF(LEN(IF(K20="","",IFERROR(INDEX('Raw lists'!$C$2:$C$616,MATCH(K20,'Raw lists'!$C$2:$C$616,0))&amp;" | ",""))&amp;IF(L20="","",IFERROR(INDEX('Raw lists'!$C$2:$C$616,MATCH(L20,'Raw lists'!$C$2:$C$616,0))&amp;" | ",""))&amp;IF(M20="","",IFERROR(INDEX('Raw lists'!$C$2:$C$616,MATCH(M20,'Raw lists'!$C$2:$C$616,0))&amp;" | ",""))&amp;IF(N20="","",IFERROR(INDEX('Raw lists'!$C$2:$C$616,MATCH(N20,'Raw lists'!$C$2:$C$616,0))&amp;" | ",""))&amp;IF(O20="","",IFERROR(INDEX('Raw lists'!$C$2:$C$616,MATCH(O20,'Raw lists'!$C$2:$C$616,0))&amp;" | ",""))&amp;IF(P20="","",IFERROR(INDEX('Raw lists'!$C$2:$C$616,MATCH(P20,'Raw lists'!$C$2:$C$616,0))&amp;" | ","")))=0,"",LEFT(IF(K20="","",IFERROR(INDEX('Raw lists'!$C$2:$C$616,MATCH(K20,'Raw lists'!$C$2:$C$616,0))&amp;" | ",""))&amp;IF(L20="","",IFERROR(INDEX('Raw lists'!$C$2:$C$616,MATCH(L20,'Raw lists'!$C$2:$C$616,0))&amp;" | ",""))&amp;IF(M20="","",IFERROR(INDEX('Raw lists'!$C$2:$C$616,MATCH(M20,'Raw lists'!$C$2:$C$616,0))&amp;" | ",""))&amp;IF(N20="","",IFERROR(INDEX('Raw lists'!$C$2:$C$616,MATCH(N20,'Raw lists'!$C$2:$C$616,0))&amp;" | ",""))&amp;IF(O20="","",IFERROR(INDEX('Raw lists'!$C$2:$C$616,MATCH(O20,'Raw lists'!$C$2:$C$616,0))&amp;" | ",""))&amp;IF(P20="","",IFERROR(INDEX('Raw lists'!$C$2:$C$616,MATCH(P20,'Raw lists'!$C$2:$C$616,0))&amp;" | ","")),LEN(IF(K20="","",IFERROR(INDEX('Raw lists'!$C$2:$C$616,MATCH(K20,'Raw lists'!$C$2:$C$616,0))&amp;" | ",""))&amp;IF(L20="","",IFERROR(INDEX('Raw lists'!$C$2:$C$616,MATCH(L20,'Raw lists'!$C$2:$C$616,0))&amp;" | ",""))&amp;IF(M20="","",IFERROR(INDEX('Raw lists'!$C$2:$C$616,MATCH(M20,'Raw lists'!$C$2:$C$616,0))&amp;" | ",""))&amp;IF(N20="","",IFERROR(INDEX('Raw lists'!$C$2:$C$616,MATCH(N20,'Raw lists'!$C$2:$C$616,0))&amp;" | ",""))&amp;IF(O20="","",IFERROR(INDEX('Raw lists'!$C$2:$C$616,MATCH(O20,'Raw lists'!$C$2:$C$616,0))&amp;" | ",""))&amp;IF(P20="","",IFERROR(INDEX('Raw lists'!$C$2:$C$616,MATCH(P20,'Raw lists'!$C$2:$C$616,0))&amp;" | ","")))-3))</f>
        <v>Huygen | Huygen Theory</v>
      </c>
      <c r="F20" s="28" t="s">
        <v>17</v>
      </c>
      <c r="G20" s="30" t="s">
        <v>100</v>
      </c>
      <c r="H20" s="28">
        <f t="shared" si="0"/>
        <v>2</v>
      </c>
      <c r="I20" s="31" t="str">
        <f t="shared" si="1"/>
        <v>RAKE + YAKE</v>
      </c>
      <c r="K20" s="32" t="s">
        <v>101</v>
      </c>
      <c r="L20" s="32" t="s">
        <v>102</v>
      </c>
      <c r="M20" s="32" t="s">
        <v>103</v>
      </c>
      <c r="N20" s="32"/>
      <c r="O20" s="32"/>
      <c r="P20" s="32"/>
    </row>
    <row r="21" spans="1:16" ht="26.4" x14ac:dyDescent="0.3">
      <c r="A21" s="28">
        <v>20</v>
      </c>
      <c r="B21" s="29" t="s">
        <v>104</v>
      </c>
      <c r="C21" s="30" t="str">
        <f>IF(LEN(IF(K21="","",IFERROR(INDEX('Raw lists'!$A$2:$A$192,MATCH(K21,'Raw lists'!$A$2:$A$192,0))&amp;" | ",""))&amp;IF(L21="","",IFERROR(INDEX('Raw lists'!$A$2:$A$192,MATCH(L21,'Raw lists'!$A$2:$A$192,0))&amp;" | ",""))&amp;IF(M21="","",IFERROR(INDEX('Raw lists'!$A$2:$A$192,MATCH(M21,'Raw lists'!$A$2:$A$192,0))&amp;" | ",""))&amp;IF(N21="","",IFERROR(INDEX('Raw lists'!$A$2:$A$192,MATCH(N21,'Raw lists'!$A$2:$A$192,0))&amp;" | ",""))&amp;IF(O21="","",IFERROR(INDEX('Raw lists'!$A$2:$A$192,MATCH(O21,'Raw lists'!$A$2:$A$192,0))&amp;" | ",""))&amp;IF(P21="","",IFERROR(INDEX('Raw lists'!$A$2:$A$192,MATCH(P21,'Raw lists'!$A$2:$A$192,0))&amp;" | ","")))=0,"",LEFT(IF(K21="","",IFERROR(INDEX('Raw lists'!$A$2:$A$192,MATCH(K21,'Raw lists'!$A$2:$A$192,0))&amp;" | ",""))&amp;IF(L21="","",IFERROR(INDEX('Raw lists'!$A$2:$A$192,MATCH(L21,'Raw lists'!$A$2:$A$192,0))&amp;" | ",""))&amp;IF(M21="","",IFERROR(INDEX('Raw lists'!$A$2:$A$192,MATCH(M21,'Raw lists'!$A$2:$A$192,0))&amp;" | ",""))&amp;IF(N21="","",IFERROR(INDEX('Raw lists'!$A$2:$A$192,MATCH(N21,'Raw lists'!$A$2:$A$192,0))&amp;" | ",""))&amp;IF(O21="","",IFERROR(INDEX('Raw lists'!$A$2:$A$192,MATCH(O21,'Raw lists'!$A$2:$A$192,0))&amp;" | ",""))&amp;IF(P21="","",IFERROR(INDEX('Raw lists'!$A$2:$A$192,MATCH(P21,'Raw lists'!$A$2:$A$192,0))&amp;" | ","")),LEN(IF(K21="","",IFERROR(INDEX('Raw lists'!$A$2:$A$192,MATCH(K21,'Raw lists'!$A$2:$A$192,0))&amp;" | ",""))&amp;IF(L21="","",IFERROR(INDEX('Raw lists'!$A$2:$A$192,MATCH(L21,'Raw lists'!$A$2:$A$192,0))&amp;" | ",""))&amp;IF(M21="","",IFERROR(INDEX('Raw lists'!$A$2:$A$192,MATCH(M21,'Raw lists'!$A$2:$A$192,0))&amp;" | ",""))&amp;IF(N21="","",IFERROR(INDEX('Raw lists'!$A$2:$A$192,MATCH(N21,'Raw lists'!$A$2:$A$192,0))&amp;" | ",""))&amp;IF(O21="","",IFERROR(INDEX('Raw lists'!$A$2:$A$192,MATCH(O21,'Raw lists'!$A$2:$A$192,0))&amp;" | ",""))&amp;IF(P21="","",IFERROR(INDEX('Raw lists'!$A$2:$A$192,MATCH(P21,'Raw lists'!$A$2:$A$192,0))&amp;" | ","")))-3))</f>
        <v/>
      </c>
      <c r="D21" s="30" t="str">
        <f>IF(LEN(IF(K21="","",IFERROR(INDEX('Raw lists'!$B$2:$B$627,MATCH(K21,'Raw lists'!$B$2:$B$627,0))&amp;" | ",""))&amp;IF(L21="","",IFERROR(INDEX('Raw lists'!$B$2:$B$627,MATCH(L21,'Raw lists'!$B$2:$B$627,0))&amp;" | ",""))&amp;IF(M21="","",IFERROR(INDEX('Raw lists'!$B$2:$B$627,MATCH(M21,'Raw lists'!$B$2:$B$627,0))&amp;" | ",""))&amp;IF(N21="","",IFERROR(INDEX('Raw lists'!$B$2:$B$627,MATCH(N21,'Raw lists'!$B$2:$B$627,0))&amp;" | ",""))&amp;IF(O21="","",IFERROR(INDEX('Raw lists'!$B$2:$B$627,MATCH(O21,'Raw lists'!$B$2:$B$627,0))&amp;" | ",""))&amp;IF(P21="","",IFERROR(INDEX('Raw lists'!$B$2:$B$627,MATCH(P21,'Raw lists'!$B$2:$B$627,0))&amp;" | ","")))=0,"",LEFT(IF(K21="","",IFERROR(INDEX('Raw lists'!$B$2:$B$627,MATCH(K21,'Raw lists'!$B$2:$B$627,0))&amp;" | ",""))&amp;IF(L21="","",IFERROR(INDEX('Raw lists'!$B$2:$B$627,MATCH(L21,'Raw lists'!$B$2:$B$627,0))&amp;" | ",""))&amp;IF(M21="","",IFERROR(INDEX('Raw lists'!$B$2:$B$627,MATCH(M21,'Raw lists'!$B$2:$B$627,0))&amp;" | ",""))&amp;IF(N21="","",IFERROR(INDEX('Raw lists'!$B$2:$B$627,MATCH(N21,'Raw lists'!$B$2:$B$627,0))&amp;" | ",""))&amp;IF(O21="","",IFERROR(INDEX('Raw lists'!$B$2:$B$627,MATCH(O21,'Raw lists'!$B$2:$B$627,0))&amp;" | ",""))&amp;IF(P21="","",IFERROR(INDEX('Raw lists'!$B$2:$B$627,MATCH(P21,'Raw lists'!$B$2:$B$627,0))&amp;" | ","")),LEN(IF(K21="","",IFERROR(INDEX('Raw lists'!$B$2:$B$627,MATCH(K21,'Raw lists'!$B$2:$B$627,0))&amp;" | ",""))&amp;IF(L21="","",IFERROR(INDEX('Raw lists'!$B$2:$B$627,MATCH(L21,'Raw lists'!$B$2:$B$627,0))&amp;" | ",""))&amp;IF(M21="","",IFERROR(INDEX('Raw lists'!$B$2:$B$627,MATCH(M21,'Raw lists'!$B$2:$B$627,0))&amp;" | ",""))&amp;IF(N21="","",IFERROR(INDEX('Raw lists'!$B$2:$B$627,MATCH(N21,'Raw lists'!$B$2:$B$627,0))&amp;" | ",""))&amp;IF(O21="","",IFERROR(INDEX('Raw lists'!$B$2:$B$627,MATCH(O21,'Raw lists'!$B$2:$B$627,0))&amp;" | ",""))&amp;IF(P21="","",IFERROR(INDEX('Raw lists'!$B$2:$B$627,MATCH(P21,'Raw lists'!$B$2:$B$627,0))&amp;" | ","")))-3))</f>
        <v>Wavelets</v>
      </c>
      <c r="E21" s="30" t="str">
        <f>IF(LEN(IF(K21="","",IFERROR(INDEX('Raw lists'!$C$2:$C$616,MATCH(K21,'Raw lists'!$C$2:$C$616,0))&amp;" | ",""))&amp;IF(L21="","",IFERROR(INDEX('Raw lists'!$C$2:$C$616,MATCH(L21,'Raw lists'!$C$2:$C$616,0))&amp;" | ",""))&amp;IF(M21="","",IFERROR(INDEX('Raw lists'!$C$2:$C$616,MATCH(M21,'Raw lists'!$C$2:$C$616,0))&amp;" | ",""))&amp;IF(N21="","",IFERROR(INDEX('Raw lists'!$C$2:$C$616,MATCH(N21,'Raw lists'!$C$2:$C$616,0))&amp;" | ",""))&amp;IF(O21="","",IFERROR(INDEX('Raw lists'!$C$2:$C$616,MATCH(O21,'Raw lists'!$C$2:$C$616,0))&amp;" | ",""))&amp;IF(P21="","",IFERROR(INDEX('Raw lists'!$C$2:$C$616,MATCH(P21,'Raw lists'!$C$2:$C$616,0))&amp;" | ","")))=0,"",LEFT(IF(K21="","",IFERROR(INDEX('Raw lists'!$C$2:$C$616,MATCH(K21,'Raw lists'!$C$2:$C$616,0))&amp;" | ",""))&amp;IF(L21="","",IFERROR(INDEX('Raw lists'!$C$2:$C$616,MATCH(L21,'Raw lists'!$C$2:$C$616,0))&amp;" | ",""))&amp;IF(M21="","",IFERROR(INDEX('Raw lists'!$C$2:$C$616,MATCH(M21,'Raw lists'!$C$2:$C$616,0))&amp;" | ",""))&amp;IF(N21="","",IFERROR(INDEX('Raw lists'!$C$2:$C$616,MATCH(N21,'Raw lists'!$C$2:$C$616,0))&amp;" | ",""))&amp;IF(O21="","",IFERROR(INDEX('Raw lists'!$C$2:$C$616,MATCH(O21,'Raw lists'!$C$2:$C$616,0))&amp;" | ",""))&amp;IF(P21="","",IFERROR(INDEX('Raw lists'!$C$2:$C$616,MATCH(P21,'Raw lists'!$C$2:$C$616,0))&amp;" | ","")),LEN(IF(K21="","",IFERROR(INDEX('Raw lists'!$C$2:$C$616,MATCH(K21,'Raw lists'!$C$2:$C$616,0))&amp;" | ",""))&amp;IF(L21="","",IFERROR(INDEX('Raw lists'!$C$2:$C$616,MATCH(L21,'Raw lists'!$C$2:$C$616,0))&amp;" | ",""))&amp;IF(M21="","",IFERROR(INDEX('Raw lists'!$C$2:$C$616,MATCH(M21,'Raw lists'!$C$2:$C$616,0))&amp;" | ",""))&amp;IF(N21="","",IFERROR(INDEX('Raw lists'!$C$2:$C$616,MATCH(N21,'Raw lists'!$C$2:$C$616,0))&amp;" | ",""))&amp;IF(O21="","",IFERROR(INDEX('Raw lists'!$C$2:$C$616,MATCH(O21,'Raw lists'!$C$2:$C$616,0))&amp;" | ",""))&amp;IF(P21="","",IFERROR(INDEX('Raw lists'!$C$2:$C$616,MATCH(P21,'Raw lists'!$C$2:$C$616,0))&amp;" | ","")))-3))</f>
        <v>Secondary Wavelets</v>
      </c>
      <c r="F21" s="28" t="s">
        <v>17</v>
      </c>
      <c r="G21" s="30" t="s">
        <v>105</v>
      </c>
      <c r="H21" s="28">
        <f t="shared" si="0"/>
        <v>2</v>
      </c>
      <c r="I21" s="31" t="str">
        <f t="shared" si="1"/>
        <v>RAKE + YAKE</v>
      </c>
      <c r="K21" s="32" t="s">
        <v>106</v>
      </c>
      <c r="L21" s="32" t="s">
        <v>107</v>
      </c>
      <c r="M21" s="32"/>
      <c r="N21" s="32"/>
      <c r="O21" s="32"/>
      <c r="P21" s="32"/>
    </row>
    <row r="22" spans="1:16" ht="26.4" x14ac:dyDescent="0.3">
      <c r="A22" s="28">
        <v>21</v>
      </c>
      <c r="B22" s="29" t="s">
        <v>108</v>
      </c>
      <c r="C22" s="30" t="str">
        <f>IF(LEN(IF(K22="","",IFERROR(INDEX('Raw lists'!$A$2:$A$192,MATCH(K22,'Raw lists'!$A$2:$A$192,0))&amp;" | ",""))&amp;IF(L22="","",IFERROR(INDEX('Raw lists'!$A$2:$A$192,MATCH(L22,'Raw lists'!$A$2:$A$192,0))&amp;" | ",""))&amp;IF(M22="","",IFERROR(INDEX('Raw lists'!$A$2:$A$192,MATCH(M22,'Raw lists'!$A$2:$A$192,0))&amp;" | ",""))&amp;IF(N22="","",IFERROR(INDEX('Raw lists'!$A$2:$A$192,MATCH(N22,'Raw lists'!$A$2:$A$192,0))&amp;" | ",""))&amp;IF(O22="","",IFERROR(INDEX('Raw lists'!$A$2:$A$192,MATCH(O22,'Raw lists'!$A$2:$A$192,0))&amp;" | ",""))&amp;IF(P22="","",IFERROR(INDEX('Raw lists'!$A$2:$A$192,MATCH(P22,'Raw lists'!$A$2:$A$192,0))&amp;" | ","")))=0,"",LEFT(IF(K22="","",IFERROR(INDEX('Raw lists'!$A$2:$A$192,MATCH(K22,'Raw lists'!$A$2:$A$192,0))&amp;" | ",""))&amp;IF(L22="","",IFERROR(INDEX('Raw lists'!$A$2:$A$192,MATCH(L22,'Raw lists'!$A$2:$A$192,0))&amp;" | ",""))&amp;IF(M22="","",IFERROR(INDEX('Raw lists'!$A$2:$A$192,MATCH(M22,'Raw lists'!$A$2:$A$192,0))&amp;" | ",""))&amp;IF(N22="","",IFERROR(INDEX('Raw lists'!$A$2:$A$192,MATCH(N22,'Raw lists'!$A$2:$A$192,0))&amp;" | ",""))&amp;IF(O22="","",IFERROR(INDEX('Raw lists'!$A$2:$A$192,MATCH(O22,'Raw lists'!$A$2:$A$192,0))&amp;" | ",""))&amp;IF(P22="","",IFERROR(INDEX('Raw lists'!$A$2:$A$192,MATCH(P22,'Raw lists'!$A$2:$A$192,0))&amp;" | ","")),LEN(IF(K22="","",IFERROR(INDEX('Raw lists'!$A$2:$A$192,MATCH(K22,'Raw lists'!$A$2:$A$192,0))&amp;" | ",""))&amp;IF(L22="","",IFERROR(INDEX('Raw lists'!$A$2:$A$192,MATCH(L22,'Raw lists'!$A$2:$A$192,0))&amp;" | ",""))&amp;IF(M22="","",IFERROR(INDEX('Raw lists'!$A$2:$A$192,MATCH(M22,'Raw lists'!$A$2:$A$192,0))&amp;" | ",""))&amp;IF(N22="","",IFERROR(INDEX('Raw lists'!$A$2:$A$192,MATCH(N22,'Raw lists'!$A$2:$A$192,0))&amp;" | ",""))&amp;IF(O22="","",IFERROR(INDEX('Raw lists'!$A$2:$A$192,MATCH(O22,'Raw lists'!$A$2:$A$192,0))&amp;" | ",""))&amp;IF(P22="","",IFERROR(INDEX('Raw lists'!$A$2:$A$192,MATCH(P22,'Raw lists'!$A$2:$A$192,0))&amp;" | ","")))-3))</f>
        <v/>
      </c>
      <c r="D22" s="30" t="str">
        <f>IF(LEN(IF(K22="","",IFERROR(INDEX('Raw lists'!$B$2:$B$627,MATCH(K22,'Raw lists'!$B$2:$B$627,0))&amp;" | ",""))&amp;IF(L22="","",IFERROR(INDEX('Raw lists'!$B$2:$B$627,MATCH(L22,'Raw lists'!$B$2:$B$627,0))&amp;" | ",""))&amp;IF(M22="","",IFERROR(INDEX('Raw lists'!$B$2:$B$627,MATCH(M22,'Raw lists'!$B$2:$B$627,0))&amp;" | ",""))&amp;IF(N22="","",IFERROR(INDEX('Raw lists'!$B$2:$B$627,MATCH(N22,'Raw lists'!$B$2:$B$627,0))&amp;" | ",""))&amp;IF(O22="","",IFERROR(INDEX('Raw lists'!$B$2:$B$627,MATCH(O22,'Raw lists'!$B$2:$B$627,0))&amp;" | ",""))&amp;IF(P22="","",IFERROR(INDEX('Raw lists'!$B$2:$B$627,MATCH(P22,'Raw lists'!$B$2:$B$627,0))&amp;" | ","")))=0,"",LEFT(IF(K22="","",IFERROR(INDEX('Raw lists'!$B$2:$B$627,MATCH(K22,'Raw lists'!$B$2:$B$627,0))&amp;" | ",""))&amp;IF(L22="","",IFERROR(INDEX('Raw lists'!$B$2:$B$627,MATCH(L22,'Raw lists'!$B$2:$B$627,0))&amp;" | ",""))&amp;IF(M22="","",IFERROR(INDEX('Raw lists'!$B$2:$B$627,MATCH(M22,'Raw lists'!$B$2:$B$627,0))&amp;" | ",""))&amp;IF(N22="","",IFERROR(INDEX('Raw lists'!$B$2:$B$627,MATCH(N22,'Raw lists'!$B$2:$B$627,0))&amp;" | ",""))&amp;IF(O22="","",IFERROR(INDEX('Raw lists'!$B$2:$B$627,MATCH(O22,'Raw lists'!$B$2:$B$627,0))&amp;" | ",""))&amp;IF(P22="","",IFERROR(INDEX('Raw lists'!$B$2:$B$627,MATCH(P22,'Raw lists'!$B$2:$B$627,0))&amp;" | ","")),LEN(IF(K22="","",IFERROR(INDEX('Raw lists'!$B$2:$B$627,MATCH(K22,'Raw lists'!$B$2:$B$627,0))&amp;" | ",""))&amp;IF(L22="","",IFERROR(INDEX('Raw lists'!$B$2:$B$627,MATCH(L22,'Raw lists'!$B$2:$B$627,0))&amp;" | ",""))&amp;IF(M22="","",IFERROR(INDEX('Raw lists'!$B$2:$B$627,MATCH(M22,'Raw lists'!$B$2:$B$627,0))&amp;" | ",""))&amp;IF(N22="","",IFERROR(INDEX('Raw lists'!$B$2:$B$627,MATCH(N22,'Raw lists'!$B$2:$B$627,0))&amp;" | ",""))&amp;IF(O22="","",IFERROR(INDEX('Raw lists'!$B$2:$B$627,MATCH(O22,'Raw lists'!$B$2:$B$627,0))&amp;" | ",""))&amp;IF(P22="","",IFERROR(INDEX('Raw lists'!$B$2:$B$627,MATCH(P22,'Raw lists'!$B$2:$B$627,0))&amp;" | ","")))-3))</f>
        <v>Wavefront | Wavefronts</v>
      </c>
      <c r="E22" s="30" t="str">
        <f>IF(LEN(IF(K22="","",IFERROR(INDEX('Raw lists'!$C$2:$C$616,MATCH(K22,'Raw lists'!$C$2:$C$616,0))&amp;" | ",""))&amp;IF(L22="","",IFERROR(INDEX('Raw lists'!$C$2:$C$616,MATCH(L22,'Raw lists'!$C$2:$C$616,0))&amp;" | ",""))&amp;IF(M22="","",IFERROR(INDEX('Raw lists'!$C$2:$C$616,MATCH(M22,'Raw lists'!$C$2:$C$616,0))&amp;" | ",""))&amp;IF(N22="","",IFERROR(INDEX('Raw lists'!$C$2:$C$616,MATCH(N22,'Raw lists'!$C$2:$C$616,0))&amp;" | ",""))&amp;IF(O22="","",IFERROR(INDEX('Raw lists'!$C$2:$C$616,MATCH(O22,'Raw lists'!$C$2:$C$616,0))&amp;" | ",""))&amp;IF(P22="","",IFERROR(INDEX('Raw lists'!$C$2:$C$616,MATCH(P22,'Raw lists'!$C$2:$C$616,0))&amp;" | ","")))=0,"",LEFT(IF(K22="","",IFERROR(INDEX('Raw lists'!$C$2:$C$616,MATCH(K22,'Raw lists'!$C$2:$C$616,0))&amp;" | ",""))&amp;IF(L22="","",IFERROR(INDEX('Raw lists'!$C$2:$C$616,MATCH(L22,'Raw lists'!$C$2:$C$616,0))&amp;" | ",""))&amp;IF(M22="","",IFERROR(INDEX('Raw lists'!$C$2:$C$616,MATCH(M22,'Raw lists'!$C$2:$C$616,0))&amp;" | ",""))&amp;IF(N22="","",IFERROR(INDEX('Raw lists'!$C$2:$C$616,MATCH(N22,'Raw lists'!$C$2:$C$616,0))&amp;" | ",""))&amp;IF(O22="","",IFERROR(INDEX('Raw lists'!$C$2:$C$616,MATCH(O22,'Raw lists'!$C$2:$C$616,0))&amp;" | ",""))&amp;IF(P22="","",IFERROR(INDEX('Raw lists'!$C$2:$C$616,MATCH(P22,'Raw lists'!$C$2:$C$616,0))&amp;" | ","")),LEN(IF(K22="","",IFERROR(INDEX('Raw lists'!$C$2:$C$616,MATCH(K22,'Raw lists'!$C$2:$C$616,0))&amp;" | ",""))&amp;IF(L22="","",IFERROR(INDEX('Raw lists'!$C$2:$C$616,MATCH(L22,'Raw lists'!$C$2:$C$616,0))&amp;" | ",""))&amp;IF(M22="","",IFERROR(INDEX('Raw lists'!$C$2:$C$616,MATCH(M22,'Raw lists'!$C$2:$C$616,0))&amp;" | ",""))&amp;IF(N22="","",IFERROR(INDEX('Raw lists'!$C$2:$C$616,MATCH(N22,'Raw lists'!$C$2:$C$616,0))&amp;" | ",""))&amp;IF(O22="","",IFERROR(INDEX('Raw lists'!$C$2:$C$616,MATCH(O22,'Raw lists'!$C$2:$C$616,0))&amp;" | ",""))&amp;IF(P22="","",IFERROR(INDEX('Raw lists'!$C$2:$C$616,MATCH(P22,'Raw lists'!$C$2:$C$616,0))&amp;" | ","")))-3))</f>
        <v>Wavefront</v>
      </c>
      <c r="F22" s="28" t="s">
        <v>17</v>
      </c>
      <c r="G22" s="30" t="s">
        <v>109</v>
      </c>
      <c r="H22" s="28">
        <f t="shared" si="0"/>
        <v>2</v>
      </c>
      <c r="I22" s="31" t="str">
        <f t="shared" si="1"/>
        <v>RAKE + YAKE</v>
      </c>
      <c r="K22" s="32" t="s">
        <v>108</v>
      </c>
      <c r="L22" s="32" t="s">
        <v>110</v>
      </c>
      <c r="M22" s="32"/>
      <c r="N22" s="32"/>
      <c r="O22" s="32"/>
      <c r="P22" s="32"/>
    </row>
    <row r="23" spans="1:16" ht="26.4" x14ac:dyDescent="0.3">
      <c r="A23" s="28">
        <v>22</v>
      </c>
      <c r="B23" s="29" t="s">
        <v>111</v>
      </c>
      <c r="C23" s="30" t="str">
        <f>IF(LEN(IF(K23="","",IFERROR(INDEX('Raw lists'!$A$2:$A$192,MATCH(K23,'Raw lists'!$A$2:$A$192,0))&amp;" | ",""))&amp;IF(L23="","",IFERROR(INDEX('Raw lists'!$A$2:$A$192,MATCH(L23,'Raw lists'!$A$2:$A$192,0))&amp;" | ",""))&amp;IF(M23="","",IFERROR(INDEX('Raw lists'!$A$2:$A$192,MATCH(M23,'Raw lists'!$A$2:$A$192,0))&amp;" | ",""))&amp;IF(N23="","",IFERROR(INDEX('Raw lists'!$A$2:$A$192,MATCH(N23,'Raw lists'!$A$2:$A$192,0))&amp;" | ",""))&amp;IF(O23="","",IFERROR(INDEX('Raw lists'!$A$2:$A$192,MATCH(O23,'Raw lists'!$A$2:$A$192,0))&amp;" | ",""))&amp;IF(P23="","",IFERROR(INDEX('Raw lists'!$A$2:$A$192,MATCH(P23,'Raw lists'!$A$2:$A$192,0))&amp;" | ","")))=0,"",LEFT(IF(K23="","",IFERROR(INDEX('Raw lists'!$A$2:$A$192,MATCH(K23,'Raw lists'!$A$2:$A$192,0))&amp;" | ",""))&amp;IF(L23="","",IFERROR(INDEX('Raw lists'!$A$2:$A$192,MATCH(L23,'Raw lists'!$A$2:$A$192,0))&amp;" | ",""))&amp;IF(M23="","",IFERROR(INDEX('Raw lists'!$A$2:$A$192,MATCH(M23,'Raw lists'!$A$2:$A$192,0))&amp;" | ",""))&amp;IF(N23="","",IFERROR(INDEX('Raw lists'!$A$2:$A$192,MATCH(N23,'Raw lists'!$A$2:$A$192,0))&amp;" | ",""))&amp;IF(O23="","",IFERROR(INDEX('Raw lists'!$A$2:$A$192,MATCH(O23,'Raw lists'!$A$2:$A$192,0))&amp;" | ",""))&amp;IF(P23="","",IFERROR(INDEX('Raw lists'!$A$2:$A$192,MATCH(P23,'Raw lists'!$A$2:$A$192,0))&amp;" | ","")),LEN(IF(K23="","",IFERROR(INDEX('Raw lists'!$A$2:$A$192,MATCH(K23,'Raw lists'!$A$2:$A$192,0))&amp;" | ",""))&amp;IF(L23="","",IFERROR(INDEX('Raw lists'!$A$2:$A$192,MATCH(L23,'Raw lists'!$A$2:$A$192,0))&amp;" | ",""))&amp;IF(M23="","",IFERROR(INDEX('Raw lists'!$A$2:$A$192,MATCH(M23,'Raw lists'!$A$2:$A$192,0))&amp;" | ",""))&amp;IF(N23="","",IFERROR(INDEX('Raw lists'!$A$2:$A$192,MATCH(N23,'Raw lists'!$A$2:$A$192,0))&amp;" | ",""))&amp;IF(O23="","",IFERROR(INDEX('Raw lists'!$A$2:$A$192,MATCH(O23,'Raw lists'!$A$2:$A$192,0))&amp;" | ",""))&amp;IF(P23="","",IFERROR(INDEX('Raw lists'!$A$2:$A$192,MATCH(P23,'Raw lists'!$A$2:$A$192,0))&amp;" | ","")))-3))</f>
        <v/>
      </c>
      <c r="D23" s="30" t="str">
        <f>IF(LEN(IF(K23="","",IFERROR(INDEX('Raw lists'!$B$2:$B$627,MATCH(K23,'Raw lists'!$B$2:$B$627,0))&amp;" | ",""))&amp;IF(L23="","",IFERROR(INDEX('Raw lists'!$B$2:$B$627,MATCH(L23,'Raw lists'!$B$2:$B$627,0))&amp;" | ",""))&amp;IF(M23="","",IFERROR(INDEX('Raw lists'!$B$2:$B$627,MATCH(M23,'Raw lists'!$B$2:$B$627,0))&amp;" | ",""))&amp;IF(N23="","",IFERROR(INDEX('Raw lists'!$B$2:$B$627,MATCH(N23,'Raw lists'!$B$2:$B$627,0))&amp;" | ",""))&amp;IF(O23="","",IFERROR(INDEX('Raw lists'!$B$2:$B$627,MATCH(O23,'Raw lists'!$B$2:$B$627,0))&amp;" | ",""))&amp;IF(P23="","",IFERROR(INDEX('Raw lists'!$B$2:$B$627,MATCH(P23,'Raw lists'!$B$2:$B$627,0))&amp;" | ","")))=0,"",LEFT(IF(K23="","",IFERROR(INDEX('Raw lists'!$B$2:$B$627,MATCH(K23,'Raw lists'!$B$2:$B$627,0))&amp;" | ",""))&amp;IF(L23="","",IFERROR(INDEX('Raw lists'!$B$2:$B$627,MATCH(L23,'Raw lists'!$B$2:$B$627,0))&amp;" | ",""))&amp;IF(M23="","",IFERROR(INDEX('Raw lists'!$B$2:$B$627,MATCH(M23,'Raw lists'!$B$2:$B$627,0))&amp;" | ",""))&amp;IF(N23="","",IFERROR(INDEX('Raw lists'!$B$2:$B$627,MATCH(N23,'Raw lists'!$B$2:$B$627,0))&amp;" | ",""))&amp;IF(O23="","",IFERROR(INDEX('Raw lists'!$B$2:$B$627,MATCH(O23,'Raw lists'!$B$2:$B$627,0))&amp;" | ",""))&amp;IF(P23="","",IFERROR(INDEX('Raw lists'!$B$2:$B$627,MATCH(P23,'Raw lists'!$B$2:$B$627,0))&amp;" | ","")),LEN(IF(K23="","",IFERROR(INDEX('Raw lists'!$B$2:$B$627,MATCH(K23,'Raw lists'!$B$2:$B$627,0))&amp;" | ",""))&amp;IF(L23="","",IFERROR(INDEX('Raw lists'!$B$2:$B$627,MATCH(L23,'Raw lists'!$B$2:$B$627,0))&amp;" | ",""))&amp;IF(M23="","",IFERROR(INDEX('Raw lists'!$B$2:$B$627,MATCH(M23,'Raw lists'!$B$2:$B$627,0))&amp;" | ",""))&amp;IF(N23="","",IFERROR(INDEX('Raw lists'!$B$2:$B$627,MATCH(N23,'Raw lists'!$B$2:$B$627,0))&amp;" | ",""))&amp;IF(O23="","",IFERROR(INDEX('Raw lists'!$B$2:$B$627,MATCH(O23,'Raw lists'!$B$2:$B$627,0))&amp;" | ",""))&amp;IF(P23="","",IFERROR(INDEX('Raw lists'!$B$2:$B$627,MATCH(P23,'Raw lists'!$B$2:$B$627,0))&amp;" | ","")))-3))</f>
        <v/>
      </c>
      <c r="E23" s="30" t="str">
        <f>IF(LEN(IF(K23="","",IFERROR(INDEX('Raw lists'!$C$2:$C$616,MATCH(K23,'Raw lists'!$C$2:$C$616,0))&amp;" | ",""))&amp;IF(L23="","",IFERROR(INDEX('Raw lists'!$C$2:$C$616,MATCH(L23,'Raw lists'!$C$2:$C$616,0))&amp;" | ",""))&amp;IF(M23="","",IFERROR(INDEX('Raw lists'!$C$2:$C$616,MATCH(M23,'Raw lists'!$C$2:$C$616,0))&amp;" | ",""))&amp;IF(N23="","",IFERROR(INDEX('Raw lists'!$C$2:$C$616,MATCH(N23,'Raw lists'!$C$2:$C$616,0))&amp;" | ",""))&amp;IF(O23="","",IFERROR(INDEX('Raw lists'!$C$2:$C$616,MATCH(O23,'Raw lists'!$C$2:$C$616,0))&amp;" | ",""))&amp;IF(P23="","",IFERROR(INDEX('Raw lists'!$C$2:$C$616,MATCH(P23,'Raw lists'!$C$2:$C$616,0))&amp;" | ","")))=0,"",LEFT(IF(K23="","",IFERROR(INDEX('Raw lists'!$C$2:$C$616,MATCH(K23,'Raw lists'!$C$2:$C$616,0))&amp;" | ",""))&amp;IF(L23="","",IFERROR(INDEX('Raw lists'!$C$2:$C$616,MATCH(L23,'Raw lists'!$C$2:$C$616,0))&amp;" | ",""))&amp;IF(M23="","",IFERROR(INDEX('Raw lists'!$C$2:$C$616,MATCH(M23,'Raw lists'!$C$2:$C$616,0))&amp;" | ",""))&amp;IF(N23="","",IFERROR(INDEX('Raw lists'!$C$2:$C$616,MATCH(N23,'Raw lists'!$C$2:$C$616,0))&amp;" | ",""))&amp;IF(O23="","",IFERROR(INDEX('Raw lists'!$C$2:$C$616,MATCH(O23,'Raw lists'!$C$2:$C$616,0))&amp;" | ",""))&amp;IF(P23="","",IFERROR(INDEX('Raw lists'!$C$2:$C$616,MATCH(P23,'Raw lists'!$C$2:$C$616,0))&amp;" | ","")),LEN(IF(K23="","",IFERROR(INDEX('Raw lists'!$C$2:$C$616,MATCH(K23,'Raw lists'!$C$2:$C$616,0))&amp;" | ",""))&amp;IF(L23="","",IFERROR(INDEX('Raw lists'!$C$2:$C$616,MATCH(L23,'Raw lists'!$C$2:$C$616,0))&amp;" | ",""))&amp;IF(M23="","",IFERROR(INDEX('Raw lists'!$C$2:$C$616,MATCH(M23,'Raw lists'!$C$2:$C$616,0))&amp;" | ",""))&amp;IF(N23="","",IFERROR(INDEX('Raw lists'!$C$2:$C$616,MATCH(N23,'Raw lists'!$C$2:$C$616,0))&amp;" | ",""))&amp;IF(O23="","",IFERROR(INDEX('Raw lists'!$C$2:$C$616,MATCH(O23,'Raw lists'!$C$2:$C$616,0))&amp;" | ",""))&amp;IF(P23="","",IFERROR(INDEX('Raw lists'!$C$2:$C$616,MATCH(P23,'Raw lists'!$C$2:$C$616,0))&amp;" | ","")))-3))</f>
        <v>Spherical Wavefront</v>
      </c>
      <c r="F23" s="28" t="s">
        <v>17</v>
      </c>
      <c r="G23" s="30" t="s">
        <v>112</v>
      </c>
      <c r="H23" s="28">
        <f t="shared" si="0"/>
        <v>1</v>
      </c>
      <c r="I23" s="31" t="str">
        <f t="shared" si="1"/>
        <v>Only YAKE</v>
      </c>
      <c r="K23" s="32" t="s">
        <v>113</v>
      </c>
      <c r="L23" s="32"/>
      <c r="M23" s="32"/>
      <c r="N23" s="32"/>
      <c r="O23" s="32"/>
      <c r="P23" s="32"/>
    </row>
    <row r="24" spans="1:16" x14ac:dyDescent="0.3">
      <c r="A24" s="28">
        <v>23</v>
      </c>
      <c r="B24" s="29" t="s">
        <v>114</v>
      </c>
      <c r="C24" s="30" t="str">
        <f>IF(LEN(IF(K24="","",IFERROR(INDEX('Raw lists'!$A$2:$A$192,MATCH(K24,'Raw lists'!$A$2:$A$192,0))&amp;" | ",""))&amp;IF(L24="","",IFERROR(INDEX('Raw lists'!$A$2:$A$192,MATCH(L24,'Raw lists'!$A$2:$A$192,0))&amp;" | ",""))&amp;IF(M24="","",IFERROR(INDEX('Raw lists'!$A$2:$A$192,MATCH(M24,'Raw lists'!$A$2:$A$192,0))&amp;" | ",""))&amp;IF(N24="","",IFERROR(INDEX('Raw lists'!$A$2:$A$192,MATCH(N24,'Raw lists'!$A$2:$A$192,0))&amp;" | ",""))&amp;IF(O24="","",IFERROR(INDEX('Raw lists'!$A$2:$A$192,MATCH(O24,'Raw lists'!$A$2:$A$192,0))&amp;" | ",""))&amp;IF(P24="","",IFERROR(INDEX('Raw lists'!$A$2:$A$192,MATCH(P24,'Raw lists'!$A$2:$A$192,0))&amp;" | ","")))=0,"",LEFT(IF(K24="","",IFERROR(INDEX('Raw lists'!$A$2:$A$192,MATCH(K24,'Raw lists'!$A$2:$A$192,0))&amp;" | ",""))&amp;IF(L24="","",IFERROR(INDEX('Raw lists'!$A$2:$A$192,MATCH(L24,'Raw lists'!$A$2:$A$192,0))&amp;" | ",""))&amp;IF(M24="","",IFERROR(INDEX('Raw lists'!$A$2:$A$192,MATCH(M24,'Raw lists'!$A$2:$A$192,0))&amp;" | ",""))&amp;IF(N24="","",IFERROR(INDEX('Raw lists'!$A$2:$A$192,MATCH(N24,'Raw lists'!$A$2:$A$192,0))&amp;" | ",""))&amp;IF(O24="","",IFERROR(INDEX('Raw lists'!$A$2:$A$192,MATCH(O24,'Raw lists'!$A$2:$A$192,0))&amp;" | ",""))&amp;IF(P24="","",IFERROR(INDEX('Raw lists'!$A$2:$A$192,MATCH(P24,'Raw lists'!$A$2:$A$192,0))&amp;" | ","")),LEN(IF(K24="","",IFERROR(INDEX('Raw lists'!$A$2:$A$192,MATCH(K24,'Raw lists'!$A$2:$A$192,0))&amp;" | ",""))&amp;IF(L24="","",IFERROR(INDEX('Raw lists'!$A$2:$A$192,MATCH(L24,'Raw lists'!$A$2:$A$192,0))&amp;" | ",""))&amp;IF(M24="","",IFERROR(INDEX('Raw lists'!$A$2:$A$192,MATCH(M24,'Raw lists'!$A$2:$A$192,0))&amp;" | ",""))&amp;IF(N24="","",IFERROR(INDEX('Raw lists'!$A$2:$A$192,MATCH(N24,'Raw lists'!$A$2:$A$192,0))&amp;" | ",""))&amp;IF(O24="","",IFERROR(INDEX('Raw lists'!$A$2:$A$192,MATCH(O24,'Raw lists'!$A$2:$A$192,0))&amp;" | ",""))&amp;IF(P24="","",IFERROR(INDEX('Raw lists'!$A$2:$A$192,MATCH(P24,'Raw lists'!$A$2:$A$192,0))&amp;" | ","")))-3))</f>
        <v/>
      </c>
      <c r="D24" s="30" t="str">
        <f>IF(LEN(IF(K24="","",IFERROR(INDEX('Raw lists'!$B$2:$B$627,MATCH(K24,'Raw lists'!$B$2:$B$627,0))&amp;" | ",""))&amp;IF(L24="","",IFERROR(INDEX('Raw lists'!$B$2:$B$627,MATCH(L24,'Raw lists'!$B$2:$B$627,0))&amp;" | ",""))&amp;IF(M24="","",IFERROR(INDEX('Raw lists'!$B$2:$B$627,MATCH(M24,'Raw lists'!$B$2:$B$627,0))&amp;" | ",""))&amp;IF(N24="","",IFERROR(INDEX('Raw lists'!$B$2:$B$627,MATCH(N24,'Raw lists'!$B$2:$B$627,0))&amp;" | ",""))&amp;IF(O24="","",IFERROR(INDEX('Raw lists'!$B$2:$B$627,MATCH(O24,'Raw lists'!$B$2:$B$627,0))&amp;" | ",""))&amp;IF(P24="","",IFERROR(INDEX('Raw lists'!$B$2:$B$627,MATCH(P24,'Raw lists'!$B$2:$B$627,0))&amp;" | ","")))=0,"",LEFT(IF(K24="","",IFERROR(INDEX('Raw lists'!$B$2:$B$627,MATCH(K24,'Raw lists'!$B$2:$B$627,0))&amp;" | ",""))&amp;IF(L24="","",IFERROR(INDEX('Raw lists'!$B$2:$B$627,MATCH(L24,'Raw lists'!$B$2:$B$627,0))&amp;" | ",""))&amp;IF(M24="","",IFERROR(INDEX('Raw lists'!$B$2:$B$627,MATCH(M24,'Raw lists'!$B$2:$B$627,0))&amp;" | ",""))&amp;IF(N24="","",IFERROR(INDEX('Raw lists'!$B$2:$B$627,MATCH(N24,'Raw lists'!$B$2:$B$627,0))&amp;" | ",""))&amp;IF(O24="","",IFERROR(INDEX('Raw lists'!$B$2:$B$627,MATCH(O24,'Raw lists'!$B$2:$B$627,0))&amp;" | ",""))&amp;IF(P24="","",IFERROR(INDEX('Raw lists'!$B$2:$B$627,MATCH(P24,'Raw lists'!$B$2:$B$627,0))&amp;" | ","")),LEN(IF(K24="","",IFERROR(INDEX('Raw lists'!$B$2:$B$627,MATCH(K24,'Raw lists'!$B$2:$B$627,0))&amp;" | ",""))&amp;IF(L24="","",IFERROR(INDEX('Raw lists'!$B$2:$B$627,MATCH(L24,'Raw lists'!$B$2:$B$627,0))&amp;" | ",""))&amp;IF(M24="","",IFERROR(INDEX('Raw lists'!$B$2:$B$627,MATCH(M24,'Raw lists'!$B$2:$B$627,0))&amp;" | ",""))&amp;IF(N24="","",IFERROR(INDEX('Raw lists'!$B$2:$B$627,MATCH(N24,'Raw lists'!$B$2:$B$627,0))&amp;" | ",""))&amp;IF(O24="","",IFERROR(INDEX('Raw lists'!$B$2:$B$627,MATCH(O24,'Raw lists'!$B$2:$B$627,0))&amp;" | ",""))&amp;IF(P24="","",IFERROR(INDEX('Raw lists'!$B$2:$B$627,MATCH(P24,'Raw lists'!$B$2:$B$627,0))&amp;" | ","")))-3))</f>
        <v/>
      </c>
      <c r="E24" s="30" t="str">
        <f>IF(LEN(IF(K24="","",IFERROR(INDEX('Raw lists'!$C$2:$C$616,MATCH(K24,'Raw lists'!$C$2:$C$616,0))&amp;" | ",""))&amp;IF(L24="","",IFERROR(INDEX('Raw lists'!$C$2:$C$616,MATCH(L24,'Raw lists'!$C$2:$C$616,0))&amp;" | ",""))&amp;IF(M24="","",IFERROR(INDEX('Raw lists'!$C$2:$C$616,MATCH(M24,'Raw lists'!$C$2:$C$616,0))&amp;" | ",""))&amp;IF(N24="","",IFERROR(INDEX('Raw lists'!$C$2:$C$616,MATCH(N24,'Raw lists'!$C$2:$C$616,0))&amp;" | ",""))&amp;IF(O24="","",IFERROR(INDEX('Raw lists'!$C$2:$C$616,MATCH(O24,'Raw lists'!$C$2:$C$616,0))&amp;" | ",""))&amp;IF(P24="","",IFERROR(INDEX('Raw lists'!$C$2:$C$616,MATCH(P24,'Raw lists'!$C$2:$C$616,0))&amp;" | ","")))=0,"",LEFT(IF(K24="","",IFERROR(INDEX('Raw lists'!$C$2:$C$616,MATCH(K24,'Raw lists'!$C$2:$C$616,0))&amp;" | ",""))&amp;IF(L24="","",IFERROR(INDEX('Raw lists'!$C$2:$C$616,MATCH(L24,'Raw lists'!$C$2:$C$616,0))&amp;" | ",""))&amp;IF(M24="","",IFERROR(INDEX('Raw lists'!$C$2:$C$616,MATCH(M24,'Raw lists'!$C$2:$C$616,0))&amp;" | ",""))&amp;IF(N24="","",IFERROR(INDEX('Raw lists'!$C$2:$C$616,MATCH(N24,'Raw lists'!$C$2:$C$616,0))&amp;" | ",""))&amp;IF(O24="","",IFERROR(INDEX('Raw lists'!$C$2:$C$616,MATCH(O24,'Raw lists'!$C$2:$C$616,0))&amp;" | ",""))&amp;IF(P24="","",IFERROR(INDEX('Raw lists'!$C$2:$C$616,MATCH(P24,'Raw lists'!$C$2:$C$616,0))&amp;" | ","")),LEN(IF(K24="","",IFERROR(INDEX('Raw lists'!$C$2:$C$616,MATCH(K24,'Raw lists'!$C$2:$C$616,0))&amp;" | ",""))&amp;IF(L24="","",IFERROR(INDEX('Raw lists'!$C$2:$C$616,MATCH(L24,'Raw lists'!$C$2:$C$616,0))&amp;" | ",""))&amp;IF(M24="","",IFERROR(INDEX('Raw lists'!$C$2:$C$616,MATCH(M24,'Raw lists'!$C$2:$C$616,0))&amp;" | ",""))&amp;IF(N24="","",IFERROR(INDEX('Raw lists'!$C$2:$C$616,MATCH(N24,'Raw lists'!$C$2:$C$616,0))&amp;" | ",""))&amp;IF(O24="","",IFERROR(INDEX('Raw lists'!$C$2:$C$616,MATCH(O24,'Raw lists'!$C$2:$C$616,0))&amp;" | ",""))&amp;IF(P24="","",IFERROR(INDEX('Raw lists'!$C$2:$C$616,MATCH(P24,'Raw lists'!$C$2:$C$616,0))&amp;" | ","")))-3))</f>
        <v/>
      </c>
      <c r="F24" s="28" t="s">
        <v>17</v>
      </c>
      <c r="G24" s="30" t="s">
        <v>115</v>
      </c>
      <c r="H24" s="28">
        <f t="shared" si="0"/>
        <v>0</v>
      </c>
      <c r="I24" s="31" t="str">
        <f t="shared" si="1"/>
        <v>None</v>
      </c>
      <c r="K24" s="32" t="s">
        <v>116</v>
      </c>
      <c r="L24" s="32" t="s">
        <v>117</v>
      </c>
      <c r="M24" s="32"/>
      <c r="N24" s="32"/>
      <c r="O24" s="32"/>
      <c r="P24" s="32"/>
    </row>
    <row r="25" spans="1:16" ht="26.4" x14ac:dyDescent="0.3">
      <c r="A25" s="28">
        <v>24</v>
      </c>
      <c r="B25" s="29" t="s">
        <v>118</v>
      </c>
      <c r="C25" s="30" t="str">
        <f>IF(LEN(IF(K25="","",IFERROR(INDEX('Raw lists'!$A$2:$A$192,MATCH(K25,'Raw lists'!$A$2:$A$192,0))&amp;" | ",""))&amp;IF(L25="","",IFERROR(INDEX('Raw lists'!$A$2:$A$192,MATCH(L25,'Raw lists'!$A$2:$A$192,0))&amp;" | ",""))&amp;IF(M25="","",IFERROR(INDEX('Raw lists'!$A$2:$A$192,MATCH(M25,'Raw lists'!$A$2:$A$192,0))&amp;" | ",""))&amp;IF(N25="","",IFERROR(INDEX('Raw lists'!$A$2:$A$192,MATCH(N25,'Raw lists'!$A$2:$A$192,0))&amp;" | ",""))&amp;IF(O25="","",IFERROR(INDEX('Raw lists'!$A$2:$A$192,MATCH(O25,'Raw lists'!$A$2:$A$192,0))&amp;" | ",""))&amp;IF(P25="","",IFERROR(INDEX('Raw lists'!$A$2:$A$192,MATCH(P25,'Raw lists'!$A$2:$A$192,0))&amp;" | ","")))=0,"",LEFT(IF(K25="","",IFERROR(INDEX('Raw lists'!$A$2:$A$192,MATCH(K25,'Raw lists'!$A$2:$A$192,0))&amp;" | ",""))&amp;IF(L25="","",IFERROR(INDEX('Raw lists'!$A$2:$A$192,MATCH(L25,'Raw lists'!$A$2:$A$192,0))&amp;" | ",""))&amp;IF(M25="","",IFERROR(INDEX('Raw lists'!$A$2:$A$192,MATCH(M25,'Raw lists'!$A$2:$A$192,0))&amp;" | ",""))&amp;IF(N25="","",IFERROR(INDEX('Raw lists'!$A$2:$A$192,MATCH(N25,'Raw lists'!$A$2:$A$192,0))&amp;" | ",""))&amp;IF(O25="","",IFERROR(INDEX('Raw lists'!$A$2:$A$192,MATCH(O25,'Raw lists'!$A$2:$A$192,0))&amp;" | ",""))&amp;IF(P25="","",IFERROR(INDEX('Raw lists'!$A$2:$A$192,MATCH(P25,'Raw lists'!$A$2:$A$192,0))&amp;" | ","")),LEN(IF(K25="","",IFERROR(INDEX('Raw lists'!$A$2:$A$192,MATCH(K25,'Raw lists'!$A$2:$A$192,0))&amp;" | ",""))&amp;IF(L25="","",IFERROR(INDEX('Raw lists'!$A$2:$A$192,MATCH(L25,'Raw lists'!$A$2:$A$192,0))&amp;" | ",""))&amp;IF(M25="","",IFERROR(INDEX('Raw lists'!$A$2:$A$192,MATCH(M25,'Raw lists'!$A$2:$A$192,0))&amp;" | ",""))&amp;IF(N25="","",IFERROR(INDEX('Raw lists'!$A$2:$A$192,MATCH(N25,'Raw lists'!$A$2:$A$192,0))&amp;" | ",""))&amp;IF(O25="","",IFERROR(INDEX('Raw lists'!$A$2:$A$192,MATCH(O25,'Raw lists'!$A$2:$A$192,0))&amp;" | ",""))&amp;IF(P25="","",IFERROR(INDEX('Raw lists'!$A$2:$A$192,MATCH(P25,'Raw lists'!$A$2:$A$192,0))&amp;" | ","")))-3))</f>
        <v/>
      </c>
      <c r="D25" s="30" t="str">
        <f>IF(LEN(IF(K25="","",IFERROR(INDEX('Raw lists'!$B$2:$B$627,MATCH(K25,'Raw lists'!$B$2:$B$627,0))&amp;" | ",""))&amp;IF(L25="","",IFERROR(INDEX('Raw lists'!$B$2:$B$627,MATCH(L25,'Raw lists'!$B$2:$B$627,0))&amp;" | ",""))&amp;IF(M25="","",IFERROR(INDEX('Raw lists'!$B$2:$B$627,MATCH(M25,'Raw lists'!$B$2:$B$627,0))&amp;" | ",""))&amp;IF(N25="","",IFERROR(INDEX('Raw lists'!$B$2:$B$627,MATCH(N25,'Raw lists'!$B$2:$B$627,0))&amp;" | ",""))&amp;IF(O25="","",IFERROR(INDEX('Raw lists'!$B$2:$B$627,MATCH(O25,'Raw lists'!$B$2:$B$627,0))&amp;" | ",""))&amp;IF(P25="","",IFERROR(INDEX('Raw lists'!$B$2:$B$627,MATCH(P25,'Raw lists'!$B$2:$B$627,0))&amp;" | ","")))=0,"",LEFT(IF(K25="","",IFERROR(INDEX('Raw lists'!$B$2:$B$627,MATCH(K25,'Raw lists'!$B$2:$B$627,0))&amp;" | ",""))&amp;IF(L25="","",IFERROR(INDEX('Raw lists'!$B$2:$B$627,MATCH(L25,'Raw lists'!$B$2:$B$627,0))&amp;" | ",""))&amp;IF(M25="","",IFERROR(INDEX('Raw lists'!$B$2:$B$627,MATCH(M25,'Raw lists'!$B$2:$B$627,0))&amp;" | ",""))&amp;IF(N25="","",IFERROR(INDEX('Raw lists'!$B$2:$B$627,MATCH(N25,'Raw lists'!$B$2:$B$627,0))&amp;" | ",""))&amp;IF(O25="","",IFERROR(INDEX('Raw lists'!$B$2:$B$627,MATCH(O25,'Raw lists'!$B$2:$B$627,0))&amp;" | ",""))&amp;IF(P25="","",IFERROR(INDEX('Raw lists'!$B$2:$B$627,MATCH(P25,'Raw lists'!$B$2:$B$627,0))&amp;" | ","")),LEN(IF(K25="","",IFERROR(INDEX('Raw lists'!$B$2:$B$627,MATCH(K25,'Raw lists'!$B$2:$B$627,0))&amp;" | ",""))&amp;IF(L25="","",IFERROR(INDEX('Raw lists'!$B$2:$B$627,MATCH(L25,'Raw lists'!$B$2:$B$627,0))&amp;" | ",""))&amp;IF(M25="","",IFERROR(INDEX('Raw lists'!$B$2:$B$627,MATCH(M25,'Raw lists'!$B$2:$B$627,0))&amp;" | ",""))&amp;IF(N25="","",IFERROR(INDEX('Raw lists'!$B$2:$B$627,MATCH(N25,'Raw lists'!$B$2:$B$627,0))&amp;" | ",""))&amp;IF(O25="","",IFERROR(INDEX('Raw lists'!$B$2:$B$627,MATCH(O25,'Raw lists'!$B$2:$B$627,0))&amp;" | ",""))&amp;IF(P25="","",IFERROR(INDEX('Raw lists'!$B$2:$B$627,MATCH(P25,'Raw lists'!$B$2:$B$627,0))&amp;" | ","")))-3))</f>
        <v>Refractive Index</v>
      </c>
      <c r="E25" s="30" t="str">
        <f>IF(LEN(IF(K25="","",IFERROR(INDEX('Raw lists'!$C$2:$C$616,MATCH(K25,'Raw lists'!$C$2:$C$616,0))&amp;" | ",""))&amp;IF(L25="","",IFERROR(INDEX('Raw lists'!$C$2:$C$616,MATCH(L25,'Raw lists'!$C$2:$C$616,0))&amp;" | ",""))&amp;IF(M25="","",IFERROR(INDEX('Raw lists'!$C$2:$C$616,MATCH(M25,'Raw lists'!$C$2:$C$616,0))&amp;" | ",""))&amp;IF(N25="","",IFERROR(INDEX('Raw lists'!$C$2:$C$616,MATCH(N25,'Raw lists'!$C$2:$C$616,0))&amp;" | ",""))&amp;IF(O25="","",IFERROR(INDEX('Raw lists'!$C$2:$C$616,MATCH(O25,'Raw lists'!$C$2:$C$616,0))&amp;" | ",""))&amp;IF(P25="","",IFERROR(INDEX('Raw lists'!$C$2:$C$616,MATCH(P25,'Raw lists'!$C$2:$C$616,0))&amp;" | ","")))=0,"",LEFT(IF(K25="","",IFERROR(INDEX('Raw lists'!$C$2:$C$616,MATCH(K25,'Raw lists'!$C$2:$C$616,0))&amp;" | ",""))&amp;IF(L25="","",IFERROR(INDEX('Raw lists'!$C$2:$C$616,MATCH(L25,'Raw lists'!$C$2:$C$616,0))&amp;" | ",""))&amp;IF(M25="","",IFERROR(INDEX('Raw lists'!$C$2:$C$616,MATCH(M25,'Raw lists'!$C$2:$C$616,0))&amp;" | ",""))&amp;IF(N25="","",IFERROR(INDEX('Raw lists'!$C$2:$C$616,MATCH(N25,'Raw lists'!$C$2:$C$616,0))&amp;" | ",""))&amp;IF(O25="","",IFERROR(INDEX('Raw lists'!$C$2:$C$616,MATCH(O25,'Raw lists'!$C$2:$C$616,0))&amp;" | ",""))&amp;IF(P25="","",IFERROR(INDEX('Raw lists'!$C$2:$C$616,MATCH(P25,'Raw lists'!$C$2:$C$616,0))&amp;" | ","")),LEN(IF(K25="","",IFERROR(INDEX('Raw lists'!$C$2:$C$616,MATCH(K25,'Raw lists'!$C$2:$C$616,0))&amp;" | ",""))&amp;IF(L25="","",IFERROR(INDEX('Raw lists'!$C$2:$C$616,MATCH(L25,'Raw lists'!$C$2:$C$616,0))&amp;" | ",""))&amp;IF(M25="","",IFERROR(INDEX('Raw lists'!$C$2:$C$616,MATCH(M25,'Raw lists'!$C$2:$C$616,0))&amp;" | ",""))&amp;IF(N25="","",IFERROR(INDEX('Raw lists'!$C$2:$C$616,MATCH(N25,'Raw lists'!$C$2:$C$616,0))&amp;" | ",""))&amp;IF(O25="","",IFERROR(INDEX('Raw lists'!$C$2:$C$616,MATCH(O25,'Raw lists'!$C$2:$C$616,0))&amp;" | ",""))&amp;IF(P25="","",IFERROR(INDEX('Raw lists'!$C$2:$C$616,MATCH(P25,'Raw lists'!$C$2:$C$616,0))&amp;" | ","")))-3))</f>
        <v>Refractive Index</v>
      </c>
      <c r="F25" s="28" t="s">
        <v>17</v>
      </c>
      <c r="G25" s="30" t="s">
        <v>119</v>
      </c>
      <c r="H25" s="28">
        <f t="shared" si="0"/>
        <v>2</v>
      </c>
      <c r="I25" s="31" t="str">
        <f t="shared" si="1"/>
        <v>RAKE + YAKE</v>
      </c>
      <c r="K25" s="32" t="s">
        <v>120</v>
      </c>
      <c r="L25" s="32"/>
      <c r="M25" s="32"/>
      <c r="N25" s="32"/>
      <c r="O25" s="32"/>
      <c r="P25" s="32"/>
    </row>
    <row r="26" spans="1:16" x14ac:dyDescent="0.3">
      <c r="A26" s="28">
        <v>25</v>
      </c>
      <c r="B26" s="29" t="s">
        <v>121</v>
      </c>
      <c r="C26" s="30" t="str">
        <f>IF(LEN(IF(K26="","",IFERROR(INDEX('Raw lists'!$A$2:$A$192,MATCH(K26,'Raw lists'!$A$2:$A$192,0))&amp;" | ",""))&amp;IF(L26="","",IFERROR(INDEX('Raw lists'!$A$2:$A$192,MATCH(L26,'Raw lists'!$A$2:$A$192,0))&amp;" | ",""))&amp;IF(M26="","",IFERROR(INDEX('Raw lists'!$A$2:$A$192,MATCH(M26,'Raw lists'!$A$2:$A$192,0))&amp;" | ",""))&amp;IF(N26="","",IFERROR(INDEX('Raw lists'!$A$2:$A$192,MATCH(N26,'Raw lists'!$A$2:$A$192,0))&amp;" | ",""))&amp;IF(O26="","",IFERROR(INDEX('Raw lists'!$A$2:$A$192,MATCH(O26,'Raw lists'!$A$2:$A$192,0))&amp;" | ",""))&amp;IF(P26="","",IFERROR(INDEX('Raw lists'!$A$2:$A$192,MATCH(P26,'Raw lists'!$A$2:$A$192,0))&amp;" | ","")))=0,"",LEFT(IF(K26="","",IFERROR(INDEX('Raw lists'!$A$2:$A$192,MATCH(K26,'Raw lists'!$A$2:$A$192,0))&amp;" | ",""))&amp;IF(L26="","",IFERROR(INDEX('Raw lists'!$A$2:$A$192,MATCH(L26,'Raw lists'!$A$2:$A$192,0))&amp;" | ",""))&amp;IF(M26="","",IFERROR(INDEX('Raw lists'!$A$2:$A$192,MATCH(M26,'Raw lists'!$A$2:$A$192,0))&amp;" | ",""))&amp;IF(N26="","",IFERROR(INDEX('Raw lists'!$A$2:$A$192,MATCH(N26,'Raw lists'!$A$2:$A$192,0))&amp;" | ",""))&amp;IF(O26="","",IFERROR(INDEX('Raw lists'!$A$2:$A$192,MATCH(O26,'Raw lists'!$A$2:$A$192,0))&amp;" | ",""))&amp;IF(P26="","",IFERROR(INDEX('Raw lists'!$A$2:$A$192,MATCH(P26,'Raw lists'!$A$2:$A$192,0))&amp;" | ","")),LEN(IF(K26="","",IFERROR(INDEX('Raw lists'!$A$2:$A$192,MATCH(K26,'Raw lists'!$A$2:$A$192,0))&amp;" | ",""))&amp;IF(L26="","",IFERROR(INDEX('Raw lists'!$A$2:$A$192,MATCH(L26,'Raw lists'!$A$2:$A$192,0))&amp;" | ",""))&amp;IF(M26="","",IFERROR(INDEX('Raw lists'!$A$2:$A$192,MATCH(M26,'Raw lists'!$A$2:$A$192,0))&amp;" | ",""))&amp;IF(N26="","",IFERROR(INDEX('Raw lists'!$A$2:$A$192,MATCH(N26,'Raw lists'!$A$2:$A$192,0))&amp;" | ",""))&amp;IF(O26="","",IFERROR(INDEX('Raw lists'!$A$2:$A$192,MATCH(O26,'Raw lists'!$A$2:$A$192,0))&amp;" | ",""))&amp;IF(P26="","",IFERROR(INDEX('Raw lists'!$A$2:$A$192,MATCH(P26,'Raw lists'!$A$2:$A$192,0))&amp;" | ","")))-3))</f>
        <v>Positive Crystals</v>
      </c>
      <c r="D26" s="30" t="str">
        <f>IF(LEN(IF(K26="","",IFERROR(INDEX('Raw lists'!$B$2:$B$627,MATCH(K26,'Raw lists'!$B$2:$B$627,0))&amp;" | ",""))&amp;IF(L26="","",IFERROR(INDEX('Raw lists'!$B$2:$B$627,MATCH(L26,'Raw lists'!$B$2:$B$627,0))&amp;" | ",""))&amp;IF(M26="","",IFERROR(INDEX('Raw lists'!$B$2:$B$627,MATCH(M26,'Raw lists'!$B$2:$B$627,0))&amp;" | ",""))&amp;IF(N26="","",IFERROR(INDEX('Raw lists'!$B$2:$B$627,MATCH(N26,'Raw lists'!$B$2:$B$627,0))&amp;" | ",""))&amp;IF(O26="","",IFERROR(INDEX('Raw lists'!$B$2:$B$627,MATCH(O26,'Raw lists'!$B$2:$B$627,0))&amp;" | ",""))&amp;IF(P26="","",IFERROR(INDEX('Raw lists'!$B$2:$B$627,MATCH(P26,'Raw lists'!$B$2:$B$627,0))&amp;" | ","")))=0,"",LEFT(IF(K26="","",IFERROR(INDEX('Raw lists'!$B$2:$B$627,MATCH(K26,'Raw lists'!$B$2:$B$627,0))&amp;" | ",""))&amp;IF(L26="","",IFERROR(INDEX('Raw lists'!$B$2:$B$627,MATCH(L26,'Raw lists'!$B$2:$B$627,0))&amp;" | ",""))&amp;IF(M26="","",IFERROR(INDEX('Raw lists'!$B$2:$B$627,MATCH(M26,'Raw lists'!$B$2:$B$627,0))&amp;" | ",""))&amp;IF(N26="","",IFERROR(INDEX('Raw lists'!$B$2:$B$627,MATCH(N26,'Raw lists'!$B$2:$B$627,0))&amp;" | ",""))&amp;IF(O26="","",IFERROR(INDEX('Raw lists'!$B$2:$B$627,MATCH(O26,'Raw lists'!$B$2:$B$627,0))&amp;" | ",""))&amp;IF(P26="","",IFERROR(INDEX('Raw lists'!$B$2:$B$627,MATCH(P26,'Raw lists'!$B$2:$B$627,0))&amp;" | ","")),LEN(IF(K26="","",IFERROR(INDEX('Raw lists'!$B$2:$B$627,MATCH(K26,'Raw lists'!$B$2:$B$627,0))&amp;" | ",""))&amp;IF(L26="","",IFERROR(INDEX('Raw lists'!$B$2:$B$627,MATCH(L26,'Raw lists'!$B$2:$B$627,0))&amp;" | ",""))&amp;IF(M26="","",IFERROR(INDEX('Raw lists'!$B$2:$B$627,MATCH(M26,'Raw lists'!$B$2:$B$627,0))&amp;" | ",""))&amp;IF(N26="","",IFERROR(INDEX('Raw lists'!$B$2:$B$627,MATCH(N26,'Raw lists'!$B$2:$B$627,0))&amp;" | ",""))&amp;IF(O26="","",IFERROR(INDEX('Raw lists'!$B$2:$B$627,MATCH(O26,'Raw lists'!$B$2:$B$627,0))&amp;" | ",""))&amp;IF(P26="","",IFERROR(INDEX('Raw lists'!$B$2:$B$627,MATCH(P26,'Raw lists'!$B$2:$B$627,0))&amp;" | ","")))-3))</f>
        <v>Positive Crystals</v>
      </c>
      <c r="E26" s="30" t="str">
        <f>IF(LEN(IF(K26="","",IFERROR(INDEX('Raw lists'!$C$2:$C$616,MATCH(K26,'Raw lists'!$C$2:$C$616,0))&amp;" | ",""))&amp;IF(L26="","",IFERROR(INDEX('Raw lists'!$C$2:$C$616,MATCH(L26,'Raw lists'!$C$2:$C$616,0))&amp;" | ",""))&amp;IF(M26="","",IFERROR(INDEX('Raw lists'!$C$2:$C$616,MATCH(M26,'Raw lists'!$C$2:$C$616,0))&amp;" | ",""))&amp;IF(N26="","",IFERROR(INDEX('Raw lists'!$C$2:$C$616,MATCH(N26,'Raw lists'!$C$2:$C$616,0))&amp;" | ",""))&amp;IF(O26="","",IFERROR(INDEX('Raw lists'!$C$2:$C$616,MATCH(O26,'Raw lists'!$C$2:$C$616,0))&amp;" | ",""))&amp;IF(P26="","",IFERROR(INDEX('Raw lists'!$C$2:$C$616,MATCH(P26,'Raw lists'!$C$2:$C$616,0))&amp;" | ","")))=0,"",LEFT(IF(K26="","",IFERROR(INDEX('Raw lists'!$C$2:$C$616,MATCH(K26,'Raw lists'!$C$2:$C$616,0))&amp;" | ",""))&amp;IF(L26="","",IFERROR(INDEX('Raw lists'!$C$2:$C$616,MATCH(L26,'Raw lists'!$C$2:$C$616,0))&amp;" | ",""))&amp;IF(M26="","",IFERROR(INDEX('Raw lists'!$C$2:$C$616,MATCH(M26,'Raw lists'!$C$2:$C$616,0))&amp;" | ",""))&amp;IF(N26="","",IFERROR(INDEX('Raw lists'!$C$2:$C$616,MATCH(N26,'Raw lists'!$C$2:$C$616,0))&amp;" | ",""))&amp;IF(O26="","",IFERROR(INDEX('Raw lists'!$C$2:$C$616,MATCH(O26,'Raw lists'!$C$2:$C$616,0))&amp;" | ",""))&amp;IF(P26="","",IFERROR(INDEX('Raw lists'!$C$2:$C$616,MATCH(P26,'Raw lists'!$C$2:$C$616,0))&amp;" | ","")),LEN(IF(K26="","",IFERROR(INDEX('Raw lists'!$C$2:$C$616,MATCH(K26,'Raw lists'!$C$2:$C$616,0))&amp;" | ",""))&amp;IF(L26="","",IFERROR(INDEX('Raw lists'!$C$2:$C$616,MATCH(L26,'Raw lists'!$C$2:$C$616,0))&amp;" | ",""))&amp;IF(M26="","",IFERROR(INDEX('Raw lists'!$C$2:$C$616,MATCH(M26,'Raw lists'!$C$2:$C$616,0))&amp;" | ",""))&amp;IF(N26="","",IFERROR(INDEX('Raw lists'!$C$2:$C$616,MATCH(N26,'Raw lists'!$C$2:$C$616,0))&amp;" | ",""))&amp;IF(O26="","",IFERROR(INDEX('Raw lists'!$C$2:$C$616,MATCH(O26,'Raw lists'!$C$2:$C$616,0))&amp;" | ",""))&amp;IF(P26="","",IFERROR(INDEX('Raw lists'!$C$2:$C$616,MATCH(P26,'Raw lists'!$C$2:$C$616,0))&amp;" | ","")))-3))</f>
        <v>Positive Crystals</v>
      </c>
      <c r="F26" s="28" t="s">
        <v>17</v>
      </c>
      <c r="G26" s="30" t="s">
        <v>122</v>
      </c>
      <c r="H26" s="28">
        <f t="shared" si="0"/>
        <v>3</v>
      </c>
      <c r="I26" s="31" t="str">
        <f t="shared" si="1"/>
        <v>All three</v>
      </c>
      <c r="K26" s="32" t="s">
        <v>123</v>
      </c>
      <c r="L26" s="32"/>
      <c r="M26" s="32"/>
      <c r="N26" s="32"/>
      <c r="O26" s="32"/>
      <c r="P26" s="32"/>
    </row>
    <row r="27" spans="1:16" x14ac:dyDescent="0.3">
      <c r="A27" s="28">
        <v>26</v>
      </c>
      <c r="B27" s="29" t="s">
        <v>124</v>
      </c>
      <c r="C27" s="30" t="str">
        <f>IF(LEN(IF(K27="","",IFERROR(INDEX('Raw lists'!$A$2:$A$192,MATCH(K27,'Raw lists'!$A$2:$A$192,0))&amp;" | ",""))&amp;IF(L27="","",IFERROR(INDEX('Raw lists'!$A$2:$A$192,MATCH(L27,'Raw lists'!$A$2:$A$192,0))&amp;" | ",""))&amp;IF(M27="","",IFERROR(INDEX('Raw lists'!$A$2:$A$192,MATCH(M27,'Raw lists'!$A$2:$A$192,0))&amp;" | ",""))&amp;IF(N27="","",IFERROR(INDEX('Raw lists'!$A$2:$A$192,MATCH(N27,'Raw lists'!$A$2:$A$192,0))&amp;" | ",""))&amp;IF(O27="","",IFERROR(INDEX('Raw lists'!$A$2:$A$192,MATCH(O27,'Raw lists'!$A$2:$A$192,0))&amp;" | ",""))&amp;IF(P27="","",IFERROR(INDEX('Raw lists'!$A$2:$A$192,MATCH(P27,'Raw lists'!$A$2:$A$192,0))&amp;" | ","")))=0,"",LEFT(IF(K27="","",IFERROR(INDEX('Raw lists'!$A$2:$A$192,MATCH(K27,'Raw lists'!$A$2:$A$192,0))&amp;" | ",""))&amp;IF(L27="","",IFERROR(INDEX('Raw lists'!$A$2:$A$192,MATCH(L27,'Raw lists'!$A$2:$A$192,0))&amp;" | ",""))&amp;IF(M27="","",IFERROR(INDEX('Raw lists'!$A$2:$A$192,MATCH(M27,'Raw lists'!$A$2:$A$192,0))&amp;" | ",""))&amp;IF(N27="","",IFERROR(INDEX('Raw lists'!$A$2:$A$192,MATCH(N27,'Raw lists'!$A$2:$A$192,0))&amp;" | ",""))&amp;IF(O27="","",IFERROR(INDEX('Raw lists'!$A$2:$A$192,MATCH(O27,'Raw lists'!$A$2:$A$192,0))&amp;" | ",""))&amp;IF(P27="","",IFERROR(INDEX('Raw lists'!$A$2:$A$192,MATCH(P27,'Raw lists'!$A$2:$A$192,0))&amp;" | ","")),LEN(IF(K27="","",IFERROR(INDEX('Raw lists'!$A$2:$A$192,MATCH(K27,'Raw lists'!$A$2:$A$192,0))&amp;" | ",""))&amp;IF(L27="","",IFERROR(INDEX('Raw lists'!$A$2:$A$192,MATCH(L27,'Raw lists'!$A$2:$A$192,0))&amp;" | ",""))&amp;IF(M27="","",IFERROR(INDEX('Raw lists'!$A$2:$A$192,MATCH(M27,'Raw lists'!$A$2:$A$192,0))&amp;" | ",""))&amp;IF(N27="","",IFERROR(INDEX('Raw lists'!$A$2:$A$192,MATCH(N27,'Raw lists'!$A$2:$A$192,0))&amp;" | ",""))&amp;IF(O27="","",IFERROR(INDEX('Raw lists'!$A$2:$A$192,MATCH(O27,'Raw lists'!$A$2:$A$192,0))&amp;" | ",""))&amp;IF(P27="","",IFERROR(INDEX('Raw lists'!$A$2:$A$192,MATCH(P27,'Raw lists'!$A$2:$A$192,0))&amp;" | ","")))-3))</f>
        <v>Negative Crystals</v>
      </c>
      <c r="D27" s="30" t="str">
        <f>IF(LEN(IF(K27="","",IFERROR(INDEX('Raw lists'!$B$2:$B$627,MATCH(K27,'Raw lists'!$B$2:$B$627,0))&amp;" | ",""))&amp;IF(L27="","",IFERROR(INDEX('Raw lists'!$B$2:$B$627,MATCH(L27,'Raw lists'!$B$2:$B$627,0))&amp;" | ",""))&amp;IF(M27="","",IFERROR(INDEX('Raw lists'!$B$2:$B$627,MATCH(M27,'Raw lists'!$B$2:$B$627,0))&amp;" | ",""))&amp;IF(N27="","",IFERROR(INDEX('Raw lists'!$B$2:$B$627,MATCH(N27,'Raw lists'!$B$2:$B$627,0))&amp;" | ",""))&amp;IF(O27="","",IFERROR(INDEX('Raw lists'!$B$2:$B$627,MATCH(O27,'Raw lists'!$B$2:$B$627,0))&amp;" | ",""))&amp;IF(P27="","",IFERROR(INDEX('Raw lists'!$B$2:$B$627,MATCH(P27,'Raw lists'!$B$2:$B$627,0))&amp;" | ","")))=0,"",LEFT(IF(K27="","",IFERROR(INDEX('Raw lists'!$B$2:$B$627,MATCH(K27,'Raw lists'!$B$2:$B$627,0))&amp;" | ",""))&amp;IF(L27="","",IFERROR(INDEX('Raw lists'!$B$2:$B$627,MATCH(L27,'Raw lists'!$B$2:$B$627,0))&amp;" | ",""))&amp;IF(M27="","",IFERROR(INDEX('Raw lists'!$B$2:$B$627,MATCH(M27,'Raw lists'!$B$2:$B$627,0))&amp;" | ",""))&amp;IF(N27="","",IFERROR(INDEX('Raw lists'!$B$2:$B$627,MATCH(N27,'Raw lists'!$B$2:$B$627,0))&amp;" | ",""))&amp;IF(O27="","",IFERROR(INDEX('Raw lists'!$B$2:$B$627,MATCH(O27,'Raw lists'!$B$2:$B$627,0))&amp;" | ",""))&amp;IF(P27="","",IFERROR(INDEX('Raw lists'!$B$2:$B$627,MATCH(P27,'Raw lists'!$B$2:$B$627,0))&amp;" | ","")),LEN(IF(K27="","",IFERROR(INDEX('Raw lists'!$B$2:$B$627,MATCH(K27,'Raw lists'!$B$2:$B$627,0))&amp;" | ",""))&amp;IF(L27="","",IFERROR(INDEX('Raw lists'!$B$2:$B$627,MATCH(L27,'Raw lists'!$B$2:$B$627,0))&amp;" | ",""))&amp;IF(M27="","",IFERROR(INDEX('Raw lists'!$B$2:$B$627,MATCH(M27,'Raw lists'!$B$2:$B$627,0))&amp;" | ",""))&amp;IF(N27="","",IFERROR(INDEX('Raw lists'!$B$2:$B$627,MATCH(N27,'Raw lists'!$B$2:$B$627,0))&amp;" | ",""))&amp;IF(O27="","",IFERROR(INDEX('Raw lists'!$B$2:$B$627,MATCH(O27,'Raw lists'!$B$2:$B$627,0))&amp;" | ",""))&amp;IF(P27="","",IFERROR(INDEX('Raw lists'!$B$2:$B$627,MATCH(P27,'Raw lists'!$B$2:$B$627,0))&amp;" | ","")))-3))</f>
        <v>Negative Crystals</v>
      </c>
      <c r="E27" s="30" t="str">
        <f>IF(LEN(IF(K27="","",IFERROR(INDEX('Raw lists'!$C$2:$C$616,MATCH(K27,'Raw lists'!$C$2:$C$616,0))&amp;" | ",""))&amp;IF(L27="","",IFERROR(INDEX('Raw lists'!$C$2:$C$616,MATCH(L27,'Raw lists'!$C$2:$C$616,0))&amp;" | ",""))&amp;IF(M27="","",IFERROR(INDEX('Raw lists'!$C$2:$C$616,MATCH(M27,'Raw lists'!$C$2:$C$616,0))&amp;" | ",""))&amp;IF(N27="","",IFERROR(INDEX('Raw lists'!$C$2:$C$616,MATCH(N27,'Raw lists'!$C$2:$C$616,0))&amp;" | ",""))&amp;IF(O27="","",IFERROR(INDEX('Raw lists'!$C$2:$C$616,MATCH(O27,'Raw lists'!$C$2:$C$616,0))&amp;" | ",""))&amp;IF(P27="","",IFERROR(INDEX('Raw lists'!$C$2:$C$616,MATCH(P27,'Raw lists'!$C$2:$C$616,0))&amp;" | ","")))=0,"",LEFT(IF(K27="","",IFERROR(INDEX('Raw lists'!$C$2:$C$616,MATCH(K27,'Raw lists'!$C$2:$C$616,0))&amp;" | ",""))&amp;IF(L27="","",IFERROR(INDEX('Raw lists'!$C$2:$C$616,MATCH(L27,'Raw lists'!$C$2:$C$616,0))&amp;" | ",""))&amp;IF(M27="","",IFERROR(INDEX('Raw lists'!$C$2:$C$616,MATCH(M27,'Raw lists'!$C$2:$C$616,0))&amp;" | ",""))&amp;IF(N27="","",IFERROR(INDEX('Raw lists'!$C$2:$C$616,MATCH(N27,'Raw lists'!$C$2:$C$616,0))&amp;" | ",""))&amp;IF(O27="","",IFERROR(INDEX('Raw lists'!$C$2:$C$616,MATCH(O27,'Raw lists'!$C$2:$C$616,0))&amp;" | ",""))&amp;IF(P27="","",IFERROR(INDEX('Raw lists'!$C$2:$C$616,MATCH(P27,'Raw lists'!$C$2:$C$616,0))&amp;" | ","")),LEN(IF(K27="","",IFERROR(INDEX('Raw lists'!$C$2:$C$616,MATCH(K27,'Raw lists'!$C$2:$C$616,0))&amp;" | ",""))&amp;IF(L27="","",IFERROR(INDEX('Raw lists'!$C$2:$C$616,MATCH(L27,'Raw lists'!$C$2:$C$616,0))&amp;" | ",""))&amp;IF(M27="","",IFERROR(INDEX('Raw lists'!$C$2:$C$616,MATCH(M27,'Raw lists'!$C$2:$C$616,0))&amp;" | ",""))&amp;IF(N27="","",IFERROR(INDEX('Raw lists'!$C$2:$C$616,MATCH(N27,'Raw lists'!$C$2:$C$616,0))&amp;" | ",""))&amp;IF(O27="","",IFERROR(INDEX('Raw lists'!$C$2:$C$616,MATCH(O27,'Raw lists'!$C$2:$C$616,0))&amp;" | ",""))&amp;IF(P27="","",IFERROR(INDEX('Raw lists'!$C$2:$C$616,MATCH(P27,'Raw lists'!$C$2:$C$616,0))&amp;" | ","")))-3))</f>
        <v>Negative Crystals</v>
      </c>
      <c r="F27" s="28" t="s">
        <v>17</v>
      </c>
      <c r="G27" s="30" t="s">
        <v>125</v>
      </c>
      <c r="H27" s="28">
        <f t="shared" si="0"/>
        <v>3</v>
      </c>
      <c r="I27" s="31" t="str">
        <f t="shared" si="1"/>
        <v>All three</v>
      </c>
      <c r="K27" s="32" t="s">
        <v>126</v>
      </c>
      <c r="L27" s="32"/>
      <c r="M27" s="32"/>
      <c r="N27" s="32"/>
      <c r="O27" s="32"/>
      <c r="P27" s="32"/>
    </row>
    <row r="28" spans="1:16" x14ac:dyDescent="0.3">
      <c r="A28" s="28">
        <v>27</v>
      </c>
      <c r="B28" s="29" t="s">
        <v>127</v>
      </c>
      <c r="C28" s="30" t="str">
        <f>IF(LEN(IF(K28="","",IFERROR(INDEX('Raw lists'!$A$2:$A$192,MATCH(K28,'Raw lists'!$A$2:$A$192,0))&amp;" | ",""))&amp;IF(L28="","",IFERROR(INDEX('Raw lists'!$A$2:$A$192,MATCH(L28,'Raw lists'!$A$2:$A$192,0))&amp;" | ",""))&amp;IF(M28="","",IFERROR(INDEX('Raw lists'!$A$2:$A$192,MATCH(M28,'Raw lists'!$A$2:$A$192,0))&amp;" | ",""))&amp;IF(N28="","",IFERROR(INDEX('Raw lists'!$A$2:$A$192,MATCH(N28,'Raw lists'!$A$2:$A$192,0))&amp;" | ",""))&amp;IF(O28="","",IFERROR(INDEX('Raw lists'!$A$2:$A$192,MATCH(O28,'Raw lists'!$A$2:$A$192,0))&amp;" | ",""))&amp;IF(P28="","",IFERROR(INDEX('Raw lists'!$A$2:$A$192,MATCH(P28,'Raw lists'!$A$2:$A$192,0))&amp;" | ","")))=0,"",LEFT(IF(K28="","",IFERROR(INDEX('Raw lists'!$A$2:$A$192,MATCH(K28,'Raw lists'!$A$2:$A$192,0))&amp;" | ",""))&amp;IF(L28="","",IFERROR(INDEX('Raw lists'!$A$2:$A$192,MATCH(L28,'Raw lists'!$A$2:$A$192,0))&amp;" | ",""))&amp;IF(M28="","",IFERROR(INDEX('Raw lists'!$A$2:$A$192,MATCH(M28,'Raw lists'!$A$2:$A$192,0))&amp;" | ",""))&amp;IF(N28="","",IFERROR(INDEX('Raw lists'!$A$2:$A$192,MATCH(N28,'Raw lists'!$A$2:$A$192,0))&amp;" | ",""))&amp;IF(O28="","",IFERROR(INDEX('Raw lists'!$A$2:$A$192,MATCH(O28,'Raw lists'!$A$2:$A$192,0))&amp;" | ",""))&amp;IF(P28="","",IFERROR(INDEX('Raw lists'!$A$2:$A$192,MATCH(P28,'Raw lists'!$A$2:$A$192,0))&amp;" | ","")),LEN(IF(K28="","",IFERROR(INDEX('Raw lists'!$A$2:$A$192,MATCH(K28,'Raw lists'!$A$2:$A$192,0))&amp;" | ",""))&amp;IF(L28="","",IFERROR(INDEX('Raw lists'!$A$2:$A$192,MATCH(L28,'Raw lists'!$A$2:$A$192,0))&amp;" | ",""))&amp;IF(M28="","",IFERROR(INDEX('Raw lists'!$A$2:$A$192,MATCH(M28,'Raw lists'!$A$2:$A$192,0))&amp;" | ",""))&amp;IF(N28="","",IFERROR(INDEX('Raw lists'!$A$2:$A$192,MATCH(N28,'Raw lists'!$A$2:$A$192,0))&amp;" | ",""))&amp;IF(O28="","",IFERROR(INDEX('Raw lists'!$A$2:$A$192,MATCH(O28,'Raw lists'!$A$2:$A$192,0))&amp;" | ",""))&amp;IF(P28="","",IFERROR(INDEX('Raw lists'!$A$2:$A$192,MATCH(P28,'Raw lists'!$A$2:$A$192,0))&amp;" | ","")))-3))</f>
        <v/>
      </c>
      <c r="D28" s="30" t="str">
        <f>IF(LEN(IF(K28="","",IFERROR(INDEX('Raw lists'!$B$2:$B$627,MATCH(K28,'Raw lists'!$B$2:$B$627,0))&amp;" | ",""))&amp;IF(L28="","",IFERROR(INDEX('Raw lists'!$B$2:$B$627,MATCH(L28,'Raw lists'!$B$2:$B$627,0))&amp;" | ",""))&amp;IF(M28="","",IFERROR(INDEX('Raw lists'!$B$2:$B$627,MATCH(M28,'Raw lists'!$B$2:$B$627,0))&amp;" | ",""))&amp;IF(N28="","",IFERROR(INDEX('Raw lists'!$B$2:$B$627,MATCH(N28,'Raw lists'!$B$2:$B$627,0))&amp;" | ",""))&amp;IF(O28="","",IFERROR(INDEX('Raw lists'!$B$2:$B$627,MATCH(O28,'Raw lists'!$B$2:$B$627,0))&amp;" | ",""))&amp;IF(P28="","",IFERROR(INDEX('Raw lists'!$B$2:$B$627,MATCH(P28,'Raw lists'!$B$2:$B$627,0))&amp;" | ","")))=0,"",LEFT(IF(K28="","",IFERROR(INDEX('Raw lists'!$B$2:$B$627,MATCH(K28,'Raw lists'!$B$2:$B$627,0))&amp;" | ",""))&amp;IF(L28="","",IFERROR(INDEX('Raw lists'!$B$2:$B$627,MATCH(L28,'Raw lists'!$B$2:$B$627,0))&amp;" | ",""))&amp;IF(M28="","",IFERROR(INDEX('Raw lists'!$B$2:$B$627,MATCH(M28,'Raw lists'!$B$2:$B$627,0))&amp;" | ",""))&amp;IF(N28="","",IFERROR(INDEX('Raw lists'!$B$2:$B$627,MATCH(N28,'Raw lists'!$B$2:$B$627,0))&amp;" | ",""))&amp;IF(O28="","",IFERROR(INDEX('Raw lists'!$B$2:$B$627,MATCH(O28,'Raw lists'!$B$2:$B$627,0))&amp;" | ",""))&amp;IF(P28="","",IFERROR(INDEX('Raw lists'!$B$2:$B$627,MATCH(P28,'Raw lists'!$B$2:$B$627,0))&amp;" | ","")),LEN(IF(K28="","",IFERROR(INDEX('Raw lists'!$B$2:$B$627,MATCH(K28,'Raw lists'!$B$2:$B$627,0))&amp;" | ",""))&amp;IF(L28="","",IFERROR(INDEX('Raw lists'!$B$2:$B$627,MATCH(L28,'Raw lists'!$B$2:$B$627,0))&amp;" | ",""))&amp;IF(M28="","",IFERROR(INDEX('Raw lists'!$B$2:$B$627,MATCH(M28,'Raw lists'!$B$2:$B$627,0))&amp;" | ",""))&amp;IF(N28="","",IFERROR(INDEX('Raw lists'!$B$2:$B$627,MATCH(N28,'Raw lists'!$B$2:$B$627,0))&amp;" | ",""))&amp;IF(O28="","",IFERROR(INDEX('Raw lists'!$B$2:$B$627,MATCH(O28,'Raw lists'!$B$2:$B$627,0))&amp;" | ",""))&amp;IF(P28="","",IFERROR(INDEX('Raw lists'!$B$2:$B$627,MATCH(P28,'Raw lists'!$B$2:$B$627,0))&amp;" | ","")))-3))</f>
        <v>Quartz</v>
      </c>
      <c r="E28" s="30" t="str">
        <f>IF(LEN(IF(K28="","",IFERROR(INDEX('Raw lists'!$C$2:$C$616,MATCH(K28,'Raw lists'!$C$2:$C$616,0))&amp;" | ",""))&amp;IF(L28="","",IFERROR(INDEX('Raw lists'!$C$2:$C$616,MATCH(L28,'Raw lists'!$C$2:$C$616,0))&amp;" | ",""))&amp;IF(M28="","",IFERROR(INDEX('Raw lists'!$C$2:$C$616,MATCH(M28,'Raw lists'!$C$2:$C$616,0))&amp;" | ",""))&amp;IF(N28="","",IFERROR(INDEX('Raw lists'!$C$2:$C$616,MATCH(N28,'Raw lists'!$C$2:$C$616,0))&amp;" | ",""))&amp;IF(O28="","",IFERROR(INDEX('Raw lists'!$C$2:$C$616,MATCH(O28,'Raw lists'!$C$2:$C$616,0))&amp;" | ",""))&amp;IF(P28="","",IFERROR(INDEX('Raw lists'!$C$2:$C$616,MATCH(P28,'Raw lists'!$C$2:$C$616,0))&amp;" | ","")))=0,"",LEFT(IF(K28="","",IFERROR(INDEX('Raw lists'!$C$2:$C$616,MATCH(K28,'Raw lists'!$C$2:$C$616,0))&amp;" | ",""))&amp;IF(L28="","",IFERROR(INDEX('Raw lists'!$C$2:$C$616,MATCH(L28,'Raw lists'!$C$2:$C$616,0))&amp;" | ",""))&amp;IF(M28="","",IFERROR(INDEX('Raw lists'!$C$2:$C$616,MATCH(M28,'Raw lists'!$C$2:$C$616,0))&amp;" | ",""))&amp;IF(N28="","",IFERROR(INDEX('Raw lists'!$C$2:$C$616,MATCH(N28,'Raw lists'!$C$2:$C$616,0))&amp;" | ",""))&amp;IF(O28="","",IFERROR(INDEX('Raw lists'!$C$2:$C$616,MATCH(O28,'Raw lists'!$C$2:$C$616,0))&amp;" | ",""))&amp;IF(P28="","",IFERROR(INDEX('Raw lists'!$C$2:$C$616,MATCH(P28,'Raw lists'!$C$2:$C$616,0))&amp;" | ","")),LEN(IF(K28="","",IFERROR(INDEX('Raw lists'!$C$2:$C$616,MATCH(K28,'Raw lists'!$C$2:$C$616,0))&amp;" | ",""))&amp;IF(L28="","",IFERROR(INDEX('Raw lists'!$C$2:$C$616,MATCH(L28,'Raw lists'!$C$2:$C$616,0))&amp;" | ",""))&amp;IF(M28="","",IFERROR(INDEX('Raw lists'!$C$2:$C$616,MATCH(M28,'Raw lists'!$C$2:$C$616,0))&amp;" | ",""))&amp;IF(N28="","",IFERROR(INDEX('Raw lists'!$C$2:$C$616,MATCH(N28,'Raw lists'!$C$2:$C$616,0))&amp;" | ",""))&amp;IF(O28="","",IFERROR(INDEX('Raw lists'!$C$2:$C$616,MATCH(O28,'Raw lists'!$C$2:$C$616,0))&amp;" | ",""))&amp;IF(P28="","",IFERROR(INDEX('Raw lists'!$C$2:$C$616,MATCH(P28,'Raw lists'!$C$2:$C$616,0))&amp;" | ","")))-3))</f>
        <v/>
      </c>
      <c r="F28" s="28" t="s">
        <v>54</v>
      </c>
      <c r="G28" s="30" t="s">
        <v>128</v>
      </c>
      <c r="H28" s="28">
        <f t="shared" si="0"/>
        <v>1</v>
      </c>
      <c r="I28" s="31" t="str">
        <f t="shared" si="1"/>
        <v>Only RAKE</v>
      </c>
      <c r="K28" s="32" t="s">
        <v>127</v>
      </c>
      <c r="L28" s="32"/>
      <c r="M28" s="32"/>
      <c r="N28" s="32"/>
      <c r="O28" s="32"/>
      <c r="P28" s="32"/>
    </row>
    <row r="29" spans="1:16" x14ac:dyDescent="0.3">
      <c r="A29" s="28">
        <v>28</v>
      </c>
      <c r="B29" s="29" t="s">
        <v>129</v>
      </c>
      <c r="C29" s="30" t="str">
        <f>IF(LEN(IF(K29="","",IFERROR(INDEX('Raw lists'!$A$2:$A$192,MATCH(K29,'Raw lists'!$A$2:$A$192,0))&amp;" | ",""))&amp;IF(L29="","",IFERROR(INDEX('Raw lists'!$A$2:$A$192,MATCH(L29,'Raw lists'!$A$2:$A$192,0))&amp;" | ",""))&amp;IF(M29="","",IFERROR(INDEX('Raw lists'!$A$2:$A$192,MATCH(M29,'Raw lists'!$A$2:$A$192,0))&amp;" | ",""))&amp;IF(N29="","",IFERROR(INDEX('Raw lists'!$A$2:$A$192,MATCH(N29,'Raw lists'!$A$2:$A$192,0))&amp;" | ",""))&amp;IF(O29="","",IFERROR(INDEX('Raw lists'!$A$2:$A$192,MATCH(O29,'Raw lists'!$A$2:$A$192,0))&amp;" | ",""))&amp;IF(P29="","",IFERROR(INDEX('Raw lists'!$A$2:$A$192,MATCH(P29,'Raw lists'!$A$2:$A$192,0))&amp;" | ","")))=0,"",LEFT(IF(K29="","",IFERROR(INDEX('Raw lists'!$A$2:$A$192,MATCH(K29,'Raw lists'!$A$2:$A$192,0))&amp;" | ",""))&amp;IF(L29="","",IFERROR(INDEX('Raw lists'!$A$2:$A$192,MATCH(L29,'Raw lists'!$A$2:$A$192,0))&amp;" | ",""))&amp;IF(M29="","",IFERROR(INDEX('Raw lists'!$A$2:$A$192,MATCH(M29,'Raw lists'!$A$2:$A$192,0))&amp;" | ",""))&amp;IF(N29="","",IFERROR(INDEX('Raw lists'!$A$2:$A$192,MATCH(N29,'Raw lists'!$A$2:$A$192,0))&amp;" | ",""))&amp;IF(O29="","",IFERROR(INDEX('Raw lists'!$A$2:$A$192,MATCH(O29,'Raw lists'!$A$2:$A$192,0))&amp;" | ",""))&amp;IF(P29="","",IFERROR(INDEX('Raw lists'!$A$2:$A$192,MATCH(P29,'Raw lists'!$A$2:$A$192,0))&amp;" | ","")),LEN(IF(K29="","",IFERROR(INDEX('Raw lists'!$A$2:$A$192,MATCH(K29,'Raw lists'!$A$2:$A$192,0))&amp;" | ",""))&amp;IF(L29="","",IFERROR(INDEX('Raw lists'!$A$2:$A$192,MATCH(L29,'Raw lists'!$A$2:$A$192,0))&amp;" | ",""))&amp;IF(M29="","",IFERROR(INDEX('Raw lists'!$A$2:$A$192,MATCH(M29,'Raw lists'!$A$2:$A$192,0))&amp;" | ",""))&amp;IF(N29="","",IFERROR(INDEX('Raw lists'!$A$2:$A$192,MATCH(N29,'Raw lists'!$A$2:$A$192,0))&amp;" | ",""))&amp;IF(O29="","",IFERROR(INDEX('Raw lists'!$A$2:$A$192,MATCH(O29,'Raw lists'!$A$2:$A$192,0))&amp;" | ",""))&amp;IF(P29="","",IFERROR(INDEX('Raw lists'!$A$2:$A$192,MATCH(P29,'Raw lists'!$A$2:$A$192,0))&amp;" | ","")))-3))</f>
        <v/>
      </c>
      <c r="D29" s="30" t="str">
        <f>IF(LEN(IF(K29="","",IFERROR(INDEX('Raw lists'!$B$2:$B$627,MATCH(K29,'Raw lists'!$B$2:$B$627,0))&amp;" | ",""))&amp;IF(L29="","",IFERROR(INDEX('Raw lists'!$B$2:$B$627,MATCH(L29,'Raw lists'!$B$2:$B$627,0))&amp;" | ",""))&amp;IF(M29="","",IFERROR(INDEX('Raw lists'!$B$2:$B$627,MATCH(M29,'Raw lists'!$B$2:$B$627,0))&amp;" | ",""))&amp;IF(N29="","",IFERROR(INDEX('Raw lists'!$B$2:$B$627,MATCH(N29,'Raw lists'!$B$2:$B$627,0))&amp;" | ",""))&amp;IF(O29="","",IFERROR(INDEX('Raw lists'!$B$2:$B$627,MATCH(O29,'Raw lists'!$B$2:$B$627,0))&amp;" | ",""))&amp;IF(P29="","",IFERROR(INDEX('Raw lists'!$B$2:$B$627,MATCH(P29,'Raw lists'!$B$2:$B$627,0))&amp;" | ","")))=0,"",LEFT(IF(K29="","",IFERROR(INDEX('Raw lists'!$B$2:$B$627,MATCH(K29,'Raw lists'!$B$2:$B$627,0))&amp;" | ",""))&amp;IF(L29="","",IFERROR(INDEX('Raw lists'!$B$2:$B$627,MATCH(L29,'Raw lists'!$B$2:$B$627,0))&amp;" | ",""))&amp;IF(M29="","",IFERROR(INDEX('Raw lists'!$B$2:$B$627,MATCH(M29,'Raw lists'!$B$2:$B$627,0))&amp;" | ",""))&amp;IF(N29="","",IFERROR(INDEX('Raw lists'!$B$2:$B$627,MATCH(N29,'Raw lists'!$B$2:$B$627,0))&amp;" | ",""))&amp;IF(O29="","",IFERROR(INDEX('Raw lists'!$B$2:$B$627,MATCH(O29,'Raw lists'!$B$2:$B$627,0))&amp;" | ",""))&amp;IF(P29="","",IFERROR(INDEX('Raw lists'!$B$2:$B$627,MATCH(P29,'Raw lists'!$B$2:$B$627,0))&amp;" | ","")),LEN(IF(K29="","",IFERROR(INDEX('Raw lists'!$B$2:$B$627,MATCH(K29,'Raw lists'!$B$2:$B$627,0))&amp;" | ",""))&amp;IF(L29="","",IFERROR(INDEX('Raw lists'!$B$2:$B$627,MATCH(L29,'Raw lists'!$B$2:$B$627,0))&amp;" | ",""))&amp;IF(M29="","",IFERROR(INDEX('Raw lists'!$B$2:$B$627,MATCH(M29,'Raw lists'!$B$2:$B$627,0))&amp;" | ",""))&amp;IF(N29="","",IFERROR(INDEX('Raw lists'!$B$2:$B$627,MATCH(N29,'Raw lists'!$B$2:$B$627,0))&amp;" | ",""))&amp;IF(O29="","",IFERROR(INDEX('Raw lists'!$B$2:$B$627,MATCH(O29,'Raw lists'!$B$2:$B$627,0))&amp;" | ",""))&amp;IF(P29="","",IFERROR(INDEX('Raw lists'!$B$2:$B$627,MATCH(P29,'Raw lists'!$B$2:$B$627,0))&amp;" | ","")))-3))</f>
        <v>Ice</v>
      </c>
      <c r="E29" s="30" t="str">
        <f>IF(LEN(IF(K29="","",IFERROR(INDEX('Raw lists'!$C$2:$C$616,MATCH(K29,'Raw lists'!$C$2:$C$616,0))&amp;" | ",""))&amp;IF(L29="","",IFERROR(INDEX('Raw lists'!$C$2:$C$616,MATCH(L29,'Raw lists'!$C$2:$C$616,0))&amp;" | ",""))&amp;IF(M29="","",IFERROR(INDEX('Raw lists'!$C$2:$C$616,MATCH(M29,'Raw lists'!$C$2:$C$616,0))&amp;" | ",""))&amp;IF(N29="","",IFERROR(INDEX('Raw lists'!$C$2:$C$616,MATCH(N29,'Raw lists'!$C$2:$C$616,0))&amp;" | ",""))&amp;IF(O29="","",IFERROR(INDEX('Raw lists'!$C$2:$C$616,MATCH(O29,'Raw lists'!$C$2:$C$616,0))&amp;" | ",""))&amp;IF(P29="","",IFERROR(INDEX('Raw lists'!$C$2:$C$616,MATCH(P29,'Raw lists'!$C$2:$C$616,0))&amp;" | ","")))=0,"",LEFT(IF(K29="","",IFERROR(INDEX('Raw lists'!$C$2:$C$616,MATCH(K29,'Raw lists'!$C$2:$C$616,0))&amp;" | ",""))&amp;IF(L29="","",IFERROR(INDEX('Raw lists'!$C$2:$C$616,MATCH(L29,'Raw lists'!$C$2:$C$616,0))&amp;" | ",""))&amp;IF(M29="","",IFERROR(INDEX('Raw lists'!$C$2:$C$616,MATCH(M29,'Raw lists'!$C$2:$C$616,0))&amp;" | ",""))&amp;IF(N29="","",IFERROR(INDEX('Raw lists'!$C$2:$C$616,MATCH(N29,'Raw lists'!$C$2:$C$616,0))&amp;" | ",""))&amp;IF(O29="","",IFERROR(INDEX('Raw lists'!$C$2:$C$616,MATCH(O29,'Raw lists'!$C$2:$C$616,0))&amp;" | ",""))&amp;IF(P29="","",IFERROR(INDEX('Raw lists'!$C$2:$C$616,MATCH(P29,'Raw lists'!$C$2:$C$616,0))&amp;" | ","")),LEN(IF(K29="","",IFERROR(INDEX('Raw lists'!$C$2:$C$616,MATCH(K29,'Raw lists'!$C$2:$C$616,0))&amp;" | ",""))&amp;IF(L29="","",IFERROR(INDEX('Raw lists'!$C$2:$C$616,MATCH(L29,'Raw lists'!$C$2:$C$616,0))&amp;" | ",""))&amp;IF(M29="","",IFERROR(INDEX('Raw lists'!$C$2:$C$616,MATCH(M29,'Raw lists'!$C$2:$C$616,0))&amp;" | ",""))&amp;IF(N29="","",IFERROR(INDEX('Raw lists'!$C$2:$C$616,MATCH(N29,'Raw lists'!$C$2:$C$616,0))&amp;" | ",""))&amp;IF(O29="","",IFERROR(INDEX('Raw lists'!$C$2:$C$616,MATCH(O29,'Raw lists'!$C$2:$C$616,0))&amp;" | ",""))&amp;IF(P29="","",IFERROR(INDEX('Raw lists'!$C$2:$C$616,MATCH(P29,'Raw lists'!$C$2:$C$616,0))&amp;" | ","")))-3))</f>
        <v/>
      </c>
      <c r="F29" s="28" t="s">
        <v>54</v>
      </c>
      <c r="G29" s="30" t="s">
        <v>128</v>
      </c>
      <c r="H29" s="28">
        <f t="shared" si="0"/>
        <v>1</v>
      </c>
      <c r="I29" s="31" t="str">
        <f t="shared" si="1"/>
        <v>Only RAKE</v>
      </c>
      <c r="K29" s="32" t="s">
        <v>129</v>
      </c>
      <c r="L29" s="32"/>
      <c r="M29" s="32"/>
      <c r="N29" s="32"/>
      <c r="O29" s="32"/>
      <c r="P29" s="32"/>
    </row>
    <row r="30" spans="1:16" ht="26.4" x14ac:dyDescent="0.3">
      <c r="A30" s="28">
        <v>29</v>
      </c>
      <c r="B30" s="29" t="s">
        <v>130</v>
      </c>
      <c r="C30" s="30" t="str">
        <f>IF(LEN(IF(K30="","",IFERROR(INDEX('Raw lists'!$A$2:$A$192,MATCH(K30,'Raw lists'!$A$2:$A$192,0))&amp;" | ",""))&amp;IF(L30="","",IFERROR(INDEX('Raw lists'!$A$2:$A$192,MATCH(L30,'Raw lists'!$A$2:$A$192,0))&amp;" | ",""))&amp;IF(M30="","",IFERROR(INDEX('Raw lists'!$A$2:$A$192,MATCH(M30,'Raw lists'!$A$2:$A$192,0))&amp;" | ",""))&amp;IF(N30="","",IFERROR(INDEX('Raw lists'!$A$2:$A$192,MATCH(N30,'Raw lists'!$A$2:$A$192,0))&amp;" | ",""))&amp;IF(O30="","",IFERROR(INDEX('Raw lists'!$A$2:$A$192,MATCH(O30,'Raw lists'!$A$2:$A$192,0))&amp;" | ",""))&amp;IF(P30="","",IFERROR(INDEX('Raw lists'!$A$2:$A$192,MATCH(P30,'Raw lists'!$A$2:$A$192,0))&amp;" | ","")))=0,"",LEFT(IF(K30="","",IFERROR(INDEX('Raw lists'!$A$2:$A$192,MATCH(K30,'Raw lists'!$A$2:$A$192,0))&amp;" | ",""))&amp;IF(L30="","",IFERROR(INDEX('Raw lists'!$A$2:$A$192,MATCH(L30,'Raw lists'!$A$2:$A$192,0))&amp;" | ",""))&amp;IF(M30="","",IFERROR(INDEX('Raw lists'!$A$2:$A$192,MATCH(M30,'Raw lists'!$A$2:$A$192,0))&amp;" | ",""))&amp;IF(N30="","",IFERROR(INDEX('Raw lists'!$A$2:$A$192,MATCH(N30,'Raw lists'!$A$2:$A$192,0))&amp;" | ",""))&amp;IF(O30="","",IFERROR(INDEX('Raw lists'!$A$2:$A$192,MATCH(O30,'Raw lists'!$A$2:$A$192,0))&amp;" | ",""))&amp;IF(P30="","",IFERROR(INDEX('Raw lists'!$A$2:$A$192,MATCH(P30,'Raw lists'!$A$2:$A$192,0))&amp;" | ","")),LEN(IF(K30="","",IFERROR(INDEX('Raw lists'!$A$2:$A$192,MATCH(K30,'Raw lists'!$A$2:$A$192,0))&amp;" | ",""))&amp;IF(L30="","",IFERROR(INDEX('Raw lists'!$A$2:$A$192,MATCH(L30,'Raw lists'!$A$2:$A$192,0))&amp;" | ",""))&amp;IF(M30="","",IFERROR(INDEX('Raw lists'!$A$2:$A$192,MATCH(M30,'Raw lists'!$A$2:$A$192,0))&amp;" | ",""))&amp;IF(N30="","",IFERROR(INDEX('Raw lists'!$A$2:$A$192,MATCH(N30,'Raw lists'!$A$2:$A$192,0))&amp;" | ",""))&amp;IF(O30="","",IFERROR(INDEX('Raw lists'!$A$2:$A$192,MATCH(O30,'Raw lists'!$A$2:$A$192,0))&amp;" | ",""))&amp;IF(P30="","",IFERROR(INDEX('Raw lists'!$A$2:$A$192,MATCH(P30,'Raw lists'!$A$2:$A$192,0))&amp;" | ","")))-3))</f>
        <v>Nicol Prism</v>
      </c>
      <c r="D30" s="30" t="str">
        <f>IF(LEN(IF(K30="","",IFERROR(INDEX('Raw lists'!$B$2:$B$627,MATCH(K30,'Raw lists'!$B$2:$B$627,0))&amp;" | ",""))&amp;IF(L30="","",IFERROR(INDEX('Raw lists'!$B$2:$B$627,MATCH(L30,'Raw lists'!$B$2:$B$627,0))&amp;" | ",""))&amp;IF(M30="","",IFERROR(INDEX('Raw lists'!$B$2:$B$627,MATCH(M30,'Raw lists'!$B$2:$B$627,0))&amp;" | ",""))&amp;IF(N30="","",IFERROR(INDEX('Raw lists'!$B$2:$B$627,MATCH(N30,'Raw lists'!$B$2:$B$627,0))&amp;" | ",""))&amp;IF(O30="","",IFERROR(INDEX('Raw lists'!$B$2:$B$627,MATCH(O30,'Raw lists'!$B$2:$B$627,0))&amp;" | ",""))&amp;IF(P30="","",IFERROR(INDEX('Raw lists'!$B$2:$B$627,MATCH(P30,'Raw lists'!$B$2:$B$627,0))&amp;" | ","")))=0,"",LEFT(IF(K30="","",IFERROR(INDEX('Raw lists'!$B$2:$B$627,MATCH(K30,'Raw lists'!$B$2:$B$627,0))&amp;" | ",""))&amp;IF(L30="","",IFERROR(INDEX('Raw lists'!$B$2:$B$627,MATCH(L30,'Raw lists'!$B$2:$B$627,0))&amp;" | ",""))&amp;IF(M30="","",IFERROR(INDEX('Raw lists'!$B$2:$B$627,MATCH(M30,'Raw lists'!$B$2:$B$627,0))&amp;" | ",""))&amp;IF(N30="","",IFERROR(INDEX('Raw lists'!$B$2:$B$627,MATCH(N30,'Raw lists'!$B$2:$B$627,0))&amp;" | ",""))&amp;IF(O30="","",IFERROR(INDEX('Raw lists'!$B$2:$B$627,MATCH(O30,'Raw lists'!$B$2:$B$627,0))&amp;" | ",""))&amp;IF(P30="","",IFERROR(INDEX('Raw lists'!$B$2:$B$627,MATCH(P30,'Raw lists'!$B$2:$B$627,0))&amp;" | ","")),LEN(IF(K30="","",IFERROR(INDEX('Raw lists'!$B$2:$B$627,MATCH(K30,'Raw lists'!$B$2:$B$627,0))&amp;" | ",""))&amp;IF(L30="","",IFERROR(INDEX('Raw lists'!$B$2:$B$627,MATCH(L30,'Raw lists'!$B$2:$B$627,0))&amp;" | ",""))&amp;IF(M30="","",IFERROR(INDEX('Raw lists'!$B$2:$B$627,MATCH(M30,'Raw lists'!$B$2:$B$627,0))&amp;" | ",""))&amp;IF(N30="","",IFERROR(INDEX('Raw lists'!$B$2:$B$627,MATCH(N30,'Raw lists'!$B$2:$B$627,0))&amp;" | ",""))&amp;IF(O30="","",IFERROR(INDEX('Raw lists'!$B$2:$B$627,MATCH(O30,'Raw lists'!$B$2:$B$627,0))&amp;" | ",""))&amp;IF(P30="","",IFERROR(INDEX('Raw lists'!$B$2:$B$627,MATCH(P30,'Raw lists'!$B$2:$B$627,0))&amp;" | ","")))-3))</f>
        <v>Nicol Prism | Nicol</v>
      </c>
      <c r="E30" s="30" t="str">
        <f>IF(LEN(IF(K30="","",IFERROR(INDEX('Raw lists'!$C$2:$C$616,MATCH(K30,'Raw lists'!$C$2:$C$616,0))&amp;" | ",""))&amp;IF(L30="","",IFERROR(INDEX('Raw lists'!$C$2:$C$616,MATCH(L30,'Raw lists'!$C$2:$C$616,0))&amp;" | ",""))&amp;IF(M30="","",IFERROR(INDEX('Raw lists'!$C$2:$C$616,MATCH(M30,'Raw lists'!$C$2:$C$616,0))&amp;" | ",""))&amp;IF(N30="","",IFERROR(INDEX('Raw lists'!$C$2:$C$616,MATCH(N30,'Raw lists'!$C$2:$C$616,0))&amp;" | ",""))&amp;IF(O30="","",IFERROR(INDEX('Raw lists'!$C$2:$C$616,MATCH(O30,'Raw lists'!$C$2:$C$616,0))&amp;" | ",""))&amp;IF(P30="","",IFERROR(INDEX('Raw lists'!$C$2:$C$616,MATCH(P30,'Raw lists'!$C$2:$C$616,0))&amp;" | ","")))=0,"",LEFT(IF(K30="","",IFERROR(INDEX('Raw lists'!$C$2:$C$616,MATCH(K30,'Raw lists'!$C$2:$C$616,0))&amp;" | ",""))&amp;IF(L30="","",IFERROR(INDEX('Raw lists'!$C$2:$C$616,MATCH(L30,'Raw lists'!$C$2:$C$616,0))&amp;" | ",""))&amp;IF(M30="","",IFERROR(INDEX('Raw lists'!$C$2:$C$616,MATCH(M30,'Raw lists'!$C$2:$C$616,0))&amp;" | ",""))&amp;IF(N30="","",IFERROR(INDEX('Raw lists'!$C$2:$C$616,MATCH(N30,'Raw lists'!$C$2:$C$616,0))&amp;" | ",""))&amp;IF(O30="","",IFERROR(INDEX('Raw lists'!$C$2:$C$616,MATCH(O30,'Raw lists'!$C$2:$C$616,0))&amp;" | ",""))&amp;IF(P30="","",IFERROR(INDEX('Raw lists'!$C$2:$C$616,MATCH(P30,'Raw lists'!$C$2:$C$616,0))&amp;" | ","")),LEN(IF(K30="","",IFERROR(INDEX('Raw lists'!$C$2:$C$616,MATCH(K30,'Raw lists'!$C$2:$C$616,0))&amp;" | ",""))&amp;IF(L30="","",IFERROR(INDEX('Raw lists'!$C$2:$C$616,MATCH(L30,'Raw lists'!$C$2:$C$616,0))&amp;" | ",""))&amp;IF(M30="","",IFERROR(INDEX('Raw lists'!$C$2:$C$616,MATCH(M30,'Raw lists'!$C$2:$C$616,0))&amp;" | ",""))&amp;IF(N30="","",IFERROR(INDEX('Raw lists'!$C$2:$C$616,MATCH(N30,'Raw lists'!$C$2:$C$616,0))&amp;" | ",""))&amp;IF(O30="","",IFERROR(INDEX('Raw lists'!$C$2:$C$616,MATCH(O30,'Raw lists'!$C$2:$C$616,0))&amp;" | ",""))&amp;IF(P30="","",IFERROR(INDEX('Raw lists'!$C$2:$C$616,MATCH(P30,'Raw lists'!$C$2:$C$616,0))&amp;" | ","")))-3))</f>
        <v>Nicol Prism | Nicol</v>
      </c>
      <c r="F30" s="28" t="s">
        <v>17</v>
      </c>
      <c r="G30" s="30" t="s">
        <v>131</v>
      </c>
      <c r="H30" s="28">
        <f t="shared" si="0"/>
        <v>3</v>
      </c>
      <c r="I30" s="31" t="str">
        <f t="shared" si="1"/>
        <v>All three</v>
      </c>
      <c r="K30" s="32" t="s">
        <v>132</v>
      </c>
      <c r="L30" s="32" t="s">
        <v>133</v>
      </c>
      <c r="M30" s="32"/>
      <c r="N30" s="32"/>
      <c r="O30" s="32"/>
      <c r="P30" s="32"/>
    </row>
    <row r="31" spans="1:16" ht="26.4" x14ac:dyDescent="0.3">
      <c r="A31" s="28">
        <v>30</v>
      </c>
      <c r="B31" s="29" t="s">
        <v>134</v>
      </c>
      <c r="C31" s="30" t="str">
        <f>IF(LEN(IF(K31="","",IFERROR(INDEX('Raw lists'!$A$2:$A$192,MATCH(K31,'Raw lists'!$A$2:$A$192,0))&amp;" | ",""))&amp;IF(L31="","",IFERROR(INDEX('Raw lists'!$A$2:$A$192,MATCH(L31,'Raw lists'!$A$2:$A$192,0))&amp;" | ",""))&amp;IF(M31="","",IFERROR(INDEX('Raw lists'!$A$2:$A$192,MATCH(M31,'Raw lists'!$A$2:$A$192,0))&amp;" | ",""))&amp;IF(N31="","",IFERROR(INDEX('Raw lists'!$A$2:$A$192,MATCH(N31,'Raw lists'!$A$2:$A$192,0))&amp;" | ",""))&amp;IF(O31="","",IFERROR(INDEX('Raw lists'!$A$2:$A$192,MATCH(O31,'Raw lists'!$A$2:$A$192,0))&amp;" | ",""))&amp;IF(P31="","",IFERROR(INDEX('Raw lists'!$A$2:$A$192,MATCH(P31,'Raw lists'!$A$2:$A$192,0))&amp;" | ","")))=0,"",LEFT(IF(K31="","",IFERROR(INDEX('Raw lists'!$A$2:$A$192,MATCH(K31,'Raw lists'!$A$2:$A$192,0))&amp;" | ",""))&amp;IF(L31="","",IFERROR(INDEX('Raw lists'!$A$2:$A$192,MATCH(L31,'Raw lists'!$A$2:$A$192,0))&amp;" | ",""))&amp;IF(M31="","",IFERROR(INDEX('Raw lists'!$A$2:$A$192,MATCH(M31,'Raw lists'!$A$2:$A$192,0))&amp;" | ",""))&amp;IF(N31="","",IFERROR(INDEX('Raw lists'!$A$2:$A$192,MATCH(N31,'Raw lists'!$A$2:$A$192,0))&amp;" | ",""))&amp;IF(O31="","",IFERROR(INDEX('Raw lists'!$A$2:$A$192,MATCH(O31,'Raw lists'!$A$2:$A$192,0))&amp;" | ",""))&amp;IF(P31="","",IFERROR(INDEX('Raw lists'!$A$2:$A$192,MATCH(P31,'Raw lists'!$A$2:$A$192,0))&amp;" | ","")),LEN(IF(K31="","",IFERROR(INDEX('Raw lists'!$A$2:$A$192,MATCH(K31,'Raw lists'!$A$2:$A$192,0))&amp;" | ",""))&amp;IF(L31="","",IFERROR(INDEX('Raw lists'!$A$2:$A$192,MATCH(L31,'Raw lists'!$A$2:$A$192,0))&amp;" | ",""))&amp;IF(M31="","",IFERROR(INDEX('Raw lists'!$A$2:$A$192,MATCH(M31,'Raw lists'!$A$2:$A$192,0))&amp;" | ",""))&amp;IF(N31="","",IFERROR(INDEX('Raw lists'!$A$2:$A$192,MATCH(N31,'Raw lists'!$A$2:$A$192,0))&amp;" | ",""))&amp;IF(O31="","",IFERROR(INDEX('Raw lists'!$A$2:$A$192,MATCH(O31,'Raw lists'!$A$2:$A$192,0))&amp;" | ",""))&amp;IF(P31="","",IFERROR(INDEX('Raw lists'!$A$2:$A$192,MATCH(P31,'Raw lists'!$A$2:$A$192,0))&amp;" | ","")))-3))</f>
        <v>Canada Balsam | Canada Balsam Layer</v>
      </c>
      <c r="D31" s="30" t="str">
        <f>IF(LEN(IF(K31="","",IFERROR(INDEX('Raw lists'!$B$2:$B$627,MATCH(K31,'Raw lists'!$B$2:$B$627,0))&amp;" | ",""))&amp;IF(L31="","",IFERROR(INDEX('Raw lists'!$B$2:$B$627,MATCH(L31,'Raw lists'!$B$2:$B$627,0))&amp;" | ",""))&amp;IF(M31="","",IFERROR(INDEX('Raw lists'!$B$2:$B$627,MATCH(M31,'Raw lists'!$B$2:$B$627,0))&amp;" | ",""))&amp;IF(N31="","",IFERROR(INDEX('Raw lists'!$B$2:$B$627,MATCH(N31,'Raw lists'!$B$2:$B$627,0))&amp;" | ",""))&amp;IF(O31="","",IFERROR(INDEX('Raw lists'!$B$2:$B$627,MATCH(O31,'Raw lists'!$B$2:$B$627,0))&amp;" | ",""))&amp;IF(P31="","",IFERROR(INDEX('Raw lists'!$B$2:$B$627,MATCH(P31,'Raw lists'!$B$2:$B$627,0))&amp;" | ","")))=0,"",LEFT(IF(K31="","",IFERROR(INDEX('Raw lists'!$B$2:$B$627,MATCH(K31,'Raw lists'!$B$2:$B$627,0))&amp;" | ",""))&amp;IF(L31="","",IFERROR(INDEX('Raw lists'!$B$2:$B$627,MATCH(L31,'Raw lists'!$B$2:$B$627,0))&amp;" | ",""))&amp;IF(M31="","",IFERROR(INDEX('Raw lists'!$B$2:$B$627,MATCH(M31,'Raw lists'!$B$2:$B$627,0))&amp;" | ",""))&amp;IF(N31="","",IFERROR(INDEX('Raw lists'!$B$2:$B$627,MATCH(N31,'Raw lists'!$B$2:$B$627,0))&amp;" | ",""))&amp;IF(O31="","",IFERROR(INDEX('Raw lists'!$B$2:$B$627,MATCH(O31,'Raw lists'!$B$2:$B$627,0))&amp;" | ",""))&amp;IF(P31="","",IFERROR(INDEX('Raw lists'!$B$2:$B$627,MATCH(P31,'Raw lists'!$B$2:$B$627,0))&amp;" | ","")),LEN(IF(K31="","",IFERROR(INDEX('Raw lists'!$B$2:$B$627,MATCH(K31,'Raw lists'!$B$2:$B$627,0))&amp;" | ",""))&amp;IF(L31="","",IFERROR(INDEX('Raw lists'!$B$2:$B$627,MATCH(L31,'Raw lists'!$B$2:$B$627,0))&amp;" | ",""))&amp;IF(M31="","",IFERROR(INDEX('Raw lists'!$B$2:$B$627,MATCH(M31,'Raw lists'!$B$2:$B$627,0))&amp;" | ",""))&amp;IF(N31="","",IFERROR(INDEX('Raw lists'!$B$2:$B$627,MATCH(N31,'Raw lists'!$B$2:$B$627,0))&amp;" | ",""))&amp;IF(O31="","",IFERROR(INDEX('Raw lists'!$B$2:$B$627,MATCH(O31,'Raw lists'!$B$2:$B$627,0))&amp;" | ",""))&amp;IF(P31="","",IFERROR(INDEX('Raw lists'!$B$2:$B$627,MATCH(P31,'Raw lists'!$B$2:$B$627,0))&amp;" | ","")))-3))</f>
        <v>Canada Balsam | Canada Balsam Layer | Canada Balsam Surface</v>
      </c>
      <c r="E31" s="30" t="str">
        <f>IF(LEN(IF(K31="","",IFERROR(INDEX('Raw lists'!$C$2:$C$616,MATCH(K31,'Raw lists'!$C$2:$C$616,0))&amp;" | ",""))&amp;IF(L31="","",IFERROR(INDEX('Raw lists'!$C$2:$C$616,MATCH(L31,'Raw lists'!$C$2:$C$616,0))&amp;" | ",""))&amp;IF(M31="","",IFERROR(INDEX('Raw lists'!$C$2:$C$616,MATCH(M31,'Raw lists'!$C$2:$C$616,0))&amp;" | ",""))&amp;IF(N31="","",IFERROR(INDEX('Raw lists'!$C$2:$C$616,MATCH(N31,'Raw lists'!$C$2:$C$616,0))&amp;" | ",""))&amp;IF(O31="","",IFERROR(INDEX('Raw lists'!$C$2:$C$616,MATCH(O31,'Raw lists'!$C$2:$C$616,0))&amp;" | ",""))&amp;IF(P31="","",IFERROR(INDEX('Raw lists'!$C$2:$C$616,MATCH(P31,'Raw lists'!$C$2:$C$616,0))&amp;" | ","")))=0,"",LEFT(IF(K31="","",IFERROR(INDEX('Raw lists'!$C$2:$C$616,MATCH(K31,'Raw lists'!$C$2:$C$616,0))&amp;" | ",""))&amp;IF(L31="","",IFERROR(INDEX('Raw lists'!$C$2:$C$616,MATCH(L31,'Raw lists'!$C$2:$C$616,0))&amp;" | ",""))&amp;IF(M31="","",IFERROR(INDEX('Raw lists'!$C$2:$C$616,MATCH(M31,'Raw lists'!$C$2:$C$616,0))&amp;" | ",""))&amp;IF(N31="","",IFERROR(INDEX('Raw lists'!$C$2:$C$616,MATCH(N31,'Raw lists'!$C$2:$C$616,0))&amp;" | ",""))&amp;IF(O31="","",IFERROR(INDEX('Raw lists'!$C$2:$C$616,MATCH(O31,'Raw lists'!$C$2:$C$616,0))&amp;" | ",""))&amp;IF(P31="","",IFERROR(INDEX('Raw lists'!$C$2:$C$616,MATCH(P31,'Raw lists'!$C$2:$C$616,0))&amp;" | ","")),LEN(IF(K31="","",IFERROR(INDEX('Raw lists'!$C$2:$C$616,MATCH(K31,'Raw lists'!$C$2:$C$616,0))&amp;" | ",""))&amp;IF(L31="","",IFERROR(INDEX('Raw lists'!$C$2:$C$616,MATCH(L31,'Raw lists'!$C$2:$C$616,0))&amp;" | ",""))&amp;IF(M31="","",IFERROR(INDEX('Raw lists'!$C$2:$C$616,MATCH(M31,'Raw lists'!$C$2:$C$616,0))&amp;" | ",""))&amp;IF(N31="","",IFERROR(INDEX('Raw lists'!$C$2:$C$616,MATCH(N31,'Raw lists'!$C$2:$C$616,0))&amp;" | ",""))&amp;IF(O31="","",IFERROR(INDEX('Raw lists'!$C$2:$C$616,MATCH(O31,'Raw lists'!$C$2:$C$616,0))&amp;" | ",""))&amp;IF(P31="","",IFERROR(INDEX('Raw lists'!$C$2:$C$616,MATCH(P31,'Raw lists'!$C$2:$C$616,0))&amp;" | ","")))-3))</f>
        <v>Canada Balsam | Canada Balsam Layer | Canada Balsam Surface</v>
      </c>
      <c r="F31" s="28" t="s">
        <v>17</v>
      </c>
      <c r="G31" s="30" t="s">
        <v>135</v>
      </c>
      <c r="H31" s="28">
        <f t="shared" si="0"/>
        <v>3</v>
      </c>
      <c r="I31" s="31" t="str">
        <f t="shared" si="1"/>
        <v>All three</v>
      </c>
      <c r="K31" s="32" t="s">
        <v>136</v>
      </c>
      <c r="L31" s="32" t="s">
        <v>137</v>
      </c>
      <c r="M31" s="32" t="s">
        <v>138</v>
      </c>
      <c r="N31" s="32"/>
      <c r="O31" s="32"/>
      <c r="P31" s="32"/>
    </row>
    <row r="32" spans="1:16" ht="26.4" x14ac:dyDescent="0.3">
      <c r="A32" s="28">
        <v>31</v>
      </c>
      <c r="B32" s="29" t="s">
        <v>139</v>
      </c>
      <c r="C32" s="30" t="str">
        <f>IF(LEN(IF(K32="","",IFERROR(INDEX('Raw lists'!$A$2:$A$192,MATCH(K32,'Raw lists'!$A$2:$A$192,0))&amp;" | ",""))&amp;IF(L32="","",IFERROR(INDEX('Raw lists'!$A$2:$A$192,MATCH(L32,'Raw lists'!$A$2:$A$192,0))&amp;" | ",""))&amp;IF(M32="","",IFERROR(INDEX('Raw lists'!$A$2:$A$192,MATCH(M32,'Raw lists'!$A$2:$A$192,0))&amp;" | ",""))&amp;IF(N32="","",IFERROR(INDEX('Raw lists'!$A$2:$A$192,MATCH(N32,'Raw lists'!$A$2:$A$192,0))&amp;" | ",""))&amp;IF(O32="","",IFERROR(INDEX('Raw lists'!$A$2:$A$192,MATCH(O32,'Raw lists'!$A$2:$A$192,0))&amp;" | ",""))&amp;IF(P32="","",IFERROR(INDEX('Raw lists'!$A$2:$A$192,MATCH(P32,'Raw lists'!$A$2:$A$192,0))&amp;" | ","")))=0,"",LEFT(IF(K32="","",IFERROR(INDEX('Raw lists'!$A$2:$A$192,MATCH(K32,'Raw lists'!$A$2:$A$192,0))&amp;" | ",""))&amp;IF(L32="","",IFERROR(INDEX('Raw lists'!$A$2:$A$192,MATCH(L32,'Raw lists'!$A$2:$A$192,0))&amp;" | ",""))&amp;IF(M32="","",IFERROR(INDEX('Raw lists'!$A$2:$A$192,MATCH(M32,'Raw lists'!$A$2:$A$192,0))&amp;" | ",""))&amp;IF(N32="","",IFERROR(INDEX('Raw lists'!$A$2:$A$192,MATCH(N32,'Raw lists'!$A$2:$A$192,0))&amp;" | ",""))&amp;IF(O32="","",IFERROR(INDEX('Raw lists'!$A$2:$A$192,MATCH(O32,'Raw lists'!$A$2:$A$192,0))&amp;" | ",""))&amp;IF(P32="","",IFERROR(INDEX('Raw lists'!$A$2:$A$192,MATCH(P32,'Raw lists'!$A$2:$A$192,0))&amp;" | ","")),LEN(IF(K32="","",IFERROR(INDEX('Raw lists'!$A$2:$A$192,MATCH(K32,'Raw lists'!$A$2:$A$192,0))&amp;" | ",""))&amp;IF(L32="","",IFERROR(INDEX('Raw lists'!$A$2:$A$192,MATCH(L32,'Raw lists'!$A$2:$A$192,0))&amp;" | ",""))&amp;IF(M32="","",IFERROR(INDEX('Raw lists'!$A$2:$A$192,MATCH(M32,'Raw lists'!$A$2:$A$192,0))&amp;" | ",""))&amp;IF(N32="","",IFERROR(INDEX('Raw lists'!$A$2:$A$192,MATCH(N32,'Raw lists'!$A$2:$A$192,0))&amp;" | ",""))&amp;IF(O32="","",IFERROR(INDEX('Raw lists'!$A$2:$A$192,MATCH(O32,'Raw lists'!$A$2:$A$192,0))&amp;" | ",""))&amp;IF(P32="","",IFERROR(INDEX('Raw lists'!$A$2:$A$192,MATCH(P32,'Raw lists'!$A$2:$A$192,0))&amp;" | ","")))-3))</f>
        <v>Critical Angle</v>
      </c>
      <c r="D32" s="30" t="str">
        <f>IF(LEN(IF(K32="","",IFERROR(INDEX('Raw lists'!$B$2:$B$627,MATCH(K32,'Raw lists'!$B$2:$B$627,0))&amp;" | ",""))&amp;IF(L32="","",IFERROR(INDEX('Raw lists'!$B$2:$B$627,MATCH(L32,'Raw lists'!$B$2:$B$627,0))&amp;" | ",""))&amp;IF(M32="","",IFERROR(INDEX('Raw lists'!$B$2:$B$627,MATCH(M32,'Raw lists'!$B$2:$B$627,0))&amp;" | ",""))&amp;IF(N32="","",IFERROR(INDEX('Raw lists'!$B$2:$B$627,MATCH(N32,'Raw lists'!$B$2:$B$627,0))&amp;" | ",""))&amp;IF(O32="","",IFERROR(INDEX('Raw lists'!$B$2:$B$627,MATCH(O32,'Raw lists'!$B$2:$B$627,0))&amp;" | ",""))&amp;IF(P32="","",IFERROR(INDEX('Raw lists'!$B$2:$B$627,MATCH(P32,'Raw lists'!$B$2:$B$627,0))&amp;" | ","")))=0,"",LEFT(IF(K32="","",IFERROR(INDEX('Raw lists'!$B$2:$B$627,MATCH(K32,'Raw lists'!$B$2:$B$627,0))&amp;" | ",""))&amp;IF(L32="","",IFERROR(INDEX('Raw lists'!$B$2:$B$627,MATCH(L32,'Raw lists'!$B$2:$B$627,0))&amp;" | ",""))&amp;IF(M32="","",IFERROR(INDEX('Raw lists'!$B$2:$B$627,MATCH(M32,'Raw lists'!$B$2:$B$627,0))&amp;" | ",""))&amp;IF(N32="","",IFERROR(INDEX('Raw lists'!$B$2:$B$627,MATCH(N32,'Raw lists'!$B$2:$B$627,0))&amp;" | ",""))&amp;IF(O32="","",IFERROR(INDEX('Raw lists'!$B$2:$B$627,MATCH(O32,'Raw lists'!$B$2:$B$627,0))&amp;" | ",""))&amp;IF(P32="","",IFERROR(INDEX('Raw lists'!$B$2:$B$627,MATCH(P32,'Raw lists'!$B$2:$B$627,0))&amp;" | ","")),LEN(IF(K32="","",IFERROR(INDEX('Raw lists'!$B$2:$B$627,MATCH(K32,'Raw lists'!$B$2:$B$627,0))&amp;" | ",""))&amp;IF(L32="","",IFERROR(INDEX('Raw lists'!$B$2:$B$627,MATCH(L32,'Raw lists'!$B$2:$B$627,0))&amp;" | ",""))&amp;IF(M32="","",IFERROR(INDEX('Raw lists'!$B$2:$B$627,MATCH(M32,'Raw lists'!$B$2:$B$627,0))&amp;" | ",""))&amp;IF(N32="","",IFERROR(INDEX('Raw lists'!$B$2:$B$627,MATCH(N32,'Raw lists'!$B$2:$B$627,0))&amp;" | ",""))&amp;IF(O32="","",IFERROR(INDEX('Raw lists'!$B$2:$B$627,MATCH(O32,'Raw lists'!$B$2:$B$627,0))&amp;" | ",""))&amp;IF(P32="","",IFERROR(INDEX('Raw lists'!$B$2:$B$627,MATCH(P32,'Raw lists'!$B$2:$B$627,0))&amp;" | ","")))-3))</f>
        <v>Critical Angle</v>
      </c>
      <c r="E32" s="30" t="str">
        <f>IF(LEN(IF(K32="","",IFERROR(INDEX('Raw lists'!$C$2:$C$616,MATCH(K32,'Raw lists'!$C$2:$C$616,0))&amp;" | ",""))&amp;IF(L32="","",IFERROR(INDEX('Raw lists'!$C$2:$C$616,MATCH(L32,'Raw lists'!$C$2:$C$616,0))&amp;" | ",""))&amp;IF(M32="","",IFERROR(INDEX('Raw lists'!$C$2:$C$616,MATCH(M32,'Raw lists'!$C$2:$C$616,0))&amp;" | ",""))&amp;IF(N32="","",IFERROR(INDEX('Raw lists'!$C$2:$C$616,MATCH(N32,'Raw lists'!$C$2:$C$616,0))&amp;" | ",""))&amp;IF(O32="","",IFERROR(INDEX('Raw lists'!$C$2:$C$616,MATCH(O32,'Raw lists'!$C$2:$C$616,0))&amp;" | ",""))&amp;IF(P32="","",IFERROR(INDEX('Raw lists'!$C$2:$C$616,MATCH(P32,'Raw lists'!$C$2:$C$616,0))&amp;" | ","")))=0,"",LEFT(IF(K32="","",IFERROR(INDEX('Raw lists'!$C$2:$C$616,MATCH(K32,'Raw lists'!$C$2:$C$616,0))&amp;" | ",""))&amp;IF(L32="","",IFERROR(INDEX('Raw lists'!$C$2:$C$616,MATCH(L32,'Raw lists'!$C$2:$C$616,0))&amp;" | ",""))&amp;IF(M32="","",IFERROR(INDEX('Raw lists'!$C$2:$C$616,MATCH(M32,'Raw lists'!$C$2:$C$616,0))&amp;" | ",""))&amp;IF(N32="","",IFERROR(INDEX('Raw lists'!$C$2:$C$616,MATCH(N32,'Raw lists'!$C$2:$C$616,0))&amp;" | ",""))&amp;IF(O32="","",IFERROR(INDEX('Raw lists'!$C$2:$C$616,MATCH(O32,'Raw lists'!$C$2:$C$616,0))&amp;" | ",""))&amp;IF(P32="","",IFERROR(INDEX('Raw lists'!$C$2:$C$616,MATCH(P32,'Raw lists'!$C$2:$C$616,0))&amp;" | ","")),LEN(IF(K32="","",IFERROR(INDEX('Raw lists'!$C$2:$C$616,MATCH(K32,'Raw lists'!$C$2:$C$616,0))&amp;" | ",""))&amp;IF(L32="","",IFERROR(INDEX('Raw lists'!$C$2:$C$616,MATCH(L32,'Raw lists'!$C$2:$C$616,0))&amp;" | ",""))&amp;IF(M32="","",IFERROR(INDEX('Raw lists'!$C$2:$C$616,MATCH(M32,'Raw lists'!$C$2:$C$616,0))&amp;" | ",""))&amp;IF(N32="","",IFERROR(INDEX('Raw lists'!$C$2:$C$616,MATCH(N32,'Raw lists'!$C$2:$C$616,0))&amp;" | ",""))&amp;IF(O32="","",IFERROR(INDEX('Raw lists'!$C$2:$C$616,MATCH(O32,'Raw lists'!$C$2:$C$616,0))&amp;" | ",""))&amp;IF(P32="","",IFERROR(INDEX('Raw lists'!$C$2:$C$616,MATCH(P32,'Raw lists'!$C$2:$C$616,0))&amp;" | ","")))-3))</f>
        <v>Critical Angle</v>
      </c>
      <c r="F32" s="28" t="s">
        <v>17</v>
      </c>
      <c r="G32" s="30" t="s">
        <v>140</v>
      </c>
      <c r="H32" s="28">
        <f t="shared" si="0"/>
        <v>3</v>
      </c>
      <c r="I32" s="31" t="str">
        <f t="shared" si="1"/>
        <v>All three</v>
      </c>
      <c r="K32" s="32" t="s">
        <v>141</v>
      </c>
      <c r="L32" s="32"/>
      <c r="M32" s="32"/>
      <c r="N32" s="32"/>
      <c r="O32" s="32"/>
      <c r="P32" s="32"/>
    </row>
    <row r="33" spans="1:16" ht="26.4" x14ac:dyDescent="0.3">
      <c r="A33" s="28">
        <v>32</v>
      </c>
      <c r="B33" s="29" t="s">
        <v>142</v>
      </c>
      <c r="C33" s="30" t="str">
        <f>IF(LEN(IF(K33="","",IFERROR(INDEX('Raw lists'!$A$2:$A$192,MATCH(K33,'Raw lists'!$A$2:$A$192,0))&amp;" | ",""))&amp;IF(L33="","",IFERROR(INDEX('Raw lists'!$A$2:$A$192,MATCH(L33,'Raw lists'!$A$2:$A$192,0))&amp;" | ",""))&amp;IF(M33="","",IFERROR(INDEX('Raw lists'!$A$2:$A$192,MATCH(M33,'Raw lists'!$A$2:$A$192,0))&amp;" | ",""))&amp;IF(N33="","",IFERROR(INDEX('Raw lists'!$A$2:$A$192,MATCH(N33,'Raw lists'!$A$2:$A$192,0))&amp;" | ",""))&amp;IF(O33="","",IFERROR(INDEX('Raw lists'!$A$2:$A$192,MATCH(O33,'Raw lists'!$A$2:$A$192,0))&amp;" | ",""))&amp;IF(P33="","",IFERROR(INDEX('Raw lists'!$A$2:$A$192,MATCH(P33,'Raw lists'!$A$2:$A$192,0))&amp;" | ","")))=0,"",LEFT(IF(K33="","",IFERROR(INDEX('Raw lists'!$A$2:$A$192,MATCH(K33,'Raw lists'!$A$2:$A$192,0))&amp;" | ",""))&amp;IF(L33="","",IFERROR(INDEX('Raw lists'!$A$2:$A$192,MATCH(L33,'Raw lists'!$A$2:$A$192,0))&amp;" | ",""))&amp;IF(M33="","",IFERROR(INDEX('Raw lists'!$A$2:$A$192,MATCH(M33,'Raw lists'!$A$2:$A$192,0))&amp;" | ",""))&amp;IF(N33="","",IFERROR(INDEX('Raw lists'!$A$2:$A$192,MATCH(N33,'Raw lists'!$A$2:$A$192,0))&amp;" | ",""))&amp;IF(O33="","",IFERROR(INDEX('Raw lists'!$A$2:$A$192,MATCH(O33,'Raw lists'!$A$2:$A$192,0))&amp;" | ",""))&amp;IF(P33="","",IFERROR(INDEX('Raw lists'!$A$2:$A$192,MATCH(P33,'Raw lists'!$A$2:$A$192,0))&amp;" | ","")),LEN(IF(K33="","",IFERROR(INDEX('Raw lists'!$A$2:$A$192,MATCH(K33,'Raw lists'!$A$2:$A$192,0))&amp;" | ",""))&amp;IF(L33="","",IFERROR(INDEX('Raw lists'!$A$2:$A$192,MATCH(L33,'Raw lists'!$A$2:$A$192,0))&amp;" | ",""))&amp;IF(M33="","",IFERROR(INDEX('Raw lists'!$A$2:$A$192,MATCH(M33,'Raw lists'!$A$2:$A$192,0))&amp;" | ",""))&amp;IF(N33="","",IFERROR(INDEX('Raw lists'!$A$2:$A$192,MATCH(N33,'Raw lists'!$A$2:$A$192,0))&amp;" | ",""))&amp;IF(O33="","",IFERROR(INDEX('Raw lists'!$A$2:$A$192,MATCH(O33,'Raw lists'!$A$2:$A$192,0))&amp;" | ",""))&amp;IF(P33="","",IFERROR(INDEX('Raw lists'!$A$2:$A$192,MATCH(P33,'Raw lists'!$A$2:$A$192,0))&amp;" | ","")))-3))</f>
        <v/>
      </c>
      <c r="D33" s="30" t="str">
        <f>IF(LEN(IF(K33="","",IFERROR(INDEX('Raw lists'!$B$2:$B$627,MATCH(K33,'Raw lists'!$B$2:$B$627,0))&amp;" | ",""))&amp;IF(L33="","",IFERROR(INDEX('Raw lists'!$B$2:$B$627,MATCH(L33,'Raw lists'!$B$2:$B$627,0))&amp;" | ",""))&amp;IF(M33="","",IFERROR(INDEX('Raw lists'!$B$2:$B$627,MATCH(M33,'Raw lists'!$B$2:$B$627,0))&amp;" | ",""))&amp;IF(N33="","",IFERROR(INDEX('Raw lists'!$B$2:$B$627,MATCH(N33,'Raw lists'!$B$2:$B$627,0))&amp;" | ",""))&amp;IF(O33="","",IFERROR(INDEX('Raw lists'!$B$2:$B$627,MATCH(O33,'Raw lists'!$B$2:$B$627,0))&amp;" | ",""))&amp;IF(P33="","",IFERROR(INDEX('Raw lists'!$B$2:$B$627,MATCH(P33,'Raw lists'!$B$2:$B$627,0))&amp;" | ","")))=0,"",LEFT(IF(K33="","",IFERROR(INDEX('Raw lists'!$B$2:$B$627,MATCH(K33,'Raw lists'!$B$2:$B$627,0))&amp;" | ",""))&amp;IF(L33="","",IFERROR(INDEX('Raw lists'!$B$2:$B$627,MATCH(L33,'Raw lists'!$B$2:$B$627,0))&amp;" | ",""))&amp;IF(M33="","",IFERROR(INDEX('Raw lists'!$B$2:$B$627,MATCH(M33,'Raw lists'!$B$2:$B$627,0))&amp;" | ",""))&amp;IF(N33="","",IFERROR(INDEX('Raw lists'!$B$2:$B$627,MATCH(N33,'Raw lists'!$B$2:$B$627,0))&amp;" | ",""))&amp;IF(O33="","",IFERROR(INDEX('Raw lists'!$B$2:$B$627,MATCH(O33,'Raw lists'!$B$2:$B$627,0))&amp;" | ",""))&amp;IF(P33="","",IFERROR(INDEX('Raw lists'!$B$2:$B$627,MATCH(P33,'Raw lists'!$B$2:$B$627,0))&amp;" | ","")),LEN(IF(K33="","",IFERROR(INDEX('Raw lists'!$B$2:$B$627,MATCH(K33,'Raw lists'!$B$2:$B$627,0))&amp;" | ",""))&amp;IF(L33="","",IFERROR(INDEX('Raw lists'!$B$2:$B$627,MATCH(L33,'Raw lists'!$B$2:$B$627,0))&amp;" | ",""))&amp;IF(M33="","",IFERROR(INDEX('Raw lists'!$B$2:$B$627,MATCH(M33,'Raw lists'!$B$2:$B$627,0))&amp;" | ",""))&amp;IF(N33="","",IFERROR(INDEX('Raw lists'!$B$2:$B$627,MATCH(N33,'Raw lists'!$B$2:$B$627,0))&amp;" | ",""))&amp;IF(O33="","",IFERROR(INDEX('Raw lists'!$B$2:$B$627,MATCH(O33,'Raw lists'!$B$2:$B$627,0))&amp;" | ",""))&amp;IF(P33="","",IFERROR(INDEX('Raw lists'!$B$2:$B$627,MATCH(P33,'Raw lists'!$B$2:$B$627,0))&amp;" | ","")))-3))</f>
        <v>Total Internal Reflection | Totally Internally Reflected</v>
      </c>
      <c r="E33" s="30" t="str">
        <f>IF(LEN(IF(K33="","",IFERROR(INDEX('Raw lists'!$C$2:$C$616,MATCH(K33,'Raw lists'!$C$2:$C$616,0))&amp;" | ",""))&amp;IF(L33="","",IFERROR(INDEX('Raw lists'!$C$2:$C$616,MATCH(L33,'Raw lists'!$C$2:$C$616,0))&amp;" | ",""))&amp;IF(M33="","",IFERROR(INDEX('Raw lists'!$C$2:$C$616,MATCH(M33,'Raw lists'!$C$2:$C$616,0))&amp;" | ",""))&amp;IF(N33="","",IFERROR(INDEX('Raw lists'!$C$2:$C$616,MATCH(N33,'Raw lists'!$C$2:$C$616,0))&amp;" | ",""))&amp;IF(O33="","",IFERROR(INDEX('Raw lists'!$C$2:$C$616,MATCH(O33,'Raw lists'!$C$2:$C$616,0))&amp;" | ",""))&amp;IF(P33="","",IFERROR(INDEX('Raw lists'!$C$2:$C$616,MATCH(P33,'Raw lists'!$C$2:$C$616,0))&amp;" | ","")))=0,"",LEFT(IF(K33="","",IFERROR(INDEX('Raw lists'!$C$2:$C$616,MATCH(K33,'Raw lists'!$C$2:$C$616,0))&amp;" | ",""))&amp;IF(L33="","",IFERROR(INDEX('Raw lists'!$C$2:$C$616,MATCH(L33,'Raw lists'!$C$2:$C$616,0))&amp;" | ",""))&amp;IF(M33="","",IFERROR(INDEX('Raw lists'!$C$2:$C$616,MATCH(M33,'Raw lists'!$C$2:$C$616,0))&amp;" | ",""))&amp;IF(N33="","",IFERROR(INDEX('Raw lists'!$C$2:$C$616,MATCH(N33,'Raw lists'!$C$2:$C$616,0))&amp;" | ",""))&amp;IF(O33="","",IFERROR(INDEX('Raw lists'!$C$2:$C$616,MATCH(O33,'Raw lists'!$C$2:$C$616,0))&amp;" | ",""))&amp;IF(P33="","",IFERROR(INDEX('Raw lists'!$C$2:$C$616,MATCH(P33,'Raw lists'!$C$2:$C$616,0))&amp;" | ","")),LEN(IF(K33="","",IFERROR(INDEX('Raw lists'!$C$2:$C$616,MATCH(K33,'Raw lists'!$C$2:$C$616,0))&amp;" | ",""))&amp;IF(L33="","",IFERROR(INDEX('Raw lists'!$C$2:$C$616,MATCH(L33,'Raw lists'!$C$2:$C$616,0))&amp;" | ",""))&amp;IF(M33="","",IFERROR(INDEX('Raw lists'!$C$2:$C$616,MATCH(M33,'Raw lists'!$C$2:$C$616,0))&amp;" | ",""))&amp;IF(N33="","",IFERROR(INDEX('Raw lists'!$C$2:$C$616,MATCH(N33,'Raw lists'!$C$2:$C$616,0))&amp;" | ",""))&amp;IF(O33="","",IFERROR(INDEX('Raw lists'!$C$2:$C$616,MATCH(O33,'Raw lists'!$C$2:$C$616,0))&amp;" | ",""))&amp;IF(P33="","",IFERROR(INDEX('Raw lists'!$C$2:$C$616,MATCH(P33,'Raw lists'!$C$2:$C$616,0))&amp;" | ","")))-3))</f>
        <v>Total Internal Reflection</v>
      </c>
      <c r="F33" s="28" t="s">
        <v>17</v>
      </c>
      <c r="G33" s="30" t="s">
        <v>143</v>
      </c>
      <c r="H33" s="28">
        <f t="shared" si="0"/>
        <v>2</v>
      </c>
      <c r="I33" s="31" t="str">
        <f t="shared" si="1"/>
        <v>RAKE + YAKE</v>
      </c>
      <c r="K33" s="32" t="s">
        <v>144</v>
      </c>
      <c r="L33" s="32" t="s">
        <v>145</v>
      </c>
      <c r="M33" s="32"/>
      <c r="N33" s="32"/>
      <c r="O33" s="32"/>
      <c r="P33" s="32"/>
    </row>
    <row r="34" spans="1:16" ht="26.4" x14ac:dyDescent="0.3">
      <c r="A34" s="28">
        <v>33</v>
      </c>
      <c r="B34" s="29" t="s">
        <v>146</v>
      </c>
      <c r="C34" s="30" t="str">
        <f>IF(LEN(IF(K34="","",IFERROR(INDEX('Raw lists'!$A$2:$A$192,MATCH(K34,'Raw lists'!$A$2:$A$192,0))&amp;" | ",""))&amp;IF(L34="","",IFERROR(INDEX('Raw lists'!$A$2:$A$192,MATCH(L34,'Raw lists'!$A$2:$A$192,0))&amp;" | ",""))&amp;IF(M34="","",IFERROR(INDEX('Raw lists'!$A$2:$A$192,MATCH(M34,'Raw lists'!$A$2:$A$192,0))&amp;" | ",""))&amp;IF(N34="","",IFERROR(INDEX('Raw lists'!$A$2:$A$192,MATCH(N34,'Raw lists'!$A$2:$A$192,0))&amp;" | ",""))&amp;IF(O34="","",IFERROR(INDEX('Raw lists'!$A$2:$A$192,MATCH(O34,'Raw lists'!$A$2:$A$192,0))&amp;" | ",""))&amp;IF(P34="","",IFERROR(INDEX('Raw lists'!$A$2:$A$192,MATCH(P34,'Raw lists'!$A$2:$A$192,0))&amp;" | ","")))=0,"",LEFT(IF(K34="","",IFERROR(INDEX('Raw lists'!$A$2:$A$192,MATCH(K34,'Raw lists'!$A$2:$A$192,0))&amp;" | ",""))&amp;IF(L34="","",IFERROR(INDEX('Raw lists'!$A$2:$A$192,MATCH(L34,'Raw lists'!$A$2:$A$192,0))&amp;" | ",""))&amp;IF(M34="","",IFERROR(INDEX('Raw lists'!$A$2:$A$192,MATCH(M34,'Raw lists'!$A$2:$A$192,0))&amp;" | ",""))&amp;IF(N34="","",IFERROR(INDEX('Raw lists'!$A$2:$A$192,MATCH(N34,'Raw lists'!$A$2:$A$192,0))&amp;" | ",""))&amp;IF(O34="","",IFERROR(INDEX('Raw lists'!$A$2:$A$192,MATCH(O34,'Raw lists'!$A$2:$A$192,0))&amp;" | ",""))&amp;IF(P34="","",IFERROR(INDEX('Raw lists'!$A$2:$A$192,MATCH(P34,'Raw lists'!$A$2:$A$192,0))&amp;" | ","")),LEN(IF(K34="","",IFERROR(INDEX('Raw lists'!$A$2:$A$192,MATCH(K34,'Raw lists'!$A$2:$A$192,0))&amp;" | ",""))&amp;IF(L34="","",IFERROR(INDEX('Raw lists'!$A$2:$A$192,MATCH(L34,'Raw lists'!$A$2:$A$192,0))&amp;" | ",""))&amp;IF(M34="","",IFERROR(INDEX('Raw lists'!$A$2:$A$192,MATCH(M34,'Raw lists'!$A$2:$A$192,0))&amp;" | ",""))&amp;IF(N34="","",IFERROR(INDEX('Raw lists'!$A$2:$A$192,MATCH(N34,'Raw lists'!$A$2:$A$192,0))&amp;" | ",""))&amp;IF(O34="","",IFERROR(INDEX('Raw lists'!$A$2:$A$192,MATCH(O34,'Raw lists'!$A$2:$A$192,0))&amp;" | ",""))&amp;IF(P34="","",IFERROR(INDEX('Raw lists'!$A$2:$A$192,MATCH(P34,'Raw lists'!$A$2:$A$192,0))&amp;" | ","")))-3))</f>
        <v/>
      </c>
      <c r="D34" s="30" t="str">
        <f>IF(LEN(IF(K34="","",IFERROR(INDEX('Raw lists'!$B$2:$B$627,MATCH(K34,'Raw lists'!$B$2:$B$627,0))&amp;" | ",""))&amp;IF(L34="","",IFERROR(INDEX('Raw lists'!$B$2:$B$627,MATCH(L34,'Raw lists'!$B$2:$B$627,0))&amp;" | ",""))&amp;IF(M34="","",IFERROR(INDEX('Raw lists'!$B$2:$B$627,MATCH(M34,'Raw lists'!$B$2:$B$627,0))&amp;" | ",""))&amp;IF(N34="","",IFERROR(INDEX('Raw lists'!$B$2:$B$627,MATCH(N34,'Raw lists'!$B$2:$B$627,0))&amp;" | ",""))&amp;IF(O34="","",IFERROR(INDEX('Raw lists'!$B$2:$B$627,MATCH(O34,'Raw lists'!$B$2:$B$627,0))&amp;" | ",""))&amp;IF(P34="","",IFERROR(INDEX('Raw lists'!$B$2:$B$627,MATCH(P34,'Raw lists'!$B$2:$B$627,0))&amp;" | ","")))=0,"",LEFT(IF(K34="","",IFERROR(INDEX('Raw lists'!$B$2:$B$627,MATCH(K34,'Raw lists'!$B$2:$B$627,0))&amp;" | ",""))&amp;IF(L34="","",IFERROR(INDEX('Raw lists'!$B$2:$B$627,MATCH(L34,'Raw lists'!$B$2:$B$627,0))&amp;" | ",""))&amp;IF(M34="","",IFERROR(INDEX('Raw lists'!$B$2:$B$627,MATCH(M34,'Raw lists'!$B$2:$B$627,0))&amp;" | ",""))&amp;IF(N34="","",IFERROR(INDEX('Raw lists'!$B$2:$B$627,MATCH(N34,'Raw lists'!$B$2:$B$627,0))&amp;" | ",""))&amp;IF(O34="","",IFERROR(INDEX('Raw lists'!$B$2:$B$627,MATCH(O34,'Raw lists'!$B$2:$B$627,0))&amp;" | ",""))&amp;IF(P34="","",IFERROR(INDEX('Raw lists'!$B$2:$B$627,MATCH(P34,'Raw lists'!$B$2:$B$627,0))&amp;" | ","")),LEN(IF(K34="","",IFERROR(INDEX('Raw lists'!$B$2:$B$627,MATCH(K34,'Raw lists'!$B$2:$B$627,0))&amp;" | ",""))&amp;IF(L34="","",IFERROR(INDEX('Raw lists'!$B$2:$B$627,MATCH(L34,'Raw lists'!$B$2:$B$627,0))&amp;" | ",""))&amp;IF(M34="","",IFERROR(INDEX('Raw lists'!$B$2:$B$627,MATCH(M34,'Raw lists'!$B$2:$B$627,0))&amp;" | ",""))&amp;IF(N34="","",IFERROR(INDEX('Raw lists'!$B$2:$B$627,MATCH(N34,'Raw lists'!$B$2:$B$627,0))&amp;" | ",""))&amp;IF(O34="","",IFERROR(INDEX('Raw lists'!$B$2:$B$627,MATCH(O34,'Raw lists'!$B$2:$B$627,0))&amp;" | ",""))&amp;IF(P34="","",IFERROR(INDEX('Raw lists'!$B$2:$B$627,MATCH(P34,'Raw lists'!$B$2:$B$627,0))&amp;" | ","")))-3))</f>
        <v>Rarer Medium | Denser Medium</v>
      </c>
      <c r="E34" s="30" t="str">
        <f>IF(LEN(IF(K34="","",IFERROR(INDEX('Raw lists'!$C$2:$C$616,MATCH(K34,'Raw lists'!$C$2:$C$616,0))&amp;" | ",""))&amp;IF(L34="","",IFERROR(INDEX('Raw lists'!$C$2:$C$616,MATCH(L34,'Raw lists'!$C$2:$C$616,0))&amp;" | ",""))&amp;IF(M34="","",IFERROR(INDEX('Raw lists'!$C$2:$C$616,MATCH(M34,'Raw lists'!$C$2:$C$616,0))&amp;" | ",""))&amp;IF(N34="","",IFERROR(INDEX('Raw lists'!$C$2:$C$616,MATCH(N34,'Raw lists'!$C$2:$C$616,0))&amp;" | ",""))&amp;IF(O34="","",IFERROR(INDEX('Raw lists'!$C$2:$C$616,MATCH(O34,'Raw lists'!$C$2:$C$616,0))&amp;" | ",""))&amp;IF(P34="","",IFERROR(INDEX('Raw lists'!$C$2:$C$616,MATCH(P34,'Raw lists'!$C$2:$C$616,0))&amp;" | ","")))=0,"",LEFT(IF(K34="","",IFERROR(INDEX('Raw lists'!$C$2:$C$616,MATCH(K34,'Raw lists'!$C$2:$C$616,0))&amp;" | ",""))&amp;IF(L34="","",IFERROR(INDEX('Raw lists'!$C$2:$C$616,MATCH(L34,'Raw lists'!$C$2:$C$616,0))&amp;" | ",""))&amp;IF(M34="","",IFERROR(INDEX('Raw lists'!$C$2:$C$616,MATCH(M34,'Raw lists'!$C$2:$C$616,0))&amp;" | ",""))&amp;IF(N34="","",IFERROR(INDEX('Raw lists'!$C$2:$C$616,MATCH(N34,'Raw lists'!$C$2:$C$616,0))&amp;" | ",""))&amp;IF(O34="","",IFERROR(INDEX('Raw lists'!$C$2:$C$616,MATCH(O34,'Raw lists'!$C$2:$C$616,0))&amp;" | ",""))&amp;IF(P34="","",IFERROR(INDEX('Raw lists'!$C$2:$C$616,MATCH(P34,'Raw lists'!$C$2:$C$616,0))&amp;" | ","")),LEN(IF(K34="","",IFERROR(INDEX('Raw lists'!$C$2:$C$616,MATCH(K34,'Raw lists'!$C$2:$C$616,0))&amp;" | ",""))&amp;IF(L34="","",IFERROR(INDEX('Raw lists'!$C$2:$C$616,MATCH(L34,'Raw lists'!$C$2:$C$616,0))&amp;" | ",""))&amp;IF(M34="","",IFERROR(INDEX('Raw lists'!$C$2:$C$616,MATCH(M34,'Raw lists'!$C$2:$C$616,0))&amp;" | ",""))&amp;IF(N34="","",IFERROR(INDEX('Raw lists'!$C$2:$C$616,MATCH(N34,'Raw lists'!$C$2:$C$616,0))&amp;" | ",""))&amp;IF(O34="","",IFERROR(INDEX('Raw lists'!$C$2:$C$616,MATCH(O34,'Raw lists'!$C$2:$C$616,0))&amp;" | ",""))&amp;IF(P34="","",IFERROR(INDEX('Raw lists'!$C$2:$C$616,MATCH(P34,'Raw lists'!$C$2:$C$616,0))&amp;" | ","")))-3))</f>
        <v>Rarer Medium</v>
      </c>
      <c r="F34" s="28" t="s">
        <v>17</v>
      </c>
      <c r="G34" s="30" t="s">
        <v>147</v>
      </c>
      <c r="H34" s="28">
        <f t="shared" si="0"/>
        <v>2</v>
      </c>
      <c r="I34" s="31" t="str">
        <f t="shared" si="1"/>
        <v>RAKE + YAKE</v>
      </c>
      <c r="K34" s="32" t="s">
        <v>148</v>
      </c>
      <c r="L34" s="32" t="s">
        <v>149</v>
      </c>
      <c r="M34" s="32"/>
      <c r="N34" s="32"/>
      <c r="O34" s="32"/>
      <c r="P34" s="32"/>
    </row>
    <row r="35" spans="1:16" ht="26.4" x14ac:dyDescent="0.3">
      <c r="A35" s="28">
        <v>34</v>
      </c>
      <c r="B35" s="29" t="s">
        <v>150</v>
      </c>
      <c r="C35" s="30" t="str">
        <f>IF(LEN(IF(K35="","",IFERROR(INDEX('Raw lists'!$A$2:$A$192,MATCH(K35,'Raw lists'!$A$2:$A$192,0))&amp;" | ",""))&amp;IF(L35="","",IFERROR(INDEX('Raw lists'!$A$2:$A$192,MATCH(L35,'Raw lists'!$A$2:$A$192,0))&amp;" | ",""))&amp;IF(M35="","",IFERROR(INDEX('Raw lists'!$A$2:$A$192,MATCH(M35,'Raw lists'!$A$2:$A$192,0))&amp;" | ",""))&amp;IF(N35="","",IFERROR(INDEX('Raw lists'!$A$2:$A$192,MATCH(N35,'Raw lists'!$A$2:$A$192,0))&amp;" | ",""))&amp;IF(O35="","",IFERROR(INDEX('Raw lists'!$A$2:$A$192,MATCH(O35,'Raw lists'!$A$2:$A$192,0))&amp;" | ",""))&amp;IF(P35="","",IFERROR(INDEX('Raw lists'!$A$2:$A$192,MATCH(P35,'Raw lists'!$A$2:$A$192,0))&amp;" | ","")))=0,"",LEFT(IF(K35="","",IFERROR(INDEX('Raw lists'!$A$2:$A$192,MATCH(K35,'Raw lists'!$A$2:$A$192,0))&amp;" | ",""))&amp;IF(L35="","",IFERROR(INDEX('Raw lists'!$A$2:$A$192,MATCH(L35,'Raw lists'!$A$2:$A$192,0))&amp;" | ",""))&amp;IF(M35="","",IFERROR(INDEX('Raw lists'!$A$2:$A$192,MATCH(M35,'Raw lists'!$A$2:$A$192,0))&amp;" | ",""))&amp;IF(N35="","",IFERROR(INDEX('Raw lists'!$A$2:$A$192,MATCH(N35,'Raw lists'!$A$2:$A$192,0))&amp;" | ",""))&amp;IF(O35="","",IFERROR(INDEX('Raw lists'!$A$2:$A$192,MATCH(O35,'Raw lists'!$A$2:$A$192,0))&amp;" | ",""))&amp;IF(P35="","",IFERROR(INDEX('Raw lists'!$A$2:$A$192,MATCH(P35,'Raw lists'!$A$2:$A$192,0))&amp;" | ","")),LEN(IF(K35="","",IFERROR(INDEX('Raw lists'!$A$2:$A$192,MATCH(K35,'Raw lists'!$A$2:$A$192,0))&amp;" | ",""))&amp;IF(L35="","",IFERROR(INDEX('Raw lists'!$A$2:$A$192,MATCH(L35,'Raw lists'!$A$2:$A$192,0))&amp;" | ",""))&amp;IF(M35="","",IFERROR(INDEX('Raw lists'!$A$2:$A$192,MATCH(M35,'Raw lists'!$A$2:$A$192,0))&amp;" | ",""))&amp;IF(N35="","",IFERROR(INDEX('Raw lists'!$A$2:$A$192,MATCH(N35,'Raw lists'!$A$2:$A$192,0))&amp;" | ",""))&amp;IF(O35="","",IFERROR(INDEX('Raw lists'!$A$2:$A$192,MATCH(O35,'Raw lists'!$A$2:$A$192,0))&amp;" | ",""))&amp;IF(P35="","",IFERROR(INDEX('Raw lists'!$A$2:$A$192,MATCH(P35,'Raw lists'!$A$2:$A$192,0))&amp;" | ","")))-3))</f>
        <v/>
      </c>
      <c r="D35" s="30" t="str">
        <f>IF(LEN(IF(K35="","",IFERROR(INDEX('Raw lists'!$B$2:$B$627,MATCH(K35,'Raw lists'!$B$2:$B$627,0))&amp;" | ",""))&amp;IF(L35="","",IFERROR(INDEX('Raw lists'!$B$2:$B$627,MATCH(L35,'Raw lists'!$B$2:$B$627,0))&amp;" | ",""))&amp;IF(M35="","",IFERROR(INDEX('Raw lists'!$B$2:$B$627,MATCH(M35,'Raw lists'!$B$2:$B$627,0))&amp;" | ",""))&amp;IF(N35="","",IFERROR(INDEX('Raw lists'!$B$2:$B$627,MATCH(N35,'Raw lists'!$B$2:$B$627,0))&amp;" | ",""))&amp;IF(O35="","",IFERROR(INDEX('Raw lists'!$B$2:$B$627,MATCH(O35,'Raw lists'!$B$2:$B$627,0))&amp;" | ",""))&amp;IF(P35="","",IFERROR(INDEX('Raw lists'!$B$2:$B$627,MATCH(P35,'Raw lists'!$B$2:$B$627,0))&amp;" | ","")))=0,"",LEFT(IF(K35="","",IFERROR(INDEX('Raw lists'!$B$2:$B$627,MATCH(K35,'Raw lists'!$B$2:$B$627,0))&amp;" | ",""))&amp;IF(L35="","",IFERROR(INDEX('Raw lists'!$B$2:$B$627,MATCH(L35,'Raw lists'!$B$2:$B$627,0))&amp;" | ",""))&amp;IF(M35="","",IFERROR(INDEX('Raw lists'!$B$2:$B$627,MATCH(M35,'Raw lists'!$B$2:$B$627,0))&amp;" | ",""))&amp;IF(N35="","",IFERROR(INDEX('Raw lists'!$B$2:$B$627,MATCH(N35,'Raw lists'!$B$2:$B$627,0))&amp;" | ",""))&amp;IF(O35="","",IFERROR(INDEX('Raw lists'!$B$2:$B$627,MATCH(O35,'Raw lists'!$B$2:$B$627,0))&amp;" | ",""))&amp;IF(P35="","",IFERROR(INDEX('Raw lists'!$B$2:$B$627,MATCH(P35,'Raw lists'!$B$2:$B$627,0))&amp;" | ","")),LEN(IF(K35="","",IFERROR(INDEX('Raw lists'!$B$2:$B$627,MATCH(K35,'Raw lists'!$B$2:$B$627,0))&amp;" | ",""))&amp;IF(L35="","",IFERROR(INDEX('Raw lists'!$B$2:$B$627,MATCH(L35,'Raw lists'!$B$2:$B$627,0))&amp;" | ",""))&amp;IF(M35="","",IFERROR(INDEX('Raw lists'!$B$2:$B$627,MATCH(M35,'Raw lists'!$B$2:$B$627,0))&amp;" | ",""))&amp;IF(N35="","",IFERROR(INDEX('Raw lists'!$B$2:$B$627,MATCH(N35,'Raw lists'!$B$2:$B$627,0))&amp;" | ",""))&amp;IF(O35="","",IFERROR(INDEX('Raw lists'!$B$2:$B$627,MATCH(O35,'Raw lists'!$B$2:$B$627,0))&amp;" | ",""))&amp;IF(P35="","",IFERROR(INDEX('Raw lists'!$B$2:$B$627,MATCH(P35,'Raw lists'!$B$2:$B$627,0))&amp;" | ","")))-3))</f>
        <v>Sodium Light</v>
      </c>
      <c r="E35" s="30" t="str">
        <f>IF(LEN(IF(K35="","",IFERROR(INDEX('Raw lists'!$C$2:$C$616,MATCH(K35,'Raw lists'!$C$2:$C$616,0))&amp;" | ",""))&amp;IF(L35="","",IFERROR(INDEX('Raw lists'!$C$2:$C$616,MATCH(L35,'Raw lists'!$C$2:$C$616,0))&amp;" | ",""))&amp;IF(M35="","",IFERROR(INDEX('Raw lists'!$C$2:$C$616,MATCH(M35,'Raw lists'!$C$2:$C$616,0))&amp;" | ",""))&amp;IF(N35="","",IFERROR(INDEX('Raw lists'!$C$2:$C$616,MATCH(N35,'Raw lists'!$C$2:$C$616,0))&amp;" | ",""))&amp;IF(O35="","",IFERROR(INDEX('Raw lists'!$C$2:$C$616,MATCH(O35,'Raw lists'!$C$2:$C$616,0))&amp;" | ",""))&amp;IF(P35="","",IFERROR(INDEX('Raw lists'!$C$2:$C$616,MATCH(P35,'Raw lists'!$C$2:$C$616,0))&amp;" | ","")))=0,"",LEFT(IF(K35="","",IFERROR(INDEX('Raw lists'!$C$2:$C$616,MATCH(K35,'Raw lists'!$C$2:$C$616,0))&amp;" | ",""))&amp;IF(L35="","",IFERROR(INDEX('Raw lists'!$C$2:$C$616,MATCH(L35,'Raw lists'!$C$2:$C$616,0))&amp;" | ",""))&amp;IF(M35="","",IFERROR(INDEX('Raw lists'!$C$2:$C$616,MATCH(M35,'Raw lists'!$C$2:$C$616,0))&amp;" | ",""))&amp;IF(N35="","",IFERROR(INDEX('Raw lists'!$C$2:$C$616,MATCH(N35,'Raw lists'!$C$2:$C$616,0))&amp;" | ",""))&amp;IF(O35="","",IFERROR(INDEX('Raw lists'!$C$2:$C$616,MATCH(O35,'Raw lists'!$C$2:$C$616,0))&amp;" | ",""))&amp;IF(P35="","",IFERROR(INDEX('Raw lists'!$C$2:$C$616,MATCH(P35,'Raw lists'!$C$2:$C$616,0))&amp;" | ","")),LEN(IF(K35="","",IFERROR(INDEX('Raw lists'!$C$2:$C$616,MATCH(K35,'Raw lists'!$C$2:$C$616,0))&amp;" | ",""))&amp;IF(L35="","",IFERROR(INDEX('Raw lists'!$C$2:$C$616,MATCH(L35,'Raw lists'!$C$2:$C$616,0))&amp;" | ",""))&amp;IF(M35="","",IFERROR(INDEX('Raw lists'!$C$2:$C$616,MATCH(M35,'Raw lists'!$C$2:$C$616,0))&amp;" | ",""))&amp;IF(N35="","",IFERROR(INDEX('Raw lists'!$C$2:$C$616,MATCH(N35,'Raw lists'!$C$2:$C$616,0))&amp;" | ",""))&amp;IF(O35="","",IFERROR(INDEX('Raw lists'!$C$2:$C$616,MATCH(O35,'Raw lists'!$C$2:$C$616,0))&amp;" | ",""))&amp;IF(P35="","",IFERROR(INDEX('Raw lists'!$C$2:$C$616,MATCH(P35,'Raw lists'!$C$2:$C$616,0))&amp;" | ","")))-3))</f>
        <v/>
      </c>
      <c r="F35" s="28" t="s">
        <v>54</v>
      </c>
      <c r="G35" s="30" t="s">
        <v>151</v>
      </c>
      <c r="H35" s="28">
        <f t="shared" si="0"/>
        <v>1</v>
      </c>
      <c r="I35" s="31" t="str">
        <f t="shared" si="1"/>
        <v>Only RAKE</v>
      </c>
      <c r="K35" s="32" t="s">
        <v>152</v>
      </c>
      <c r="L35" s="32"/>
      <c r="M35" s="32"/>
      <c r="N35" s="32"/>
      <c r="O35" s="32"/>
      <c r="P35" s="32"/>
    </row>
    <row r="36" spans="1:16" x14ac:dyDescent="0.3">
      <c r="A36" s="28">
        <v>35</v>
      </c>
      <c r="B36" s="29" t="s">
        <v>153</v>
      </c>
      <c r="C36" s="30" t="str">
        <f>IF(LEN(IF(K36="","",IFERROR(INDEX('Raw lists'!$A$2:$A$192,MATCH(K36,'Raw lists'!$A$2:$A$192,0))&amp;" | ",""))&amp;IF(L36="","",IFERROR(INDEX('Raw lists'!$A$2:$A$192,MATCH(L36,'Raw lists'!$A$2:$A$192,0))&amp;" | ",""))&amp;IF(M36="","",IFERROR(INDEX('Raw lists'!$A$2:$A$192,MATCH(M36,'Raw lists'!$A$2:$A$192,0))&amp;" | ",""))&amp;IF(N36="","",IFERROR(INDEX('Raw lists'!$A$2:$A$192,MATCH(N36,'Raw lists'!$A$2:$A$192,0))&amp;" | ",""))&amp;IF(O36="","",IFERROR(INDEX('Raw lists'!$A$2:$A$192,MATCH(O36,'Raw lists'!$A$2:$A$192,0))&amp;" | ",""))&amp;IF(P36="","",IFERROR(INDEX('Raw lists'!$A$2:$A$192,MATCH(P36,'Raw lists'!$A$2:$A$192,0))&amp;" | ","")))=0,"",LEFT(IF(K36="","",IFERROR(INDEX('Raw lists'!$A$2:$A$192,MATCH(K36,'Raw lists'!$A$2:$A$192,0))&amp;" | ",""))&amp;IF(L36="","",IFERROR(INDEX('Raw lists'!$A$2:$A$192,MATCH(L36,'Raw lists'!$A$2:$A$192,0))&amp;" | ",""))&amp;IF(M36="","",IFERROR(INDEX('Raw lists'!$A$2:$A$192,MATCH(M36,'Raw lists'!$A$2:$A$192,0))&amp;" | ",""))&amp;IF(N36="","",IFERROR(INDEX('Raw lists'!$A$2:$A$192,MATCH(N36,'Raw lists'!$A$2:$A$192,0))&amp;" | ",""))&amp;IF(O36="","",IFERROR(INDEX('Raw lists'!$A$2:$A$192,MATCH(O36,'Raw lists'!$A$2:$A$192,0))&amp;" | ",""))&amp;IF(P36="","",IFERROR(INDEX('Raw lists'!$A$2:$A$192,MATCH(P36,'Raw lists'!$A$2:$A$192,0))&amp;" | ","")),LEN(IF(K36="","",IFERROR(INDEX('Raw lists'!$A$2:$A$192,MATCH(K36,'Raw lists'!$A$2:$A$192,0))&amp;" | ",""))&amp;IF(L36="","",IFERROR(INDEX('Raw lists'!$A$2:$A$192,MATCH(L36,'Raw lists'!$A$2:$A$192,0))&amp;" | ",""))&amp;IF(M36="","",IFERROR(INDEX('Raw lists'!$A$2:$A$192,MATCH(M36,'Raw lists'!$A$2:$A$192,0))&amp;" | ",""))&amp;IF(N36="","",IFERROR(INDEX('Raw lists'!$A$2:$A$192,MATCH(N36,'Raw lists'!$A$2:$A$192,0))&amp;" | ",""))&amp;IF(O36="","",IFERROR(INDEX('Raw lists'!$A$2:$A$192,MATCH(O36,'Raw lists'!$A$2:$A$192,0))&amp;" | ",""))&amp;IF(P36="","",IFERROR(INDEX('Raw lists'!$A$2:$A$192,MATCH(P36,'Raw lists'!$A$2:$A$192,0))&amp;" | ","")))-3))</f>
        <v/>
      </c>
      <c r="D36" s="30" t="str">
        <f>IF(LEN(IF(K36="","",IFERROR(INDEX('Raw lists'!$B$2:$B$627,MATCH(K36,'Raw lists'!$B$2:$B$627,0))&amp;" | ",""))&amp;IF(L36="","",IFERROR(INDEX('Raw lists'!$B$2:$B$627,MATCH(L36,'Raw lists'!$B$2:$B$627,0))&amp;" | ",""))&amp;IF(M36="","",IFERROR(INDEX('Raw lists'!$B$2:$B$627,MATCH(M36,'Raw lists'!$B$2:$B$627,0))&amp;" | ",""))&amp;IF(N36="","",IFERROR(INDEX('Raw lists'!$B$2:$B$627,MATCH(N36,'Raw lists'!$B$2:$B$627,0))&amp;" | ",""))&amp;IF(O36="","",IFERROR(INDEX('Raw lists'!$B$2:$B$627,MATCH(O36,'Raw lists'!$B$2:$B$627,0))&amp;" | ",""))&amp;IF(P36="","",IFERROR(INDEX('Raw lists'!$B$2:$B$627,MATCH(P36,'Raw lists'!$B$2:$B$627,0))&amp;" | ","")))=0,"",LEFT(IF(K36="","",IFERROR(INDEX('Raw lists'!$B$2:$B$627,MATCH(K36,'Raw lists'!$B$2:$B$627,0))&amp;" | ",""))&amp;IF(L36="","",IFERROR(INDEX('Raw lists'!$B$2:$B$627,MATCH(L36,'Raw lists'!$B$2:$B$627,0))&amp;" | ",""))&amp;IF(M36="","",IFERROR(INDEX('Raw lists'!$B$2:$B$627,MATCH(M36,'Raw lists'!$B$2:$B$627,0))&amp;" | ",""))&amp;IF(N36="","",IFERROR(INDEX('Raw lists'!$B$2:$B$627,MATCH(N36,'Raw lists'!$B$2:$B$627,0))&amp;" | ",""))&amp;IF(O36="","",IFERROR(INDEX('Raw lists'!$B$2:$B$627,MATCH(O36,'Raw lists'!$B$2:$B$627,0))&amp;" | ",""))&amp;IF(P36="","",IFERROR(INDEX('Raw lists'!$B$2:$B$627,MATCH(P36,'Raw lists'!$B$2:$B$627,0))&amp;" | ","")),LEN(IF(K36="","",IFERROR(INDEX('Raw lists'!$B$2:$B$627,MATCH(K36,'Raw lists'!$B$2:$B$627,0))&amp;" | ",""))&amp;IF(L36="","",IFERROR(INDEX('Raw lists'!$B$2:$B$627,MATCH(L36,'Raw lists'!$B$2:$B$627,0))&amp;" | ",""))&amp;IF(M36="","",IFERROR(INDEX('Raw lists'!$B$2:$B$627,MATCH(M36,'Raw lists'!$B$2:$B$627,0))&amp;" | ",""))&amp;IF(N36="","",IFERROR(INDEX('Raw lists'!$B$2:$B$627,MATCH(N36,'Raw lists'!$B$2:$B$627,0))&amp;" | ",""))&amp;IF(O36="","",IFERROR(INDEX('Raw lists'!$B$2:$B$627,MATCH(O36,'Raw lists'!$B$2:$B$627,0))&amp;" | ",""))&amp;IF(P36="","",IFERROR(INDEX('Raw lists'!$B$2:$B$627,MATCH(P36,'Raw lists'!$B$2:$B$627,0))&amp;" | ","")))-3))</f>
        <v/>
      </c>
      <c r="E36" s="30" t="str">
        <f>IF(LEN(IF(K36="","",IFERROR(INDEX('Raw lists'!$C$2:$C$616,MATCH(K36,'Raw lists'!$C$2:$C$616,0))&amp;" | ",""))&amp;IF(L36="","",IFERROR(INDEX('Raw lists'!$C$2:$C$616,MATCH(L36,'Raw lists'!$C$2:$C$616,0))&amp;" | ",""))&amp;IF(M36="","",IFERROR(INDEX('Raw lists'!$C$2:$C$616,MATCH(M36,'Raw lists'!$C$2:$C$616,0))&amp;" | ",""))&amp;IF(N36="","",IFERROR(INDEX('Raw lists'!$C$2:$C$616,MATCH(N36,'Raw lists'!$C$2:$C$616,0))&amp;" | ",""))&amp;IF(O36="","",IFERROR(INDEX('Raw lists'!$C$2:$C$616,MATCH(O36,'Raw lists'!$C$2:$C$616,0))&amp;" | ",""))&amp;IF(P36="","",IFERROR(INDEX('Raw lists'!$C$2:$C$616,MATCH(P36,'Raw lists'!$C$2:$C$616,0))&amp;" | ","")))=0,"",LEFT(IF(K36="","",IFERROR(INDEX('Raw lists'!$C$2:$C$616,MATCH(K36,'Raw lists'!$C$2:$C$616,0))&amp;" | ",""))&amp;IF(L36="","",IFERROR(INDEX('Raw lists'!$C$2:$C$616,MATCH(L36,'Raw lists'!$C$2:$C$616,0))&amp;" | ",""))&amp;IF(M36="","",IFERROR(INDEX('Raw lists'!$C$2:$C$616,MATCH(M36,'Raw lists'!$C$2:$C$616,0))&amp;" | ",""))&amp;IF(N36="","",IFERROR(INDEX('Raw lists'!$C$2:$C$616,MATCH(N36,'Raw lists'!$C$2:$C$616,0))&amp;" | ",""))&amp;IF(O36="","",IFERROR(INDEX('Raw lists'!$C$2:$C$616,MATCH(O36,'Raw lists'!$C$2:$C$616,0))&amp;" | ",""))&amp;IF(P36="","",IFERROR(INDEX('Raw lists'!$C$2:$C$616,MATCH(P36,'Raw lists'!$C$2:$C$616,0))&amp;" | ","")),LEN(IF(K36="","",IFERROR(INDEX('Raw lists'!$C$2:$C$616,MATCH(K36,'Raw lists'!$C$2:$C$616,0))&amp;" | ",""))&amp;IF(L36="","",IFERROR(INDEX('Raw lists'!$C$2:$C$616,MATCH(L36,'Raw lists'!$C$2:$C$616,0))&amp;" | ",""))&amp;IF(M36="","",IFERROR(INDEX('Raw lists'!$C$2:$C$616,MATCH(M36,'Raw lists'!$C$2:$C$616,0))&amp;" | ",""))&amp;IF(N36="","",IFERROR(INDEX('Raw lists'!$C$2:$C$616,MATCH(N36,'Raw lists'!$C$2:$C$616,0))&amp;" | ",""))&amp;IF(O36="","",IFERROR(INDEX('Raw lists'!$C$2:$C$616,MATCH(O36,'Raw lists'!$C$2:$C$616,0))&amp;" | ",""))&amp;IF(P36="","",IFERROR(INDEX('Raw lists'!$C$2:$C$616,MATCH(P36,'Raw lists'!$C$2:$C$616,0))&amp;" | ","")))-3))</f>
        <v>Angle Of Incidence</v>
      </c>
      <c r="F36" s="28" t="s">
        <v>17</v>
      </c>
      <c r="G36" s="30" t="s">
        <v>154</v>
      </c>
      <c r="H36" s="28">
        <f t="shared" si="0"/>
        <v>1</v>
      </c>
      <c r="I36" s="31" t="str">
        <f t="shared" si="1"/>
        <v>Only YAKE</v>
      </c>
      <c r="K36" s="32" t="s">
        <v>155</v>
      </c>
      <c r="L36" s="32"/>
      <c r="M36" s="32"/>
      <c r="N36" s="32"/>
      <c r="O36" s="32"/>
      <c r="P36" s="32"/>
    </row>
    <row r="37" spans="1:16" ht="26.4" x14ac:dyDescent="0.3">
      <c r="A37" s="28">
        <v>36</v>
      </c>
      <c r="B37" s="29" t="s">
        <v>156</v>
      </c>
      <c r="C37" s="30" t="str">
        <f>IF(LEN(IF(K37="","",IFERROR(INDEX('Raw lists'!$A$2:$A$192,MATCH(K37,'Raw lists'!$A$2:$A$192,0))&amp;" | ",""))&amp;IF(L37="","",IFERROR(INDEX('Raw lists'!$A$2:$A$192,MATCH(L37,'Raw lists'!$A$2:$A$192,0))&amp;" | ",""))&amp;IF(M37="","",IFERROR(INDEX('Raw lists'!$A$2:$A$192,MATCH(M37,'Raw lists'!$A$2:$A$192,0))&amp;" | ",""))&amp;IF(N37="","",IFERROR(INDEX('Raw lists'!$A$2:$A$192,MATCH(N37,'Raw lists'!$A$2:$A$192,0))&amp;" | ",""))&amp;IF(O37="","",IFERROR(INDEX('Raw lists'!$A$2:$A$192,MATCH(O37,'Raw lists'!$A$2:$A$192,0))&amp;" | ",""))&amp;IF(P37="","",IFERROR(INDEX('Raw lists'!$A$2:$A$192,MATCH(P37,'Raw lists'!$A$2:$A$192,0))&amp;" | ","")))=0,"",LEFT(IF(K37="","",IFERROR(INDEX('Raw lists'!$A$2:$A$192,MATCH(K37,'Raw lists'!$A$2:$A$192,0))&amp;" | ",""))&amp;IF(L37="","",IFERROR(INDEX('Raw lists'!$A$2:$A$192,MATCH(L37,'Raw lists'!$A$2:$A$192,0))&amp;" | ",""))&amp;IF(M37="","",IFERROR(INDEX('Raw lists'!$A$2:$A$192,MATCH(M37,'Raw lists'!$A$2:$A$192,0))&amp;" | ",""))&amp;IF(N37="","",IFERROR(INDEX('Raw lists'!$A$2:$A$192,MATCH(N37,'Raw lists'!$A$2:$A$192,0))&amp;" | ",""))&amp;IF(O37="","",IFERROR(INDEX('Raw lists'!$A$2:$A$192,MATCH(O37,'Raw lists'!$A$2:$A$192,0))&amp;" | ",""))&amp;IF(P37="","",IFERROR(INDEX('Raw lists'!$A$2:$A$192,MATCH(P37,'Raw lists'!$A$2:$A$192,0))&amp;" | ","")),LEN(IF(K37="","",IFERROR(INDEX('Raw lists'!$A$2:$A$192,MATCH(K37,'Raw lists'!$A$2:$A$192,0))&amp;" | ",""))&amp;IF(L37="","",IFERROR(INDEX('Raw lists'!$A$2:$A$192,MATCH(L37,'Raw lists'!$A$2:$A$192,0))&amp;" | ",""))&amp;IF(M37="","",IFERROR(INDEX('Raw lists'!$A$2:$A$192,MATCH(M37,'Raw lists'!$A$2:$A$192,0))&amp;" | ",""))&amp;IF(N37="","",IFERROR(INDEX('Raw lists'!$A$2:$A$192,MATCH(N37,'Raw lists'!$A$2:$A$192,0))&amp;" | ",""))&amp;IF(O37="","",IFERROR(INDEX('Raw lists'!$A$2:$A$192,MATCH(O37,'Raw lists'!$A$2:$A$192,0))&amp;" | ",""))&amp;IF(P37="","",IFERROR(INDEX('Raw lists'!$A$2:$A$192,MATCH(P37,'Raw lists'!$A$2:$A$192,0))&amp;" | ","")))-3))</f>
        <v>Laser | Principle Of Laser | Laser Principle</v>
      </c>
      <c r="D37" s="30" t="str">
        <f>IF(LEN(IF(K37="","",IFERROR(INDEX('Raw lists'!$B$2:$B$627,MATCH(K37,'Raw lists'!$B$2:$B$627,0))&amp;" | ",""))&amp;IF(L37="","",IFERROR(INDEX('Raw lists'!$B$2:$B$627,MATCH(L37,'Raw lists'!$B$2:$B$627,0))&amp;" | ",""))&amp;IF(M37="","",IFERROR(INDEX('Raw lists'!$B$2:$B$627,MATCH(M37,'Raw lists'!$B$2:$B$627,0))&amp;" | ",""))&amp;IF(N37="","",IFERROR(INDEX('Raw lists'!$B$2:$B$627,MATCH(N37,'Raw lists'!$B$2:$B$627,0))&amp;" | ",""))&amp;IF(O37="","",IFERROR(INDEX('Raw lists'!$B$2:$B$627,MATCH(O37,'Raw lists'!$B$2:$B$627,0))&amp;" | ",""))&amp;IF(P37="","",IFERROR(INDEX('Raw lists'!$B$2:$B$627,MATCH(P37,'Raw lists'!$B$2:$B$627,0))&amp;" | ","")))=0,"",LEFT(IF(K37="","",IFERROR(INDEX('Raw lists'!$B$2:$B$627,MATCH(K37,'Raw lists'!$B$2:$B$627,0))&amp;" | ",""))&amp;IF(L37="","",IFERROR(INDEX('Raw lists'!$B$2:$B$627,MATCH(L37,'Raw lists'!$B$2:$B$627,0))&amp;" | ",""))&amp;IF(M37="","",IFERROR(INDEX('Raw lists'!$B$2:$B$627,MATCH(M37,'Raw lists'!$B$2:$B$627,0))&amp;" | ",""))&amp;IF(N37="","",IFERROR(INDEX('Raw lists'!$B$2:$B$627,MATCH(N37,'Raw lists'!$B$2:$B$627,0))&amp;" | ",""))&amp;IF(O37="","",IFERROR(INDEX('Raw lists'!$B$2:$B$627,MATCH(O37,'Raw lists'!$B$2:$B$627,0))&amp;" | ",""))&amp;IF(P37="","",IFERROR(INDEX('Raw lists'!$B$2:$B$627,MATCH(P37,'Raw lists'!$B$2:$B$627,0))&amp;" | ","")),LEN(IF(K37="","",IFERROR(INDEX('Raw lists'!$B$2:$B$627,MATCH(K37,'Raw lists'!$B$2:$B$627,0))&amp;" | ",""))&amp;IF(L37="","",IFERROR(INDEX('Raw lists'!$B$2:$B$627,MATCH(L37,'Raw lists'!$B$2:$B$627,0))&amp;" | ",""))&amp;IF(M37="","",IFERROR(INDEX('Raw lists'!$B$2:$B$627,MATCH(M37,'Raw lists'!$B$2:$B$627,0))&amp;" | ",""))&amp;IF(N37="","",IFERROR(INDEX('Raw lists'!$B$2:$B$627,MATCH(N37,'Raw lists'!$B$2:$B$627,0))&amp;" | ",""))&amp;IF(O37="","",IFERROR(INDEX('Raw lists'!$B$2:$B$627,MATCH(O37,'Raw lists'!$B$2:$B$627,0))&amp;" | ",""))&amp;IF(P37="","",IFERROR(INDEX('Raw lists'!$B$2:$B$627,MATCH(P37,'Raw lists'!$B$2:$B$627,0))&amp;" | ","")))-3))</f>
        <v>Laser | Lasers</v>
      </c>
      <c r="E37" s="30" t="str">
        <f>IF(LEN(IF(K37="","",IFERROR(INDEX('Raw lists'!$C$2:$C$616,MATCH(K37,'Raw lists'!$C$2:$C$616,0))&amp;" | ",""))&amp;IF(L37="","",IFERROR(INDEX('Raw lists'!$C$2:$C$616,MATCH(L37,'Raw lists'!$C$2:$C$616,0))&amp;" | ",""))&amp;IF(M37="","",IFERROR(INDEX('Raw lists'!$C$2:$C$616,MATCH(M37,'Raw lists'!$C$2:$C$616,0))&amp;" | ",""))&amp;IF(N37="","",IFERROR(INDEX('Raw lists'!$C$2:$C$616,MATCH(N37,'Raw lists'!$C$2:$C$616,0))&amp;" | ",""))&amp;IF(O37="","",IFERROR(INDEX('Raw lists'!$C$2:$C$616,MATCH(O37,'Raw lists'!$C$2:$C$616,0))&amp;" | ",""))&amp;IF(P37="","",IFERROR(INDEX('Raw lists'!$C$2:$C$616,MATCH(P37,'Raw lists'!$C$2:$C$616,0))&amp;" | ","")))=0,"",LEFT(IF(K37="","",IFERROR(INDEX('Raw lists'!$C$2:$C$616,MATCH(K37,'Raw lists'!$C$2:$C$616,0))&amp;" | ",""))&amp;IF(L37="","",IFERROR(INDEX('Raw lists'!$C$2:$C$616,MATCH(L37,'Raw lists'!$C$2:$C$616,0))&amp;" | ",""))&amp;IF(M37="","",IFERROR(INDEX('Raw lists'!$C$2:$C$616,MATCH(M37,'Raw lists'!$C$2:$C$616,0))&amp;" | ",""))&amp;IF(N37="","",IFERROR(INDEX('Raw lists'!$C$2:$C$616,MATCH(N37,'Raw lists'!$C$2:$C$616,0))&amp;" | ",""))&amp;IF(O37="","",IFERROR(INDEX('Raw lists'!$C$2:$C$616,MATCH(O37,'Raw lists'!$C$2:$C$616,0))&amp;" | ",""))&amp;IF(P37="","",IFERROR(INDEX('Raw lists'!$C$2:$C$616,MATCH(P37,'Raw lists'!$C$2:$C$616,0))&amp;" | ","")),LEN(IF(K37="","",IFERROR(INDEX('Raw lists'!$C$2:$C$616,MATCH(K37,'Raw lists'!$C$2:$C$616,0))&amp;" | ",""))&amp;IF(L37="","",IFERROR(INDEX('Raw lists'!$C$2:$C$616,MATCH(L37,'Raw lists'!$C$2:$C$616,0))&amp;" | ",""))&amp;IF(M37="","",IFERROR(INDEX('Raw lists'!$C$2:$C$616,MATCH(M37,'Raw lists'!$C$2:$C$616,0))&amp;" | ",""))&amp;IF(N37="","",IFERROR(INDEX('Raw lists'!$C$2:$C$616,MATCH(N37,'Raw lists'!$C$2:$C$616,0))&amp;" | ",""))&amp;IF(O37="","",IFERROR(INDEX('Raw lists'!$C$2:$C$616,MATCH(O37,'Raw lists'!$C$2:$C$616,0))&amp;" | ",""))&amp;IF(P37="","",IFERROR(INDEX('Raw lists'!$C$2:$C$616,MATCH(P37,'Raw lists'!$C$2:$C$616,0))&amp;" | ","")))-3))</f>
        <v>Laser | Lasers | Principle Of Laser | Laser Principle</v>
      </c>
      <c r="F37" s="28" t="s">
        <v>17</v>
      </c>
      <c r="G37" s="30" t="s">
        <v>157</v>
      </c>
      <c r="H37" s="28">
        <f t="shared" si="0"/>
        <v>3</v>
      </c>
      <c r="I37" s="31" t="str">
        <f t="shared" si="1"/>
        <v>All three</v>
      </c>
      <c r="K37" s="32" t="s">
        <v>158</v>
      </c>
      <c r="L37" s="32" t="s">
        <v>159</v>
      </c>
      <c r="M37" s="32" t="s">
        <v>160</v>
      </c>
      <c r="N37" s="32" t="s">
        <v>161</v>
      </c>
      <c r="O37" s="32"/>
      <c r="P37" s="32"/>
    </row>
    <row r="38" spans="1:16" ht="26.4" x14ac:dyDescent="0.3">
      <c r="A38" s="28">
        <v>37</v>
      </c>
      <c r="B38" s="29" t="s">
        <v>162</v>
      </c>
      <c r="C38" s="30" t="str">
        <f>IF(LEN(IF(K38="","",IFERROR(INDEX('Raw lists'!$A$2:$A$192,MATCH(K38,'Raw lists'!$A$2:$A$192,0))&amp;" | ",""))&amp;IF(L38="","",IFERROR(INDEX('Raw lists'!$A$2:$A$192,MATCH(L38,'Raw lists'!$A$2:$A$192,0))&amp;" | ",""))&amp;IF(M38="","",IFERROR(INDEX('Raw lists'!$A$2:$A$192,MATCH(M38,'Raw lists'!$A$2:$A$192,0))&amp;" | ",""))&amp;IF(N38="","",IFERROR(INDEX('Raw lists'!$A$2:$A$192,MATCH(N38,'Raw lists'!$A$2:$A$192,0))&amp;" | ",""))&amp;IF(O38="","",IFERROR(INDEX('Raw lists'!$A$2:$A$192,MATCH(O38,'Raw lists'!$A$2:$A$192,0))&amp;" | ",""))&amp;IF(P38="","",IFERROR(INDEX('Raw lists'!$A$2:$A$192,MATCH(P38,'Raw lists'!$A$2:$A$192,0))&amp;" | ","")))=0,"",LEFT(IF(K38="","",IFERROR(INDEX('Raw lists'!$A$2:$A$192,MATCH(K38,'Raw lists'!$A$2:$A$192,0))&amp;" | ",""))&amp;IF(L38="","",IFERROR(INDEX('Raw lists'!$A$2:$A$192,MATCH(L38,'Raw lists'!$A$2:$A$192,0))&amp;" | ",""))&amp;IF(M38="","",IFERROR(INDEX('Raw lists'!$A$2:$A$192,MATCH(M38,'Raw lists'!$A$2:$A$192,0))&amp;" | ",""))&amp;IF(N38="","",IFERROR(INDEX('Raw lists'!$A$2:$A$192,MATCH(N38,'Raw lists'!$A$2:$A$192,0))&amp;" | ",""))&amp;IF(O38="","",IFERROR(INDEX('Raw lists'!$A$2:$A$192,MATCH(O38,'Raw lists'!$A$2:$A$192,0))&amp;" | ",""))&amp;IF(P38="","",IFERROR(INDEX('Raw lists'!$A$2:$A$192,MATCH(P38,'Raw lists'!$A$2:$A$192,0))&amp;" | ","")),LEN(IF(K38="","",IFERROR(INDEX('Raw lists'!$A$2:$A$192,MATCH(K38,'Raw lists'!$A$2:$A$192,0))&amp;" | ",""))&amp;IF(L38="","",IFERROR(INDEX('Raw lists'!$A$2:$A$192,MATCH(L38,'Raw lists'!$A$2:$A$192,0))&amp;" | ",""))&amp;IF(M38="","",IFERROR(INDEX('Raw lists'!$A$2:$A$192,MATCH(M38,'Raw lists'!$A$2:$A$192,0))&amp;" | ",""))&amp;IF(N38="","",IFERROR(INDEX('Raw lists'!$A$2:$A$192,MATCH(N38,'Raw lists'!$A$2:$A$192,0))&amp;" | ",""))&amp;IF(O38="","",IFERROR(INDEX('Raw lists'!$A$2:$A$192,MATCH(O38,'Raw lists'!$A$2:$A$192,0))&amp;" | ",""))&amp;IF(P38="","",IFERROR(INDEX('Raw lists'!$A$2:$A$192,MATCH(P38,'Raw lists'!$A$2:$A$192,0))&amp;" | ","")))-3))</f>
        <v/>
      </c>
      <c r="D38" s="30" t="str">
        <f>IF(LEN(IF(K38="","",IFERROR(INDEX('Raw lists'!$B$2:$B$627,MATCH(K38,'Raw lists'!$B$2:$B$627,0))&amp;" | ",""))&amp;IF(L38="","",IFERROR(INDEX('Raw lists'!$B$2:$B$627,MATCH(L38,'Raw lists'!$B$2:$B$627,0))&amp;" | ",""))&amp;IF(M38="","",IFERROR(INDEX('Raw lists'!$B$2:$B$627,MATCH(M38,'Raw lists'!$B$2:$B$627,0))&amp;" | ",""))&amp;IF(N38="","",IFERROR(INDEX('Raw lists'!$B$2:$B$627,MATCH(N38,'Raw lists'!$B$2:$B$627,0))&amp;" | ",""))&amp;IF(O38="","",IFERROR(INDEX('Raw lists'!$B$2:$B$627,MATCH(O38,'Raw lists'!$B$2:$B$627,0))&amp;" | ",""))&amp;IF(P38="","",IFERROR(INDEX('Raw lists'!$B$2:$B$627,MATCH(P38,'Raw lists'!$B$2:$B$627,0))&amp;" | ","")))=0,"",LEFT(IF(K38="","",IFERROR(INDEX('Raw lists'!$B$2:$B$627,MATCH(K38,'Raw lists'!$B$2:$B$627,0))&amp;" | ",""))&amp;IF(L38="","",IFERROR(INDEX('Raw lists'!$B$2:$B$627,MATCH(L38,'Raw lists'!$B$2:$B$627,0))&amp;" | ",""))&amp;IF(M38="","",IFERROR(INDEX('Raw lists'!$B$2:$B$627,MATCH(M38,'Raw lists'!$B$2:$B$627,0))&amp;" | ",""))&amp;IF(N38="","",IFERROR(INDEX('Raw lists'!$B$2:$B$627,MATCH(N38,'Raw lists'!$B$2:$B$627,0))&amp;" | ",""))&amp;IF(O38="","",IFERROR(INDEX('Raw lists'!$B$2:$B$627,MATCH(O38,'Raw lists'!$B$2:$B$627,0))&amp;" | ",""))&amp;IF(P38="","",IFERROR(INDEX('Raw lists'!$B$2:$B$627,MATCH(P38,'Raw lists'!$B$2:$B$627,0))&amp;" | ","")),LEN(IF(K38="","",IFERROR(INDEX('Raw lists'!$B$2:$B$627,MATCH(K38,'Raw lists'!$B$2:$B$627,0))&amp;" | ",""))&amp;IF(L38="","",IFERROR(INDEX('Raw lists'!$B$2:$B$627,MATCH(L38,'Raw lists'!$B$2:$B$627,0))&amp;" | ",""))&amp;IF(M38="","",IFERROR(INDEX('Raw lists'!$B$2:$B$627,MATCH(M38,'Raw lists'!$B$2:$B$627,0))&amp;" | ",""))&amp;IF(N38="","",IFERROR(INDEX('Raw lists'!$B$2:$B$627,MATCH(N38,'Raw lists'!$B$2:$B$627,0))&amp;" | ",""))&amp;IF(O38="","",IFERROR(INDEX('Raw lists'!$B$2:$B$627,MATCH(O38,'Raw lists'!$B$2:$B$627,0))&amp;" | ",""))&amp;IF(P38="","",IFERROR(INDEX('Raw lists'!$B$2:$B$627,MATCH(P38,'Raw lists'!$B$2:$B$627,0))&amp;" | ","")))-3))</f>
        <v>Coherence</v>
      </c>
      <c r="E38" s="30" t="str">
        <f>IF(LEN(IF(K38="","",IFERROR(INDEX('Raw lists'!$C$2:$C$616,MATCH(K38,'Raw lists'!$C$2:$C$616,0))&amp;" | ",""))&amp;IF(L38="","",IFERROR(INDEX('Raw lists'!$C$2:$C$616,MATCH(L38,'Raw lists'!$C$2:$C$616,0))&amp;" | ",""))&amp;IF(M38="","",IFERROR(INDEX('Raw lists'!$C$2:$C$616,MATCH(M38,'Raw lists'!$C$2:$C$616,0))&amp;" | ",""))&amp;IF(N38="","",IFERROR(INDEX('Raw lists'!$C$2:$C$616,MATCH(N38,'Raw lists'!$C$2:$C$616,0))&amp;" | ",""))&amp;IF(O38="","",IFERROR(INDEX('Raw lists'!$C$2:$C$616,MATCH(O38,'Raw lists'!$C$2:$C$616,0))&amp;" | ",""))&amp;IF(P38="","",IFERROR(INDEX('Raw lists'!$C$2:$C$616,MATCH(P38,'Raw lists'!$C$2:$C$616,0))&amp;" | ","")))=0,"",LEFT(IF(K38="","",IFERROR(INDEX('Raw lists'!$C$2:$C$616,MATCH(K38,'Raw lists'!$C$2:$C$616,0))&amp;" | ",""))&amp;IF(L38="","",IFERROR(INDEX('Raw lists'!$C$2:$C$616,MATCH(L38,'Raw lists'!$C$2:$C$616,0))&amp;" | ",""))&amp;IF(M38="","",IFERROR(INDEX('Raw lists'!$C$2:$C$616,MATCH(M38,'Raw lists'!$C$2:$C$616,0))&amp;" | ",""))&amp;IF(N38="","",IFERROR(INDEX('Raw lists'!$C$2:$C$616,MATCH(N38,'Raw lists'!$C$2:$C$616,0))&amp;" | ",""))&amp;IF(O38="","",IFERROR(INDEX('Raw lists'!$C$2:$C$616,MATCH(O38,'Raw lists'!$C$2:$C$616,0))&amp;" | ",""))&amp;IF(P38="","",IFERROR(INDEX('Raw lists'!$C$2:$C$616,MATCH(P38,'Raw lists'!$C$2:$C$616,0))&amp;" | ","")),LEN(IF(K38="","",IFERROR(INDEX('Raw lists'!$C$2:$C$616,MATCH(K38,'Raw lists'!$C$2:$C$616,0))&amp;" | ",""))&amp;IF(L38="","",IFERROR(INDEX('Raw lists'!$C$2:$C$616,MATCH(L38,'Raw lists'!$C$2:$C$616,0))&amp;" | ",""))&amp;IF(M38="","",IFERROR(INDEX('Raw lists'!$C$2:$C$616,MATCH(M38,'Raw lists'!$C$2:$C$616,0))&amp;" | ",""))&amp;IF(N38="","",IFERROR(INDEX('Raw lists'!$C$2:$C$616,MATCH(N38,'Raw lists'!$C$2:$C$616,0))&amp;" | ",""))&amp;IF(O38="","",IFERROR(INDEX('Raw lists'!$C$2:$C$616,MATCH(O38,'Raw lists'!$C$2:$C$616,0))&amp;" | ",""))&amp;IF(P38="","",IFERROR(INDEX('Raw lists'!$C$2:$C$616,MATCH(P38,'Raw lists'!$C$2:$C$616,0))&amp;" | ","")))-3))</f>
        <v>Coherent Light</v>
      </c>
      <c r="F38" s="28" t="s">
        <v>17</v>
      </c>
      <c r="G38" s="30" t="s">
        <v>163</v>
      </c>
      <c r="H38" s="28">
        <f t="shared" si="0"/>
        <v>2</v>
      </c>
      <c r="I38" s="31" t="str">
        <f t="shared" si="1"/>
        <v>RAKE + YAKE</v>
      </c>
      <c r="K38" s="32" t="s">
        <v>162</v>
      </c>
      <c r="L38" s="32" t="s">
        <v>164</v>
      </c>
      <c r="M38" s="32"/>
      <c r="N38" s="32"/>
      <c r="O38" s="32"/>
      <c r="P38" s="32"/>
    </row>
    <row r="39" spans="1:16" ht="39.6" x14ac:dyDescent="0.3">
      <c r="A39" s="28">
        <v>38</v>
      </c>
      <c r="B39" s="29" t="s">
        <v>165</v>
      </c>
      <c r="C39" s="30" t="str">
        <f>IF(LEN(IF(K39="","",IFERROR(INDEX('Raw lists'!$A$2:$A$192,MATCH(K39,'Raw lists'!$A$2:$A$192,0))&amp;" | ",""))&amp;IF(L39="","",IFERROR(INDEX('Raw lists'!$A$2:$A$192,MATCH(L39,'Raw lists'!$A$2:$A$192,0))&amp;" | ",""))&amp;IF(M39="","",IFERROR(INDEX('Raw lists'!$A$2:$A$192,MATCH(M39,'Raw lists'!$A$2:$A$192,0))&amp;" | ",""))&amp;IF(N39="","",IFERROR(INDEX('Raw lists'!$A$2:$A$192,MATCH(N39,'Raw lists'!$A$2:$A$192,0))&amp;" | ",""))&amp;IF(O39="","",IFERROR(INDEX('Raw lists'!$A$2:$A$192,MATCH(O39,'Raw lists'!$A$2:$A$192,0))&amp;" | ",""))&amp;IF(P39="","",IFERROR(INDEX('Raw lists'!$A$2:$A$192,MATCH(P39,'Raw lists'!$A$2:$A$192,0))&amp;" | ","")))=0,"",LEFT(IF(K39="","",IFERROR(INDEX('Raw lists'!$A$2:$A$192,MATCH(K39,'Raw lists'!$A$2:$A$192,0))&amp;" | ",""))&amp;IF(L39="","",IFERROR(INDEX('Raw lists'!$A$2:$A$192,MATCH(L39,'Raw lists'!$A$2:$A$192,0))&amp;" | ",""))&amp;IF(M39="","",IFERROR(INDEX('Raw lists'!$A$2:$A$192,MATCH(M39,'Raw lists'!$A$2:$A$192,0))&amp;" | ",""))&amp;IF(N39="","",IFERROR(INDEX('Raw lists'!$A$2:$A$192,MATCH(N39,'Raw lists'!$A$2:$A$192,0))&amp;" | ",""))&amp;IF(O39="","",IFERROR(INDEX('Raw lists'!$A$2:$A$192,MATCH(O39,'Raw lists'!$A$2:$A$192,0))&amp;" | ",""))&amp;IF(P39="","",IFERROR(INDEX('Raw lists'!$A$2:$A$192,MATCH(P39,'Raw lists'!$A$2:$A$192,0))&amp;" | ","")),LEN(IF(K39="","",IFERROR(INDEX('Raw lists'!$A$2:$A$192,MATCH(K39,'Raw lists'!$A$2:$A$192,0))&amp;" | ",""))&amp;IF(L39="","",IFERROR(INDEX('Raw lists'!$A$2:$A$192,MATCH(L39,'Raw lists'!$A$2:$A$192,0))&amp;" | ",""))&amp;IF(M39="","",IFERROR(INDEX('Raw lists'!$A$2:$A$192,MATCH(M39,'Raw lists'!$A$2:$A$192,0))&amp;" | ",""))&amp;IF(N39="","",IFERROR(INDEX('Raw lists'!$A$2:$A$192,MATCH(N39,'Raw lists'!$A$2:$A$192,0))&amp;" | ",""))&amp;IF(O39="","",IFERROR(INDEX('Raw lists'!$A$2:$A$192,MATCH(O39,'Raw lists'!$A$2:$A$192,0))&amp;" | ",""))&amp;IF(P39="","",IFERROR(INDEX('Raw lists'!$A$2:$A$192,MATCH(P39,'Raw lists'!$A$2:$A$192,0))&amp;" | ","")))-3))</f>
        <v>Monochromaticity | Fully Monochromatic</v>
      </c>
      <c r="D39" s="30" t="str">
        <f>IF(LEN(IF(K39="","",IFERROR(INDEX('Raw lists'!$B$2:$B$627,MATCH(K39,'Raw lists'!$B$2:$B$627,0))&amp;" | ",""))&amp;IF(L39="","",IFERROR(INDEX('Raw lists'!$B$2:$B$627,MATCH(L39,'Raw lists'!$B$2:$B$627,0))&amp;" | ",""))&amp;IF(M39="","",IFERROR(INDEX('Raw lists'!$B$2:$B$627,MATCH(M39,'Raw lists'!$B$2:$B$627,0))&amp;" | ",""))&amp;IF(N39="","",IFERROR(INDEX('Raw lists'!$B$2:$B$627,MATCH(N39,'Raw lists'!$B$2:$B$627,0))&amp;" | ",""))&amp;IF(O39="","",IFERROR(INDEX('Raw lists'!$B$2:$B$627,MATCH(O39,'Raw lists'!$B$2:$B$627,0))&amp;" | ",""))&amp;IF(P39="","",IFERROR(INDEX('Raw lists'!$B$2:$B$627,MATCH(P39,'Raw lists'!$B$2:$B$627,0))&amp;" | ","")))=0,"",LEFT(IF(K39="","",IFERROR(INDEX('Raw lists'!$B$2:$B$627,MATCH(K39,'Raw lists'!$B$2:$B$627,0))&amp;" | ",""))&amp;IF(L39="","",IFERROR(INDEX('Raw lists'!$B$2:$B$627,MATCH(L39,'Raw lists'!$B$2:$B$627,0))&amp;" | ",""))&amp;IF(M39="","",IFERROR(INDEX('Raw lists'!$B$2:$B$627,MATCH(M39,'Raw lists'!$B$2:$B$627,0))&amp;" | ",""))&amp;IF(N39="","",IFERROR(INDEX('Raw lists'!$B$2:$B$627,MATCH(N39,'Raw lists'!$B$2:$B$627,0))&amp;" | ",""))&amp;IF(O39="","",IFERROR(INDEX('Raw lists'!$B$2:$B$627,MATCH(O39,'Raw lists'!$B$2:$B$627,0))&amp;" | ",""))&amp;IF(P39="","",IFERROR(INDEX('Raw lists'!$B$2:$B$627,MATCH(P39,'Raw lists'!$B$2:$B$627,0))&amp;" | ","")),LEN(IF(K39="","",IFERROR(INDEX('Raw lists'!$B$2:$B$627,MATCH(K39,'Raw lists'!$B$2:$B$627,0))&amp;" | ",""))&amp;IF(L39="","",IFERROR(INDEX('Raw lists'!$B$2:$B$627,MATCH(L39,'Raw lists'!$B$2:$B$627,0))&amp;" | ",""))&amp;IF(M39="","",IFERROR(INDEX('Raw lists'!$B$2:$B$627,MATCH(M39,'Raw lists'!$B$2:$B$627,0))&amp;" | ",""))&amp;IF(N39="","",IFERROR(INDEX('Raw lists'!$B$2:$B$627,MATCH(N39,'Raw lists'!$B$2:$B$627,0))&amp;" | ",""))&amp;IF(O39="","",IFERROR(INDEX('Raw lists'!$B$2:$B$627,MATCH(O39,'Raw lists'!$B$2:$B$627,0))&amp;" | ",""))&amp;IF(P39="","",IFERROR(INDEX('Raw lists'!$B$2:$B$627,MATCH(P39,'Raw lists'!$B$2:$B$627,0))&amp;" | ","")))-3))</f>
        <v>Monochromatic | Fully Monochromatic</v>
      </c>
      <c r="E39" s="30" t="str">
        <f>IF(LEN(IF(K39="","",IFERROR(INDEX('Raw lists'!$C$2:$C$616,MATCH(K39,'Raw lists'!$C$2:$C$616,0))&amp;" | ",""))&amp;IF(L39="","",IFERROR(INDEX('Raw lists'!$C$2:$C$616,MATCH(L39,'Raw lists'!$C$2:$C$616,0))&amp;" | ",""))&amp;IF(M39="","",IFERROR(INDEX('Raw lists'!$C$2:$C$616,MATCH(M39,'Raw lists'!$C$2:$C$616,0))&amp;" | ",""))&amp;IF(N39="","",IFERROR(INDEX('Raw lists'!$C$2:$C$616,MATCH(N39,'Raw lists'!$C$2:$C$616,0))&amp;" | ",""))&amp;IF(O39="","",IFERROR(INDEX('Raw lists'!$C$2:$C$616,MATCH(O39,'Raw lists'!$C$2:$C$616,0))&amp;" | ",""))&amp;IF(P39="","",IFERROR(INDEX('Raw lists'!$C$2:$C$616,MATCH(P39,'Raw lists'!$C$2:$C$616,0))&amp;" | ","")))=0,"",LEFT(IF(K39="","",IFERROR(INDEX('Raw lists'!$C$2:$C$616,MATCH(K39,'Raw lists'!$C$2:$C$616,0))&amp;" | ",""))&amp;IF(L39="","",IFERROR(INDEX('Raw lists'!$C$2:$C$616,MATCH(L39,'Raw lists'!$C$2:$C$616,0))&amp;" | ",""))&amp;IF(M39="","",IFERROR(INDEX('Raw lists'!$C$2:$C$616,MATCH(M39,'Raw lists'!$C$2:$C$616,0))&amp;" | ",""))&amp;IF(N39="","",IFERROR(INDEX('Raw lists'!$C$2:$C$616,MATCH(N39,'Raw lists'!$C$2:$C$616,0))&amp;" | ",""))&amp;IF(O39="","",IFERROR(INDEX('Raw lists'!$C$2:$C$616,MATCH(O39,'Raw lists'!$C$2:$C$616,0))&amp;" | ",""))&amp;IF(P39="","",IFERROR(INDEX('Raw lists'!$C$2:$C$616,MATCH(P39,'Raw lists'!$C$2:$C$616,0))&amp;" | ","")),LEN(IF(K39="","",IFERROR(INDEX('Raw lists'!$C$2:$C$616,MATCH(K39,'Raw lists'!$C$2:$C$616,0))&amp;" | ",""))&amp;IF(L39="","",IFERROR(INDEX('Raw lists'!$C$2:$C$616,MATCH(L39,'Raw lists'!$C$2:$C$616,0))&amp;" | ",""))&amp;IF(M39="","",IFERROR(INDEX('Raw lists'!$C$2:$C$616,MATCH(M39,'Raw lists'!$C$2:$C$616,0))&amp;" | ",""))&amp;IF(N39="","",IFERROR(INDEX('Raw lists'!$C$2:$C$616,MATCH(N39,'Raw lists'!$C$2:$C$616,0))&amp;" | ",""))&amp;IF(O39="","",IFERROR(INDEX('Raw lists'!$C$2:$C$616,MATCH(O39,'Raw lists'!$C$2:$C$616,0))&amp;" | ",""))&amp;IF(P39="","",IFERROR(INDEX('Raw lists'!$C$2:$C$616,MATCH(P39,'Raw lists'!$C$2:$C$616,0))&amp;" | ","")))-3))</f>
        <v>Monochromaticity | Monochromatic | Fully Monochromatic</v>
      </c>
      <c r="F39" s="28" t="s">
        <v>17</v>
      </c>
      <c r="G39" s="30" t="s">
        <v>166</v>
      </c>
      <c r="H39" s="28">
        <f t="shared" si="0"/>
        <v>3</v>
      </c>
      <c r="I39" s="31" t="str">
        <f t="shared" si="1"/>
        <v>All three</v>
      </c>
      <c r="K39" s="32" t="s">
        <v>165</v>
      </c>
      <c r="L39" s="32" t="s">
        <v>167</v>
      </c>
      <c r="M39" s="32" t="s">
        <v>168</v>
      </c>
      <c r="N39" s="32"/>
      <c r="O39" s="32"/>
      <c r="P39" s="32"/>
    </row>
    <row r="40" spans="1:16" ht="26.4" x14ac:dyDescent="0.3">
      <c r="A40" s="28">
        <v>39</v>
      </c>
      <c r="B40" s="29" t="s">
        <v>169</v>
      </c>
      <c r="C40" s="30" t="str">
        <f>IF(LEN(IF(K40="","",IFERROR(INDEX('Raw lists'!$A$2:$A$192,MATCH(K40,'Raw lists'!$A$2:$A$192,0))&amp;" | ",""))&amp;IF(L40="","",IFERROR(INDEX('Raw lists'!$A$2:$A$192,MATCH(L40,'Raw lists'!$A$2:$A$192,0))&amp;" | ",""))&amp;IF(M40="","",IFERROR(INDEX('Raw lists'!$A$2:$A$192,MATCH(M40,'Raw lists'!$A$2:$A$192,0))&amp;" | ",""))&amp;IF(N40="","",IFERROR(INDEX('Raw lists'!$A$2:$A$192,MATCH(N40,'Raw lists'!$A$2:$A$192,0))&amp;" | ",""))&amp;IF(O40="","",IFERROR(INDEX('Raw lists'!$A$2:$A$192,MATCH(O40,'Raw lists'!$A$2:$A$192,0))&amp;" | ",""))&amp;IF(P40="","",IFERROR(INDEX('Raw lists'!$A$2:$A$192,MATCH(P40,'Raw lists'!$A$2:$A$192,0))&amp;" | ","")))=0,"",LEFT(IF(K40="","",IFERROR(INDEX('Raw lists'!$A$2:$A$192,MATCH(K40,'Raw lists'!$A$2:$A$192,0))&amp;" | ",""))&amp;IF(L40="","",IFERROR(INDEX('Raw lists'!$A$2:$A$192,MATCH(L40,'Raw lists'!$A$2:$A$192,0))&amp;" | ",""))&amp;IF(M40="","",IFERROR(INDEX('Raw lists'!$A$2:$A$192,MATCH(M40,'Raw lists'!$A$2:$A$192,0))&amp;" | ",""))&amp;IF(N40="","",IFERROR(INDEX('Raw lists'!$A$2:$A$192,MATCH(N40,'Raw lists'!$A$2:$A$192,0))&amp;" | ",""))&amp;IF(O40="","",IFERROR(INDEX('Raw lists'!$A$2:$A$192,MATCH(O40,'Raw lists'!$A$2:$A$192,0))&amp;" | ",""))&amp;IF(P40="","",IFERROR(INDEX('Raw lists'!$A$2:$A$192,MATCH(P40,'Raw lists'!$A$2:$A$192,0))&amp;" | ","")),LEN(IF(K40="","",IFERROR(INDEX('Raw lists'!$A$2:$A$192,MATCH(K40,'Raw lists'!$A$2:$A$192,0))&amp;" | ",""))&amp;IF(L40="","",IFERROR(INDEX('Raw lists'!$A$2:$A$192,MATCH(L40,'Raw lists'!$A$2:$A$192,0))&amp;" | ",""))&amp;IF(M40="","",IFERROR(INDEX('Raw lists'!$A$2:$A$192,MATCH(M40,'Raw lists'!$A$2:$A$192,0))&amp;" | ",""))&amp;IF(N40="","",IFERROR(INDEX('Raw lists'!$A$2:$A$192,MATCH(N40,'Raw lists'!$A$2:$A$192,0))&amp;" | ",""))&amp;IF(O40="","",IFERROR(INDEX('Raw lists'!$A$2:$A$192,MATCH(O40,'Raw lists'!$A$2:$A$192,0))&amp;" | ",""))&amp;IF(P40="","",IFERROR(INDEX('Raw lists'!$A$2:$A$192,MATCH(P40,'Raw lists'!$A$2:$A$192,0))&amp;" | ","")))-3))</f>
        <v/>
      </c>
      <c r="D40" s="30" t="str">
        <f>IF(LEN(IF(K40="","",IFERROR(INDEX('Raw lists'!$B$2:$B$627,MATCH(K40,'Raw lists'!$B$2:$B$627,0))&amp;" | ",""))&amp;IF(L40="","",IFERROR(INDEX('Raw lists'!$B$2:$B$627,MATCH(L40,'Raw lists'!$B$2:$B$627,0))&amp;" | ",""))&amp;IF(M40="","",IFERROR(INDEX('Raw lists'!$B$2:$B$627,MATCH(M40,'Raw lists'!$B$2:$B$627,0))&amp;" | ",""))&amp;IF(N40="","",IFERROR(INDEX('Raw lists'!$B$2:$B$627,MATCH(N40,'Raw lists'!$B$2:$B$627,0))&amp;" | ",""))&amp;IF(O40="","",IFERROR(INDEX('Raw lists'!$B$2:$B$627,MATCH(O40,'Raw lists'!$B$2:$B$627,0))&amp;" | ",""))&amp;IF(P40="","",IFERROR(INDEX('Raw lists'!$B$2:$B$627,MATCH(P40,'Raw lists'!$B$2:$B$627,0))&amp;" | ","")))=0,"",LEFT(IF(K40="","",IFERROR(INDEX('Raw lists'!$B$2:$B$627,MATCH(K40,'Raw lists'!$B$2:$B$627,0))&amp;" | ",""))&amp;IF(L40="","",IFERROR(INDEX('Raw lists'!$B$2:$B$627,MATCH(L40,'Raw lists'!$B$2:$B$627,0))&amp;" | ",""))&amp;IF(M40="","",IFERROR(INDEX('Raw lists'!$B$2:$B$627,MATCH(M40,'Raw lists'!$B$2:$B$627,0))&amp;" | ",""))&amp;IF(N40="","",IFERROR(INDEX('Raw lists'!$B$2:$B$627,MATCH(N40,'Raw lists'!$B$2:$B$627,0))&amp;" | ",""))&amp;IF(O40="","",IFERROR(INDEX('Raw lists'!$B$2:$B$627,MATCH(O40,'Raw lists'!$B$2:$B$627,0))&amp;" | ",""))&amp;IF(P40="","",IFERROR(INDEX('Raw lists'!$B$2:$B$627,MATCH(P40,'Raw lists'!$B$2:$B$627,0))&amp;" | ","")),LEN(IF(K40="","",IFERROR(INDEX('Raw lists'!$B$2:$B$627,MATCH(K40,'Raw lists'!$B$2:$B$627,0))&amp;" | ",""))&amp;IF(L40="","",IFERROR(INDEX('Raw lists'!$B$2:$B$627,MATCH(L40,'Raw lists'!$B$2:$B$627,0))&amp;" | ",""))&amp;IF(M40="","",IFERROR(INDEX('Raw lists'!$B$2:$B$627,MATCH(M40,'Raw lists'!$B$2:$B$627,0))&amp;" | ",""))&amp;IF(N40="","",IFERROR(INDEX('Raw lists'!$B$2:$B$627,MATCH(N40,'Raw lists'!$B$2:$B$627,0))&amp;" | ",""))&amp;IF(O40="","",IFERROR(INDEX('Raw lists'!$B$2:$B$627,MATCH(O40,'Raw lists'!$B$2:$B$627,0))&amp;" | ",""))&amp;IF(P40="","",IFERROR(INDEX('Raw lists'!$B$2:$B$627,MATCH(P40,'Raw lists'!$B$2:$B$627,0))&amp;" | ","")))-3))</f>
        <v>Line Width</v>
      </c>
      <c r="E40" s="30" t="str">
        <f>IF(LEN(IF(K40="","",IFERROR(INDEX('Raw lists'!$C$2:$C$616,MATCH(K40,'Raw lists'!$C$2:$C$616,0))&amp;" | ",""))&amp;IF(L40="","",IFERROR(INDEX('Raw lists'!$C$2:$C$616,MATCH(L40,'Raw lists'!$C$2:$C$616,0))&amp;" | ",""))&amp;IF(M40="","",IFERROR(INDEX('Raw lists'!$C$2:$C$616,MATCH(M40,'Raw lists'!$C$2:$C$616,0))&amp;" | ",""))&amp;IF(N40="","",IFERROR(INDEX('Raw lists'!$C$2:$C$616,MATCH(N40,'Raw lists'!$C$2:$C$616,0))&amp;" | ",""))&amp;IF(O40="","",IFERROR(INDEX('Raw lists'!$C$2:$C$616,MATCH(O40,'Raw lists'!$C$2:$C$616,0))&amp;" | ",""))&amp;IF(P40="","",IFERROR(INDEX('Raw lists'!$C$2:$C$616,MATCH(P40,'Raw lists'!$C$2:$C$616,0))&amp;" | ","")))=0,"",LEFT(IF(K40="","",IFERROR(INDEX('Raw lists'!$C$2:$C$616,MATCH(K40,'Raw lists'!$C$2:$C$616,0))&amp;" | ",""))&amp;IF(L40="","",IFERROR(INDEX('Raw lists'!$C$2:$C$616,MATCH(L40,'Raw lists'!$C$2:$C$616,0))&amp;" | ",""))&amp;IF(M40="","",IFERROR(INDEX('Raw lists'!$C$2:$C$616,MATCH(M40,'Raw lists'!$C$2:$C$616,0))&amp;" | ",""))&amp;IF(N40="","",IFERROR(INDEX('Raw lists'!$C$2:$C$616,MATCH(N40,'Raw lists'!$C$2:$C$616,0))&amp;" | ",""))&amp;IF(O40="","",IFERROR(INDEX('Raw lists'!$C$2:$C$616,MATCH(O40,'Raw lists'!$C$2:$C$616,0))&amp;" | ",""))&amp;IF(P40="","",IFERROR(INDEX('Raw lists'!$C$2:$C$616,MATCH(P40,'Raw lists'!$C$2:$C$616,0))&amp;" | ","")),LEN(IF(K40="","",IFERROR(INDEX('Raw lists'!$C$2:$C$616,MATCH(K40,'Raw lists'!$C$2:$C$616,0))&amp;" | ",""))&amp;IF(L40="","",IFERROR(INDEX('Raw lists'!$C$2:$C$616,MATCH(L40,'Raw lists'!$C$2:$C$616,0))&amp;" | ",""))&amp;IF(M40="","",IFERROR(INDEX('Raw lists'!$C$2:$C$616,MATCH(M40,'Raw lists'!$C$2:$C$616,0))&amp;" | ",""))&amp;IF(N40="","",IFERROR(INDEX('Raw lists'!$C$2:$C$616,MATCH(N40,'Raw lists'!$C$2:$C$616,0))&amp;" | ",""))&amp;IF(O40="","",IFERROR(INDEX('Raw lists'!$C$2:$C$616,MATCH(O40,'Raw lists'!$C$2:$C$616,0))&amp;" | ",""))&amp;IF(P40="","",IFERROR(INDEX('Raw lists'!$C$2:$C$616,MATCH(P40,'Raw lists'!$C$2:$C$616,0))&amp;" | ","")))-3))</f>
        <v>Line Width</v>
      </c>
      <c r="F40" s="28" t="s">
        <v>17</v>
      </c>
      <c r="G40" s="30" t="s">
        <v>170</v>
      </c>
      <c r="H40" s="28">
        <f t="shared" si="0"/>
        <v>2</v>
      </c>
      <c r="I40" s="31" t="str">
        <f t="shared" si="1"/>
        <v>RAKE + YAKE</v>
      </c>
      <c r="K40" s="32" t="s">
        <v>171</v>
      </c>
      <c r="L40" s="32"/>
      <c r="M40" s="32"/>
      <c r="N40" s="32"/>
      <c r="O40" s="32"/>
      <c r="P40" s="32"/>
    </row>
    <row r="41" spans="1:16" ht="26.4" x14ac:dyDescent="0.3">
      <c r="A41" s="28">
        <v>40</v>
      </c>
      <c r="B41" s="29" t="s">
        <v>172</v>
      </c>
      <c r="C41" s="30" t="str">
        <f>IF(LEN(IF(K41="","",IFERROR(INDEX('Raw lists'!$A$2:$A$192,MATCH(K41,'Raw lists'!$A$2:$A$192,0))&amp;" | ",""))&amp;IF(L41="","",IFERROR(INDEX('Raw lists'!$A$2:$A$192,MATCH(L41,'Raw lists'!$A$2:$A$192,0))&amp;" | ",""))&amp;IF(M41="","",IFERROR(INDEX('Raw lists'!$A$2:$A$192,MATCH(M41,'Raw lists'!$A$2:$A$192,0))&amp;" | ",""))&amp;IF(N41="","",IFERROR(INDEX('Raw lists'!$A$2:$A$192,MATCH(N41,'Raw lists'!$A$2:$A$192,0))&amp;" | ",""))&amp;IF(O41="","",IFERROR(INDEX('Raw lists'!$A$2:$A$192,MATCH(O41,'Raw lists'!$A$2:$A$192,0))&amp;" | ",""))&amp;IF(P41="","",IFERROR(INDEX('Raw lists'!$A$2:$A$192,MATCH(P41,'Raw lists'!$A$2:$A$192,0))&amp;" | ","")))=0,"",LEFT(IF(K41="","",IFERROR(INDEX('Raw lists'!$A$2:$A$192,MATCH(K41,'Raw lists'!$A$2:$A$192,0))&amp;" | ",""))&amp;IF(L41="","",IFERROR(INDEX('Raw lists'!$A$2:$A$192,MATCH(L41,'Raw lists'!$A$2:$A$192,0))&amp;" | ",""))&amp;IF(M41="","",IFERROR(INDEX('Raw lists'!$A$2:$A$192,MATCH(M41,'Raw lists'!$A$2:$A$192,0))&amp;" | ",""))&amp;IF(N41="","",IFERROR(INDEX('Raw lists'!$A$2:$A$192,MATCH(N41,'Raw lists'!$A$2:$A$192,0))&amp;" | ",""))&amp;IF(O41="","",IFERROR(INDEX('Raw lists'!$A$2:$A$192,MATCH(O41,'Raw lists'!$A$2:$A$192,0))&amp;" | ",""))&amp;IF(P41="","",IFERROR(INDEX('Raw lists'!$A$2:$A$192,MATCH(P41,'Raw lists'!$A$2:$A$192,0))&amp;" | ","")),LEN(IF(K41="","",IFERROR(INDEX('Raw lists'!$A$2:$A$192,MATCH(K41,'Raw lists'!$A$2:$A$192,0))&amp;" | ",""))&amp;IF(L41="","",IFERROR(INDEX('Raw lists'!$A$2:$A$192,MATCH(L41,'Raw lists'!$A$2:$A$192,0))&amp;" | ",""))&amp;IF(M41="","",IFERROR(INDEX('Raw lists'!$A$2:$A$192,MATCH(M41,'Raw lists'!$A$2:$A$192,0))&amp;" | ",""))&amp;IF(N41="","",IFERROR(INDEX('Raw lists'!$A$2:$A$192,MATCH(N41,'Raw lists'!$A$2:$A$192,0))&amp;" | ",""))&amp;IF(O41="","",IFERROR(INDEX('Raw lists'!$A$2:$A$192,MATCH(O41,'Raw lists'!$A$2:$A$192,0))&amp;" | ",""))&amp;IF(P41="","",IFERROR(INDEX('Raw lists'!$A$2:$A$192,MATCH(P41,'Raw lists'!$A$2:$A$192,0))&amp;" | ","")))-3))</f>
        <v>Directionality | Degree Of Directionality</v>
      </c>
      <c r="D41" s="30" t="str">
        <f>IF(LEN(IF(K41="","",IFERROR(INDEX('Raw lists'!$B$2:$B$627,MATCH(K41,'Raw lists'!$B$2:$B$627,0))&amp;" | ",""))&amp;IF(L41="","",IFERROR(INDEX('Raw lists'!$B$2:$B$627,MATCH(L41,'Raw lists'!$B$2:$B$627,0))&amp;" | ",""))&amp;IF(M41="","",IFERROR(INDEX('Raw lists'!$B$2:$B$627,MATCH(M41,'Raw lists'!$B$2:$B$627,0))&amp;" | ",""))&amp;IF(N41="","",IFERROR(INDEX('Raw lists'!$B$2:$B$627,MATCH(N41,'Raw lists'!$B$2:$B$627,0))&amp;" | ",""))&amp;IF(O41="","",IFERROR(INDEX('Raw lists'!$B$2:$B$627,MATCH(O41,'Raw lists'!$B$2:$B$627,0))&amp;" | ",""))&amp;IF(P41="","",IFERROR(INDEX('Raw lists'!$B$2:$B$627,MATCH(P41,'Raw lists'!$B$2:$B$627,0))&amp;" | ","")))=0,"",LEFT(IF(K41="","",IFERROR(INDEX('Raw lists'!$B$2:$B$627,MATCH(K41,'Raw lists'!$B$2:$B$627,0))&amp;" | ",""))&amp;IF(L41="","",IFERROR(INDEX('Raw lists'!$B$2:$B$627,MATCH(L41,'Raw lists'!$B$2:$B$627,0))&amp;" | ",""))&amp;IF(M41="","",IFERROR(INDEX('Raw lists'!$B$2:$B$627,MATCH(M41,'Raw lists'!$B$2:$B$627,0))&amp;" | ",""))&amp;IF(N41="","",IFERROR(INDEX('Raw lists'!$B$2:$B$627,MATCH(N41,'Raw lists'!$B$2:$B$627,0))&amp;" | ",""))&amp;IF(O41="","",IFERROR(INDEX('Raw lists'!$B$2:$B$627,MATCH(O41,'Raw lists'!$B$2:$B$627,0))&amp;" | ",""))&amp;IF(P41="","",IFERROR(INDEX('Raw lists'!$B$2:$B$627,MATCH(P41,'Raw lists'!$B$2:$B$627,0))&amp;" | ","")),LEN(IF(K41="","",IFERROR(INDEX('Raw lists'!$B$2:$B$627,MATCH(K41,'Raw lists'!$B$2:$B$627,0))&amp;" | ",""))&amp;IF(L41="","",IFERROR(INDEX('Raw lists'!$B$2:$B$627,MATCH(L41,'Raw lists'!$B$2:$B$627,0))&amp;" | ",""))&amp;IF(M41="","",IFERROR(INDEX('Raw lists'!$B$2:$B$627,MATCH(M41,'Raw lists'!$B$2:$B$627,0))&amp;" | ",""))&amp;IF(N41="","",IFERROR(INDEX('Raw lists'!$B$2:$B$627,MATCH(N41,'Raw lists'!$B$2:$B$627,0))&amp;" | ",""))&amp;IF(O41="","",IFERROR(INDEX('Raw lists'!$B$2:$B$627,MATCH(O41,'Raw lists'!$B$2:$B$627,0))&amp;" | ",""))&amp;IF(P41="","",IFERROR(INDEX('Raw lists'!$B$2:$B$627,MATCH(P41,'Raw lists'!$B$2:$B$627,0))&amp;" | ","")))-3))</f>
        <v>Directionality</v>
      </c>
      <c r="E41" s="30" t="str">
        <f>IF(LEN(IF(K41="","",IFERROR(INDEX('Raw lists'!$C$2:$C$616,MATCH(K41,'Raw lists'!$C$2:$C$616,0))&amp;" | ",""))&amp;IF(L41="","",IFERROR(INDEX('Raw lists'!$C$2:$C$616,MATCH(L41,'Raw lists'!$C$2:$C$616,0))&amp;" | ",""))&amp;IF(M41="","",IFERROR(INDEX('Raw lists'!$C$2:$C$616,MATCH(M41,'Raw lists'!$C$2:$C$616,0))&amp;" | ",""))&amp;IF(N41="","",IFERROR(INDEX('Raw lists'!$C$2:$C$616,MATCH(N41,'Raw lists'!$C$2:$C$616,0))&amp;" | ",""))&amp;IF(O41="","",IFERROR(INDEX('Raw lists'!$C$2:$C$616,MATCH(O41,'Raw lists'!$C$2:$C$616,0))&amp;" | ",""))&amp;IF(P41="","",IFERROR(INDEX('Raw lists'!$C$2:$C$616,MATCH(P41,'Raw lists'!$C$2:$C$616,0))&amp;" | ","")))=0,"",LEFT(IF(K41="","",IFERROR(INDEX('Raw lists'!$C$2:$C$616,MATCH(K41,'Raw lists'!$C$2:$C$616,0))&amp;" | ",""))&amp;IF(L41="","",IFERROR(INDEX('Raw lists'!$C$2:$C$616,MATCH(L41,'Raw lists'!$C$2:$C$616,0))&amp;" | ",""))&amp;IF(M41="","",IFERROR(INDEX('Raw lists'!$C$2:$C$616,MATCH(M41,'Raw lists'!$C$2:$C$616,0))&amp;" | ",""))&amp;IF(N41="","",IFERROR(INDEX('Raw lists'!$C$2:$C$616,MATCH(N41,'Raw lists'!$C$2:$C$616,0))&amp;" | ",""))&amp;IF(O41="","",IFERROR(INDEX('Raw lists'!$C$2:$C$616,MATCH(O41,'Raw lists'!$C$2:$C$616,0))&amp;" | ",""))&amp;IF(P41="","",IFERROR(INDEX('Raw lists'!$C$2:$C$616,MATCH(P41,'Raw lists'!$C$2:$C$616,0))&amp;" | ","")),LEN(IF(K41="","",IFERROR(INDEX('Raw lists'!$C$2:$C$616,MATCH(K41,'Raw lists'!$C$2:$C$616,0))&amp;" | ",""))&amp;IF(L41="","",IFERROR(INDEX('Raw lists'!$C$2:$C$616,MATCH(L41,'Raw lists'!$C$2:$C$616,0))&amp;" | ",""))&amp;IF(M41="","",IFERROR(INDEX('Raw lists'!$C$2:$C$616,MATCH(M41,'Raw lists'!$C$2:$C$616,0))&amp;" | ",""))&amp;IF(N41="","",IFERROR(INDEX('Raw lists'!$C$2:$C$616,MATCH(N41,'Raw lists'!$C$2:$C$616,0))&amp;" | ",""))&amp;IF(O41="","",IFERROR(INDEX('Raw lists'!$C$2:$C$616,MATCH(O41,'Raw lists'!$C$2:$C$616,0))&amp;" | ",""))&amp;IF(P41="","",IFERROR(INDEX('Raw lists'!$C$2:$C$616,MATCH(P41,'Raw lists'!$C$2:$C$616,0))&amp;" | ","")))-3))</f>
        <v>Directionality | Degree Of Directionality</v>
      </c>
      <c r="F41" s="28" t="s">
        <v>17</v>
      </c>
      <c r="G41" s="30" t="s">
        <v>173</v>
      </c>
      <c r="H41" s="28">
        <f t="shared" si="0"/>
        <v>3</v>
      </c>
      <c r="I41" s="31" t="str">
        <f t="shared" si="1"/>
        <v>All three</v>
      </c>
      <c r="K41" s="32" t="s">
        <v>172</v>
      </c>
      <c r="L41" s="32" t="s">
        <v>174</v>
      </c>
      <c r="M41" s="32"/>
      <c r="N41" s="32"/>
      <c r="O41" s="32"/>
      <c r="P41" s="32"/>
    </row>
    <row r="42" spans="1:16" ht="26.4" x14ac:dyDescent="0.3">
      <c r="A42" s="28">
        <v>41</v>
      </c>
      <c r="B42" s="29" t="s">
        <v>175</v>
      </c>
      <c r="C42" s="30" t="str">
        <f>IF(LEN(IF(K42="","",IFERROR(INDEX('Raw lists'!$A$2:$A$192,MATCH(K42,'Raw lists'!$A$2:$A$192,0))&amp;" | ",""))&amp;IF(L42="","",IFERROR(INDEX('Raw lists'!$A$2:$A$192,MATCH(L42,'Raw lists'!$A$2:$A$192,0))&amp;" | ",""))&amp;IF(M42="","",IFERROR(INDEX('Raw lists'!$A$2:$A$192,MATCH(M42,'Raw lists'!$A$2:$A$192,0))&amp;" | ",""))&amp;IF(N42="","",IFERROR(INDEX('Raw lists'!$A$2:$A$192,MATCH(N42,'Raw lists'!$A$2:$A$192,0))&amp;" | ",""))&amp;IF(O42="","",IFERROR(INDEX('Raw lists'!$A$2:$A$192,MATCH(O42,'Raw lists'!$A$2:$A$192,0))&amp;" | ",""))&amp;IF(P42="","",IFERROR(INDEX('Raw lists'!$A$2:$A$192,MATCH(P42,'Raw lists'!$A$2:$A$192,0))&amp;" | ","")))=0,"",LEFT(IF(K42="","",IFERROR(INDEX('Raw lists'!$A$2:$A$192,MATCH(K42,'Raw lists'!$A$2:$A$192,0))&amp;" | ",""))&amp;IF(L42="","",IFERROR(INDEX('Raw lists'!$A$2:$A$192,MATCH(L42,'Raw lists'!$A$2:$A$192,0))&amp;" | ",""))&amp;IF(M42="","",IFERROR(INDEX('Raw lists'!$A$2:$A$192,MATCH(M42,'Raw lists'!$A$2:$A$192,0))&amp;" | ",""))&amp;IF(N42="","",IFERROR(INDEX('Raw lists'!$A$2:$A$192,MATCH(N42,'Raw lists'!$A$2:$A$192,0))&amp;" | ",""))&amp;IF(O42="","",IFERROR(INDEX('Raw lists'!$A$2:$A$192,MATCH(O42,'Raw lists'!$A$2:$A$192,0))&amp;" | ",""))&amp;IF(P42="","",IFERROR(INDEX('Raw lists'!$A$2:$A$192,MATCH(P42,'Raw lists'!$A$2:$A$192,0))&amp;" | ","")),LEN(IF(K42="","",IFERROR(INDEX('Raw lists'!$A$2:$A$192,MATCH(K42,'Raw lists'!$A$2:$A$192,0))&amp;" | ",""))&amp;IF(L42="","",IFERROR(INDEX('Raw lists'!$A$2:$A$192,MATCH(L42,'Raw lists'!$A$2:$A$192,0))&amp;" | ",""))&amp;IF(M42="","",IFERROR(INDEX('Raw lists'!$A$2:$A$192,MATCH(M42,'Raw lists'!$A$2:$A$192,0))&amp;" | ",""))&amp;IF(N42="","",IFERROR(INDEX('Raw lists'!$A$2:$A$192,MATCH(N42,'Raw lists'!$A$2:$A$192,0))&amp;" | ",""))&amp;IF(O42="","",IFERROR(INDEX('Raw lists'!$A$2:$A$192,MATCH(O42,'Raw lists'!$A$2:$A$192,0))&amp;" | ",""))&amp;IF(P42="","",IFERROR(INDEX('Raw lists'!$A$2:$A$192,MATCH(P42,'Raw lists'!$A$2:$A$192,0))&amp;" | ","")))-3))</f>
        <v/>
      </c>
      <c r="D42" s="30" t="str">
        <f>IF(LEN(IF(K42="","",IFERROR(INDEX('Raw lists'!$B$2:$B$627,MATCH(K42,'Raw lists'!$B$2:$B$627,0))&amp;" | ",""))&amp;IF(L42="","",IFERROR(INDEX('Raw lists'!$B$2:$B$627,MATCH(L42,'Raw lists'!$B$2:$B$627,0))&amp;" | ",""))&amp;IF(M42="","",IFERROR(INDEX('Raw lists'!$B$2:$B$627,MATCH(M42,'Raw lists'!$B$2:$B$627,0))&amp;" | ",""))&amp;IF(N42="","",IFERROR(INDEX('Raw lists'!$B$2:$B$627,MATCH(N42,'Raw lists'!$B$2:$B$627,0))&amp;" | ",""))&amp;IF(O42="","",IFERROR(INDEX('Raw lists'!$B$2:$B$627,MATCH(O42,'Raw lists'!$B$2:$B$627,0))&amp;" | ",""))&amp;IF(P42="","",IFERROR(INDEX('Raw lists'!$B$2:$B$627,MATCH(P42,'Raw lists'!$B$2:$B$627,0))&amp;" | ","")))=0,"",LEFT(IF(K42="","",IFERROR(INDEX('Raw lists'!$B$2:$B$627,MATCH(K42,'Raw lists'!$B$2:$B$627,0))&amp;" | ",""))&amp;IF(L42="","",IFERROR(INDEX('Raw lists'!$B$2:$B$627,MATCH(L42,'Raw lists'!$B$2:$B$627,0))&amp;" | ",""))&amp;IF(M42="","",IFERROR(INDEX('Raw lists'!$B$2:$B$627,MATCH(M42,'Raw lists'!$B$2:$B$627,0))&amp;" | ",""))&amp;IF(N42="","",IFERROR(INDEX('Raw lists'!$B$2:$B$627,MATCH(N42,'Raw lists'!$B$2:$B$627,0))&amp;" | ",""))&amp;IF(O42="","",IFERROR(INDEX('Raw lists'!$B$2:$B$627,MATCH(O42,'Raw lists'!$B$2:$B$627,0))&amp;" | ",""))&amp;IF(P42="","",IFERROR(INDEX('Raw lists'!$B$2:$B$627,MATCH(P42,'Raw lists'!$B$2:$B$627,0))&amp;" | ","")),LEN(IF(K42="","",IFERROR(INDEX('Raw lists'!$B$2:$B$627,MATCH(K42,'Raw lists'!$B$2:$B$627,0))&amp;" | ",""))&amp;IF(L42="","",IFERROR(INDEX('Raw lists'!$B$2:$B$627,MATCH(L42,'Raw lists'!$B$2:$B$627,0))&amp;" | ",""))&amp;IF(M42="","",IFERROR(INDEX('Raw lists'!$B$2:$B$627,MATCH(M42,'Raw lists'!$B$2:$B$627,0))&amp;" | ",""))&amp;IF(N42="","",IFERROR(INDEX('Raw lists'!$B$2:$B$627,MATCH(N42,'Raw lists'!$B$2:$B$627,0))&amp;" | ",""))&amp;IF(O42="","",IFERROR(INDEX('Raw lists'!$B$2:$B$627,MATCH(O42,'Raw lists'!$B$2:$B$627,0))&amp;" | ",""))&amp;IF(P42="","",IFERROR(INDEX('Raw lists'!$B$2:$B$627,MATCH(P42,'Raw lists'!$B$2:$B$627,0))&amp;" | ","")))-3))</f>
        <v>Brightness</v>
      </c>
      <c r="E42" s="30" t="str">
        <f>IF(LEN(IF(K42="","",IFERROR(INDEX('Raw lists'!$C$2:$C$616,MATCH(K42,'Raw lists'!$C$2:$C$616,0))&amp;" | ",""))&amp;IF(L42="","",IFERROR(INDEX('Raw lists'!$C$2:$C$616,MATCH(L42,'Raw lists'!$C$2:$C$616,0))&amp;" | ",""))&amp;IF(M42="","",IFERROR(INDEX('Raw lists'!$C$2:$C$616,MATCH(M42,'Raw lists'!$C$2:$C$616,0))&amp;" | ",""))&amp;IF(N42="","",IFERROR(INDEX('Raw lists'!$C$2:$C$616,MATCH(N42,'Raw lists'!$C$2:$C$616,0))&amp;" | ",""))&amp;IF(O42="","",IFERROR(INDEX('Raw lists'!$C$2:$C$616,MATCH(O42,'Raw lists'!$C$2:$C$616,0))&amp;" | ",""))&amp;IF(P42="","",IFERROR(INDEX('Raw lists'!$C$2:$C$616,MATCH(P42,'Raw lists'!$C$2:$C$616,0))&amp;" | ","")))=0,"",LEFT(IF(K42="","",IFERROR(INDEX('Raw lists'!$C$2:$C$616,MATCH(K42,'Raw lists'!$C$2:$C$616,0))&amp;" | ",""))&amp;IF(L42="","",IFERROR(INDEX('Raw lists'!$C$2:$C$616,MATCH(L42,'Raw lists'!$C$2:$C$616,0))&amp;" | ",""))&amp;IF(M42="","",IFERROR(INDEX('Raw lists'!$C$2:$C$616,MATCH(M42,'Raw lists'!$C$2:$C$616,0))&amp;" | ",""))&amp;IF(N42="","",IFERROR(INDEX('Raw lists'!$C$2:$C$616,MATCH(N42,'Raw lists'!$C$2:$C$616,0))&amp;" | ",""))&amp;IF(O42="","",IFERROR(INDEX('Raw lists'!$C$2:$C$616,MATCH(O42,'Raw lists'!$C$2:$C$616,0))&amp;" | ",""))&amp;IF(P42="","",IFERROR(INDEX('Raw lists'!$C$2:$C$616,MATCH(P42,'Raw lists'!$C$2:$C$616,0))&amp;" | ","")),LEN(IF(K42="","",IFERROR(INDEX('Raw lists'!$C$2:$C$616,MATCH(K42,'Raw lists'!$C$2:$C$616,0))&amp;" | ",""))&amp;IF(L42="","",IFERROR(INDEX('Raw lists'!$C$2:$C$616,MATCH(L42,'Raw lists'!$C$2:$C$616,0))&amp;" | ",""))&amp;IF(M42="","",IFERROR(INDEX('Raw lists'!$C$2:$C$616,MATCH(M42,'Raw lists'!$C$2:$C$616,0))&amp;" | ",""))&amp;IF(N42="","",IFERROR(INDEX('Raw lists'!$C$2:$C$616,MATCH(N42,'Raw lists'!$C$2:$C$616,0))&amp;" | ",""))&amp;IF(O42="","",IFERROR(INDEX('Raw lists'!$C$2:$C$616,MATCH(O42,'Raw lists'!$C$2:$C$616,0))&amp;" | ",""))&amp;IF(P42="","",IFERROR(INDEX('Raw lists'!$C$2:$C$616,MATCH(P42,'Raw lists'!$C$2:$C$616,0))&amp;" | ","")))-3))</f>
        <v/>
      </c>
      <c r="F42" s="28" t="s">
        <v>17</v>
      </c>
      <c r="G42" s="30" t="s">
        <v>176</v>
      </c>
      <c r="H42" s="28">
        <f t="shared" si="0"/>
        <v>1</v>
      </c>
      <c r="I42" s="31" t="str">
        <f t="shared" si="1"/>
        <v>Only RAKE</v>
      </c>
      <c r="K42" s="32" t="s">
        <v>175</v>
      </c>
      <c r="L42" s="32"/>
      <c r="M42" s="32"/>
      <c r="N42" s="32"/>
      <c r="O42" s="32"/>
      <c r="P42" s="32"/>
    </row>
    <row r="43" spans="1:16" x14ac:dyDescent="0.3">
      <c r="A43" s="28">
        <v>42</v>
      </c>
      <c r="B43" s="29" t="s">
        <v>177</v>
      </c>
      <c r="C43" s="30" t="str">
        <f>IF(LEN(IF(K43="","",IFERROR(INDEX('Raw lists'!$A$2:$A$192,MATCH(K43,'Raw lists'!$A$2:$A$192,0))&amp;" | ",""))&amp;IF(L43="","",IFERROR(INDEX('Raw lists'!$A$2:$A$192,MATCH(L43,'Raw lists'!$A$2:$A$192,0))&amp;" | ",""))&amp;IF(M43="","",IFERROR(INDEX('Raw lists'!$A$2:$A$192,MATCH(M43,'Raw lists'!$A$2:$A$192,0))&amp;" | ",""))&amp;IF(N43="","",IFERROR(INDEX('Raw lists'!$A$2:$A$192,MATCH(N43,'Raw lists'!$A$2:$A$192,0))&amp;" | ",""))&amp;IF(O43="","",IFERROR(INDEX('Raw lists'!$A$2:$A$192,MATCH(O43,'Raw lists'!$A$2:$A$192,0))&amp;" | ",""))&amp;IF(P43="","",IFERROR(INDEX('Raw lists'!$A$2:$A$192,MATCH(P43,'Raw lists'!$A$2:$A$192,0))&amp;" | ","")))=0,"",LEFT(IF(K43="","",IFERROR(INDEX('Raw lists'!$A$2:$A$192,MATCH(K43,'Raw lists'!$A$2:$A$192,0))&amp;" | ",""))&amp;IF(L43="","",IFERROR(INDEX('Raw lists'!$A$2:$A$192,MATCH(L43,'Raw lists'!$A$2:$A$192,0))&amp;" | ",""))&amp;IF(M43="","",IFERROR(INDEX('Raw lists'!$A$2:$A$192,MATCH(M43,'Raw lists'!$A$2:$A$192,0))&amp;" | ",""))&amp;IF(N43="","",IFERROR(INDEX('Raw lists'!$A$2:$A$192,MATCH(N43,'Raw lists'!$A$2:$A$192,0))&amp;" | ",""))&amp;IF(O43="","",IFERROR(INDEX('Raw lists'!$A$2:$A$192,MATCH(O43,'Raw lists'!$A$2:$A$192,0))&amp;" | ",""))&amp;IF(P43="","",IFERROR(INDEX('Raw lists'!$A$2:$A$192,MATCH(P43,'Raw lists'!$A$2:$A$192,0))&amp;" | ","")),LEN(IF(K43="","",IFERROR(INDEX('Raw lists'!$A$2:$A$192,MATCH(K43,'Raw lists'!$A$2:$A$192,0))&amp;" | ",""))&amp;IF(L43="","",IFERROR(INDEX('Raw lists'!$A$2:$A$192,MATCH(L43,'Raw lists'!$A$2:$A$192,0))&amp;" | ",""))&amp;IF(M43="","",IFERROR(INDEX('Raw lists'!$A$2:$A$192,MATCH(M43,'Raw lists'!$A$2:$A$192,0))&amp;" | ",""))&amp;IF(N43="","",IFERROR(INDEX('Raw lists'!$A$2:$A$192,MATCH(N43,'Raw lists'!$A$2:$A$192,0))&amp;" | ",""))&amp;IF(O43="","",IFERROR(INDEX('Raw lists'!$A$2:$A$192,MATCH(O43,'Raw lists'!$A$2:$A$192,0))&amp;" | ",""))&amp;IF(P43="","",IFERROR(INDEX('Raw lists'!$A$2:$A$192,MATCH(P43,'Raw lists'!$A$2:$A$192,0))&amp;" | ","")))-3))</f>
        <v/>
      </c>
      <c r="D43" s="30" t="str">
        <f>IF(LEN(IF(K43="","",IFERROR(INDEX('Raw lists'!$B$2:$B$627,MATCH(K43,'Raw lists'!$B$2:$B$627,0))&amp;" | ",""))&amp;IF(L43="","",IFERROR(INDEX('Raw lists'!$B$2:$B$627,MATCH(L43,'Raw lists'!$B$2:$B$627,0))&amp;" | ",""))&amp;IF(M43="","",IFERROR(INDEX('Raw lists'!$B$2:$B$627,MATCH(M43,'Raw lists'!$B$2:$B$627,0))&amp;" | ",""))&amp;IF(N43="","",IFERROR(INDEX('Raw lists'!$B$2:$B$627,MATCH(N43,'Raw lists'!$B$2:$B$627,0))&amp;" | ",""))&amp;IF(O43="","",IFERROR(INDEX('Raw lists'!$B$2:$B$627,MATCH(O43,'Raw lists'!$B$2:$B$627,0))&amp;" | ",""))&amp;IF(P43="","",IFERROR(INDEX('Raw lists'!$B$2:$B$627,MATCH(P43,'Raw lists'!$B$2:$B$627,0))&amp;" | ","")))=0,"",LEFT(IF(K43="","",IFERROR(INDEX('Raw lists'!$B$2:$B$627,MATCH(K43,'Raw lists'!$B$2:$B$627,0))&amp;" | ",""))&amp;IF(L43="","",IFERROR(INDEX('Raw lists'!$B$2:$B$627,MATCH(L43,'Raw lists'!$B$2:$B$627,0))&amp;" | ",""))&amp;IF(M43="","",IFERROR(INDEX('Raw lists'!$B$2:$B$627,MATCH(M43,'Raw lists'!$B$2:$B$627,0))&amp;" | ",""))&amp;IF(N43="","",IFERROR(INDEX('Raw lists'!$B$2:$B$627,MATCH(N43,'Raw lists'!$B$2:$B$627,0))&amp;" | ",""))&amp;IF(O43="","",IFERROR(INDEX('Raw lists'!$B$2:$B$627,MATCH(O43,'Raw lists'!$B$2:$B$627,0))&amp;" | ",""))&amp;IF(P43="","",IFERROR(INDEX('Raw lists'!$B$2:$B$627,MATCH(P43,'Raw lists'!$B$2:$B$627,0))&amp;" | ","")),LEN(IF(K43="","",IFERROR(INDEX('Raw lists'!$B$2:$B$627,MATCH(K43,'Raw lists'!$B$2:$B$627,0))&amp;" | ",""))&amp;IF(L43="","",IFERROR(INDEX('Raw lists'!$B$2:$B$627,MATCH(L43,'Raw lists'!$B$2:$B$627,0))&amp;" | ",""))&amp;IF(M43="","",IFERROR(INDEX('Raw lists'!$B$2:$B$627,MATCH(M43,'Raw lists'!$B$2:$B$627,0))&amp;" | ",""))&amp;IF(N43="","",IFERROR(INDEX('Raw lists'!$B$2:$B$627,MATCH(N43,'Raw lists'!$B$2:$B$627,0))&amp;" | ",""))&amp;IF(O43="","",IFERROR(INDEX('Raw lists'!$B$2:$B$627,MATCH(O43,'Raw lists'!$B$2:$B$627,0))&amp;" | ",""))&amp;IF(P43="","",IFERROR(INDEX('Raw lists'!$B$2:$B$627,MATCH(P43,'Raw lists'!$B$2:$B$627,0))&amp;" | ","")))-3))</f>
        <v/>
      </c>
      <c r="E43" s="30" t="str">
        <f>IF(LEN(IF(K43="","",IFERROR(INDEX('Raw lists'!$C$2:$C$616,MATCH(K43,'Raw lists'!$C$2:$C$616,0))&amp;" | ",""))&amp;IF(L43="","",IFERROR(INDEX('Raw lists'!$C$2:$C$616,MATCH(L43,'Raw lists'!$C$2:$C$616,0))&amp;" | ",""))&amp;IF(M43="","",IFERROR(INDEX('Raw lists'!$C$2:$C$616,MATCH(M43,'Raw lists'!$C$2:$C$616,0))&amp;" | ",""))&amp;IF(N43="","",IFERROR(INDEX('Raw lists'!$C$2:$C$616,MATCH(N43,'Raw lists'!$C$2:$C$616,0))&amp;" | ",""))&amp;IF(O43="","",IFERROR(INDEX('Raw lists'!$C$2:$C$616,MATCH(O43,'Raw lists'!$C$2:$C$616,0))&amp;" | ",""))&amp;IF(P43="","",IFERROR(INDEX('Raw lists'!$C$2:$C$616,MATCH(P43,'Raw lists'!$C$2:$C$616,0))&amp;" | ","")))=0,"",LEFT(IF(K43="","",IFERROR(INDEX('Raw lists'!$C$2:$C$616,MATCH(K43,'Raw lists'!$C$2:$C$616,0))&amp;" | ",""))&amp;IF(L43="","",IFERROR(INDEX('Raw lists'!$C$2:$C$616,MATCH(L43,'Raw lists'!$C$2:$C$616,0))&amp;" | ",""))&amp;IF(M43="","",IFERROR(INDEX('Raw lists'!$C$2:$C$616,MATCH(M43,'Raw lists'!$C$2:$C$616,0))&amp;" | ",""))&amp;IF(N43="","",IFERROR(INDEX('Raw lists'!$C$2:$C$616,MATCH(N43,'Raw lists'!$C$2:$C$616,0))&amp;" | ",""))&amp;IF(O43="","",IFERROR(INDEX('Raw lists'!$C$2:$C$616,MATCH(O43,'Raw lists'!$C$2:$C$616,0))&amp;" | ",""))&amp;IF(P43="","",IFERROR(INDEX('Raw lists'!$C$2:$C$616,MATCH(P43,'Raw lists'!$C$2:$C$616,0))&amp;" | ","")),LEN(IF(K43="","",IFERROR(INDEX('Raw lists'!$C$2:$C$616,MATCH(K43,'Raw lists'!$C$2:$C$616,0))&amp;" | ",""))&amp;IF(L43="","",IFERROR(INDEX('Raw lists'!$C$2:$C$616,MATCH(L43,'Raw lists'!$C$2:$C$616,0))&amp;" | ",""))&amp;IF(M43="","",IFERROR(INDEX('Raw lists'!$C$2:$C$616,MATCH(M43,'Raw lists'!$C$2:$C$616,0))&amp;" | ",""))&amp;IF(N43="","",IFERROR(INDEX('Raw lists'!$C$2:$C$616,MATCH(N43,'Raw lists'!$C$2:$C$616,0))&amp;" | ",""))&amp;IF(O43="","",IFERROR(INDEX('Raw lists'!$C$2:$C$616,MATCH(O43,'Raw lists'!$C$2:$C$616,0))&amp;" | ",""))&amp;IF(P43="","",IFERROR(INDEX('Raw lists'!$C$2:$C$616,MATCH(P43,'Raw lists'!$C$2:$C$616,0))&amp;" | ","")))-3))</f>
        <v/>
      </c>
      <c r="F43" s="28" t="s">
        <v>17</v>
      </c>
      <c r="G43" s="30" t="s">
        <v>178</v>
      </c>
      <c r="H43" s="28">
        <f t="shared" si="0"/>
        <v>0</v>
      </c>
      <c r="I43" s="31" t="str">
        <f t="shared" si="1"/>
        <v>None</v>
      </c>
      <c r="K43" s="32" t="s">
        <v>177</v>
      </c>
      <c r="L43" s="32"/>
      <c r="M43" s="32"/>
      <c r="N43" s="32"/>
      <c r="O43" s="32"/>
      <c r="P43" s="32"/>
    </row>
    <row r="44" spans="1:16" ht="26.4" x14ac:dyDescent="0.3">
      <c r="A44" s="28">
        <v>43</v>
      </c>
      <c r="B44" s="29" t="s">
        <v>179</v>
      </c>
      <c r="C44" s="30" t="str">
        <f>IF(LEN(IF(K44="","",IFERROR(INDEX('Raw lists'!$A$2:$A$192,MATCH(K44,'Raw lists'!$A$2:$A$192,0))&amp;" | ",""))&amp;IF(L44="","",IFERROR(INDEX('Raw lists'!$A$2:$A$192,MATCH(L44,'Raw lists'!$A$2:$A$192,0))&amp;" | ",""))&amp;IF(M44="","",IFERROR(INDEX('Raw lists'!$A$2:$A$192,MATCH(M44,'Raw lists'!$A$2:$A$192,0))&amp;" | ",""))&amp;IF(N44="","",IFERROR(INDEX('Raw lists'!$A$2:$A$192,MATCH(N44,'Raw lists'!$A$2:$A$192,0))&amp;" | ",""))&amp;IF(O44="","",IFERROR(INDEX('Raw lists'!$A$2:$A$192,MATCH(O44,'Raw lists'!$A$2:$A$192,0))&amp;" | ",""))&amp;IF(P44="","",IFERROR(INDEX('Raw lists'!$A$2:$A$192,MATCH(P44,'Raw lists'!$A$2:$A$192,0))&amp;" | ","")))=0,"",LEFT(IF(K44="","",IFERROR(INDEX('Raw lists'!$A$2:$A$192,MATCH(K44,'Raw lists'!$A$2:$A$192,0))&amp;" | ",""))&amp;IF(L44="","",IFERROR(INDEX('Raw lists'!$A$2:$A$192,MATCH(L44,'Raw lists'!$A$2:$A$192,0))&amp;" | ",""))&amp;IF(M44="","",IFERROR(INDEX('Raw lists'!$A$2:$A$192,MATCH(M44,'Raw lists'!$A$2:$A$192,0))&amp;" | ",""))&amp;IF(N44="","",IFERROR(INDEX('Raw lists'!$A$2:$A$192,MATCH(N44,'Raw lists'!$A$2:$A$192,0))&amp;" | ",""))&amp;IF(O44="","",IFERROR(INDEX('Raw lists'!$A$2:$A$192,MATCH(O44,'Raw lists'!$A$2:$A$192,0))&amp;" | ",""))&amp;IF(P44="","",IFERROR(INDEX('Raw lists'!$A$2:$A$192,MATCH(P44,'Raw lists'!$A$2:$A$192,0))&amp;" | ","")),LEN(IF(K44="","",IFERROR(INDEX('Raw lists'!$A$2:$A$192,MATCH(K44,'Raw lists'!$A$2:$A$192,0))&amp;" | ",""))&amp;IF(L44="","",IFERROR(INDEX('Raw lists'!$A$2:$A$192,MATCH(L44,'Raw lists'!$A$2:$A$192,0))&amp;" | ",""))&amp;IF(M44="","",IFERROR(INDEX('Raw lists'!$A$2:$A$192,MATCH(M44,'Raw lists'!$A$2:$A$192,0))&amp;" | ",""))&amp;IF(N44="","",IFERROR(INDEX('Raw lists'!$A$2:$A$192,MATCH(N44,'Raw lists'!$A$2:$A$192,0))&amp;" | ",""))&amp;IF(O44="","",IFERROR(INDEX('Raw lists'!$A$2:$A$192,MATCH(O44,'Raw lists'!$A$2:$A$192,0))&amp;" | ",""))&amp;IF(P44="","",IFERROR(INDEX('Raw lists'!$A$2:$A$192,MATCH(P44,'Raw lists'!$A$2:$A$192,0))&amp;" | ","")))-3))</f>
        <v>Absorption</v>
      </c>
      <c r="D44" s="30" t="str">
        <f>IF(LEN(IF(K44="","",IFERROR(INDEX('Raw lists'!$B$2:$B$627,MATCH(K44,'Raw lists'!$B$2:$B$627,0))&amp;" | ",""))&amp;IF(L44="","",IFERROR(INDEX('Raw lists'!$B$2:$B$627,MATCH(L44,'Raw lists'!$B$2:$B$627,0))&amp;" | ",""))&amp;IF(M44="","",IFERROR(INDEX('Raw lists'!$B$2:$B$627,MATCH(M44,'Raw lists'!$B$2:$B$627,0))&amp;" | ",""))&amp;IF(N44="","",IFERROR(INDEX('Raw lists'!$B$2:$B$627,MATCH(N44,'Raw lists'!$B$2:$B$627,0))&amp;" | ",""))&amp;IF(O44="","",IFERROR(INDEX('Raw lists'!$B$2:$B$627,MATCH(O44,'Raw lists'!$B$2:$B$627,0))&amp;" | ",""))&amp;IF(P44="","",IFERROR(INDEX('Raw lists'!$B$2:$B$627,MATCH(P44,'Raw lists'!$B$2:$B$627,0))&amp;" | ","")))=0,"",LEFT(IF(K44="","",IFERROR(INDEX('Raw lists'!$B$2:$B$627,MATCH(K44,'Raw lists'!$B$2:$B$627,0))&amp;" | ",""))&amp;IF(L44="","",IFERROR(INDEX('Raw lists'!$B$2:$B$627,MATCH(L44,'Raw lists'!$B$2:$B$627,0))&amp;" | ",""))&amp;IF(M44="","",IFERROR(INDEX('Raw lists'!$B$2:$B$627,MATCH(M44,'Raw lists'!$B$2:$B$627,0))&amp;" | ",""))&amp;IF(N44="","",IFERROR(INDEX('Raw lists'!$B$2:$B$627,MATCH(N44,'Raw lists'!$B$2:$B$627,0))&amp;" | ",""))&amp;IF(O44="","",IFERROR(INDEX('Raw lists'!$B$2:$B$627,MATCH(O44,'Raw lists'!$B$2:$B$627,0))&amp;" | ",""))&amp;IF(P44="","",IFERROR(INDEX('Raw lists'!$B$2:$B$627,MATCH(P44,'Raw lists'!$B$2:$B$627,0))&amp;" | ","")),LEN(IF(K44="","",IFERROR(INDEX('Raw lists'!$B$2:$B$627,MATCH(K44,'Raw lists'!$B$2:$B$627,0))&amp;" | ",""))&amp;IF(L44="","",IFERROR(INDEX('Raw lists'!$B$2:$B$627,MATCH(L44,'Raw lists'!$B$2:$B$627,0))&amp;" | ",""))&amp;IF(M44="","",IFERROR(INDEX('Raw lists'!$B$2:$B$627,MATCH(M44,'Raw lists'!$B$2:$B$627,0))&amp;" | ",""))&amp;IF(N44="","",IFERROR(INDEX('Raw lists'!$B$2:$B$627,MATCH(N44,'Raw lists'!$B$2:$B$627,0))&amp;" | ",""))&amp;IF(O44="","",IFERROR(INDEX('Raw lists'!$B$2:$B$627,MATCH(O44,'Raw lists'!$B$2:$B$627,0))&amp;" | ",""))&amp;IF(P44="","",IFERROR(INDEX('Raw lists'!$B$2:$B$627,MATCH(P44,'Raw lists'!$B$2:$B$627,0))&amp;" | ","")))-3))</f>
        <v/>
      </c>
      <c r="E44" s="30" t="str">
        <f>IF(LEN(IF(K44="","",IFERROR(INDEX('Raw lists'!$C$2:$C$616,MATCH(K44,'Raw lists'!$C$2:$C$616,0))&amp;" | ",""))&amp;IF(L44="","",IFERROR(INDEX('Raw lists'!$C$2:$C$616,MATCH(L44,'Raw lists'!$C$2:$C$616,0))&amp;" | ",""))&amp;IF(M44="","",IFERROR(INDEX('Raw lists'!$C$2:$C$616,MATCH(M44,'Raw lists'!$C$2:$C$616,0))&amp;" | ",""))&amp;IF(N44="","",IFERROR(INDEX('Raw lists'!$C$2:$C$616,MATCH(N44,'Raw lists'!$C$2:$C$616,0))&amp;" | ",""))&amp;IF(O44="","",IFERROR(INDEX('Raw lists'!$C$2:$C$616,MATCH(O44,'Raw lists'!$C$2:$C$616,0))&amp;" | ",""))&amp;IF(P44="","",IFERROR(INDEX('Raw lists'!$C$2:$C$616,MATCH(P44,'Raw lists'!$C$2:$C$616,0))&amp;" | ","")))=0,"",LEFT(IF(K44="","",IFERROR(INDEX('Raw lists'!$C$2:$C$616,MATCH(K44,'Raw lists'!$C$2:$C$616,0))&amp;" | ",""))&amp;IF(L44="","",IFERROR(INDEX('Raw lists'!$C$2:$C$616,MATCH(L44,'Raw lists'!$C$2:$C$616,0))&amp;" | ",""))&amp;IF(M44="","",IFERROR(INDEX('Raw lists'!$C$2:$C$616,MATCH(M44,'Raw lists'!$C$2:$C$616,0))&amp;" | ",""))&amp;IF(N44="","",IFERROR(INDEX('Raw lists'!$C$2:$C$616,MATCH(N44,'Raw lists'!$C$2:$C$616,0))&amp;" | ",""))&amp;IF(O44="","",IFERROR(INDEX('Raw lists'!$C$2:$C$616,MATCH(O44,'Raw lists'!$C$2:$C$616,0))&amp;" | ",""))&amp;IF(P44="","",IFERROR(INDEX('Raw lists'!$C$2:$C$616,MATCH(P44,'Raw lists'!$C$2:$C$616,0))&amp;" | ","")),LEN(IF(K44="","",IFERROR(INDEX('Raw lists'!$C$2:$C$616,MATCH(K44,'Raw lists'!$C$2:$C$616,0))&amp;" | ",""))&amp;IF(L44="","",IFERROR(INDEX('Raw lists'!$C$2:$C$616,MATCH(L44,'Raw lists'!$C$2:$C$616,0))&amp;" | ",""))&amp;IF(M44="","",IFERROR(INDEX('Raw lists'!$C$2:$C$616,MATCH(M44,'Raw lists'!$C$2:$C$616,0))&amp;" | ",""))&amp;IF(N44="","",IFERROR(INDEX('Raw lists'!$C$2:$C$616,MATCH(N44,'Raw lists'!$C$2:$C$616,0))&amp;" | ",""))&amp;IF(O44="","",IFERROR(INDEX('Raw lists'!$C$2:$C$616,MATCH(O44,'Raw lists'!$C$2:$C$616,0))&amp;" | ",""))&amp;IF(P44="","",IFERROR(INDEX('Raw lists'!$C$2:$C$616,MATCH(P44,'Raw lists'!$C$2:$C$616,0))&amp;" | ","")))-3))</f>
        <v>Absorption</v>
      </c>
      <c r="F44" s="28" t="s">
        <v>17</v>
      </c>
      <c r="G44" s="30" t="s">
        <v>180</v>
      </c>
      <c r="H44" s="28">
        <f t="shared" si="0"/>
        <v>2</v>
      </c>
      <c r="I44" s="31" t="str">
        <f t="shared" si="1"/>
        <v>Gemini + YAKE</v>
      </c>
      <c r="K44" s="32" t="s">
        <v>179</v>
      </c>
      <c r="L44" s="32"/>
      <c r="M44" s="32"/>
      <c r="N44" s="32"/>
      <c r="O44" s="32"/>
      <c r="P44" s="32"/>
    </row>
    <row r="45" spans="1:16" ht="26.4" x14ac:dyDescent="0.3">
      <c r="A45" s="28">
        <v>44</v>
      </c>
      <c r="B45" s="29" t="s">
        <v>181</v>
      </c>
      <c r="C45" s="30" t="str">
        <f>IF(LEN(IF(K45="","",IFERROR(INDEX('Raw lists'!$A$2:$A$192,MATCH(K45,'Raw lists'!$A$2:$A$192,0))&amp;" | ",""))&amp;IF(L45="","",IFERROR(INDEX('Raw lists'!$A$2:$A$192,MATCH(L45,'Raw lists'!$A$2:$A$192,0))&amp;" | ",""))&amp;IF(M45="","",IFERROR(INDEX('Raw lists'!$A$2:$A$192,MATCH(M45,'Raw lists'!$A$2:$A$192,0))&amp;" | ",""))&amp;IF(N45="","",IFERROR(INDEX('Raw lists'!$A$2:$A$192,MATCH(N45,'Raw lists'!$A$2:$A$192,0))&amp;" | ",""))&amp;IF(O45="","",IFERROR(INDEX('Raw lists'!$A$2:$A$192,MATCH(O45,'Raw lists'!$A$2:$A$192,0))&amp;" | ",""))&amp;IF(P45="","",IFERROR(INDEX('Raw lists'!$A$2:$A$192,MATCH(P45,'Raw lists'!$A$2:$A$192,0))&amp;" | ","")))=0,"",LEFT(IF(K45="","",IFERROR(INDEX('Raw lists'!$A$2:$A$192,MATCH(K45,'Raw lists'!$A$2:$A$192,0))&amp;" | ",""))&amp;IF(L45="","",IFERROR(INDEX('Raw lists'!$A$2:$A$192,MATCH(L45,'Raw lists'!$A$2:$A$192,0))&amp;" | ",""))&amp;IF(M45="","",IFERROR(INDEX('Raw lists'!$A$2:$A$192,MATCH(M45,'Raw lists'!$A$2:$A$192,0))&amp;" | ",""))&amp;IF(N45="","",IFERROR(INDEX('Raw lists'!$A$2:$A$192,MATCH(N45,'Raw lists'!$A$2:$A$192,0))&amp;" | ",""))&amp;IF(O45="","",IFERROR(INDEX('Raw lists'!$A$2:$A$192,MATCH(O45,'Raw lists'!$A$2:$A$192,0))&amp;" | ",""))&amp;IF(P45="","",IFERROR(INDEX('Raw lists'!$A$2:$A$192,MATCH(P45,'Raw lists'!$A$2:$A$192,0))&amp;" | ","")),LEN(IF(K45="","",IFERROR(INDEX('Raw lists'!$A$2:$A$192,MATCH(K45,'Raw lists'!$A$2:$A$192,0))&amp;" | ",""))&amp;IF(L45="","",IFERROR(INDEX('Raw lists'!$A$2:$A$192,MATCH(L45,'Raw lists'!$A$2:$A$192,0))&amp;" | ",""))&amp;IF(M45="","",IFERROR(INDEX('Raw lists'!$A$2:$A$192,MATCH(M45,'Raw lists'!$A$2:$A$192,0))&amp;" | ",""))&amp;IF(N45="","",IFERROR(INDEX('Raw lists'!$A$2:$A$192,MATCH(N45,'Raw lists'!$A$2:$A$192,0))&amp;" | ",""))&amp;IF(O45="","",IFERROR(INDEX('Raw lists'!$A$2:$A$192,MATCH(O45,'Raw lists'!$A$2:$A$192,0))&amp;" | ",""))&amp;IF(P45="","",IFERROR(INDEX('Raw lists'!$A$2:$A$192,MATCH(P45,'Raw lists'!$A$2:$A$192,0))&amp;" | ","")))-3))</f>
        <v>Spontaneous Emission</v>
      </c>
      <c r="D45" s="30" t="str">
        <f>IF(LEN(IF(K45="","",IFERROR(INDEX('Raw lists'!$B$2:$B$627,MATCH(K45,'Raw lists'!$B$2:$B$627,0))&amp;" | ",""))&amp;IF(L45="","",IFERROR(INDEX('Raw lists'!$B$2:$B$627,MATCH(L45,'Raw lists'!$B$2:$B$627,0))&amp;" | ",""))&amp;IF(M45="","",IFERROR(INDEX('Raw lists'!$B$2:$B$627,MATCH(M45,'Raw lists'!$B$2:$B$627,0))&amp;" | ",""))&amp;IF(N45="","",IFERROR(INDEX('Raw lists'!$B$2:$B$627,MATCH(N45,'Raw lists'!$B$2:$B$627,0))&amp;" | ",""))&amp;IF(O45="","",IFERROR(INDEX('Raw lists'!$B$2:$B$627,MATCH(O45,'Raw lists'!$B$2:$B$627,0))&amp;" | ",""))&amp;IF(P45="","",IFERROR(INDEX('Raw lists'!$B$2:$B$627,MATCH(P45,'Raw lists'!$B$2:$B$627,0))&amp;" | ","")))=0,"",LEFT(IF(K45="","",IFERROR(INDEX('Raw lists'!$B$2:$B$627,MATCH(K45,'Raw lists'!$B$2:$B$627,0))&amp;" | ",""))&amp;IF(L45="","",IFERROR(INDEX('Raw lists'!$B$2:$B$627,MATCH(L45,'Raw lists'!$B$2:$B$627,0))&amp;" | ",""))&amp;IF(M45="","",IFERROR(INDEX('Raw lists'!$B$2:$B$627,MATCH(M45,'Raw lists'!$B$2:$B$627,0))&amp;" | ",""))&amp;IF(N45="","",IFERROR(INDEX('Raw lists'!$B$2:$B$627,MATCH(N45,'Raw lists'!$B$2:$B$627,0))&amp;" | ",""))&amp;IF(O45="","",IFERROR(INDEX('Raw lists'!$B$2:$B$627,MATCH(O45,'Raw lists'!$B$2:$B$627,0))&amp;" | ",""))&amp;IF(P45="","",IFERROR(INDEX('Raw lists'!$B$2:$B$627,MATCH(P45,'Raw lists'!$B$2:$B$627,0))&amp;" | ","")),LEN(IF(K45="","",IFERROR(INDEX('Raw lists'!$B$2:$B$627,MATCH(K45,'Raw lists'!$B$2:$B$627,0))&amp;" | ",""))&amp;IF(L45="","",IFERROR(INDEX('Raw lists'!$B$2:$B$627,MATCH(L45,'Raw lists'!$B$2:$B$627,0))&amp;" | ",""))&amp;IF(M45="","",IFERROR(INDEX('Raw lists'!$B$2:$B$627,MATCH(M45,'Raw lists'!$B$2:$B$627,0))&amp;" | ",""))&amp;IF(N45="","",IFERROR(INDEX('Raw lists'!$B$2:$B$627,MATCH(N45,'Raw lists'!$B$2:$B$627,0))&amp;" | ",""))&amp;IF(O45="","",IFERROR(INDEX('Raw lists'!$B$2:$B$627,MATCH(O45,'Raw lists'!$B$2:$B$627,0))&amp;" | ",""))&amp;IF(P45="","",IFERROR(INDEX('Raw lists'!$B$2:$B$627,MATCH(P45,'Raw lists'!$B$2:$B$627,0))&amp;" | ","")))-3))</f>
        <v>Spontaneous Emission</v>
      </c>
      <c r="E45" s="30" t="str">
        <f>IF(LEN(IF(K45="","",IFERROR(INDEX('Raw lists'!$C$2:$C$616,MATCH(K45,'Raw lists'!$C$2:$C$616,0))&amp;" | ",""))&amp;IF(L45="","",IFERROR(INDEX('Raw lists'!$C$2:$C$616,MATCH(L45,'Raw lists'!$C$2:$C$616,0))&amp;" | ",""))&amp;IF(M45="","",IFERROR(INDEX('Raw lists'!$C$2:$C$616,MATCH(M45,'Raw lists'!$C$2:$C$616,0))&amp;" | ",""))&amp;IF(N45="","",IFERROR(INDEX('Raw lists'!$C$2:$C$616,MATCH(N45,'Raw lists'!$C$2:$C$616,0))&amp;" | ",""))&amp;IF(O45="","",IFERROR(INDEX('Raw lists'!$C$2:$C$616,MATCH(O45,'Raw lists'!$C$2:$C$616,0))&amp;" | ",""))&amp;IF(P45="","",IFERROR(INDEX('Raw lists'!$C$2:$C$616,MATCH(P45,'Raw lists'!$C$2:$C$616,0))&amp;" | ","")))=0,"",LEFT(IF(K45="","",IFERROR(INDEX('Raw lists'!$C$2:$C$616,MATCH(K45,'Raw lists'!$C$2:$C$616,0))&amp;" | ",""))&amp;IF(L45="","",IFERROR(INDEX('Raw lists'!$C$2:$C$616,MATCH(L45,'Raw lists'!$C$2:$C$616,0))&amp;" | ",""))&amp;IF(M45="","",IFERROR(INDEX('Raw lists'!$C$2:$C$616,MATCH(M45,'Raw lists'!$C$2:$C$616,0))&amp;" | ",""))&amp;IF(N45="","",IFERROR(INDEX('Raw lists'!$C$2:$C$616,MATCH(N45,'Raw lists'!$C$2:$C$616,0))&amp;" | ",""))&amp;IF(O45="","",IFERROR(INDEX('Raw lists'!$C$2:$C$616,MATCH(O45,'Raw lists'!$C$2:$C$616,0))&amp;" | ",""))&amp;IF(P45="","",IFERROR(INDEX('Raw lists'!$C$2:$C$616,MATCH(P45,'Raw lists'!$C$2:$C$616,0))&amp;" | ","")),LEN(IF(K45="","",IFERROR(INDEX('Raw lists'!$C$2:$C$616,MATCH(K45,'Raw lists'!$C$2:$C$616,0))&amp;" | ",""))&amp;IF(L45="","",IFERROR(INDEX('Raw lists'!$C$2:$C$616,MATCH(L45,'Raw lists'!$C$2:$C$616,0))&amp;" | ",""))&amp;IF(M45="","",IFERROR(INDEX('Raw lists'!$C$2:$C$616,MATCH(M45,'Raw lists'!$C$2:$C$616,0))&amp;" | ",""))&amp;IF(N45="","",IFERROR(INDEX('Raw lists'!$C$2:$C$616,MATCH(N45,'Raw lists'!$C$2:$C$616,0))&amp;" | ",""))&amp;IF(O45="","",IFERROR(INDEX('Raw lists'!$C$2:$C$616,MATCH(O45,'Raw lists'!$C$2:$C$616,0))&amp;" | ",""))&amp;IF(P45="","",IFERROR(INDEX('Raw lists'!$C$2:$C$616,MATCH(P45,'Raw lists'!$C$2:$C$616,0))&amp;" | ","")))-3))</f>
        <v>Spontaneous Emission</v>
      </c>
      <c r="F45" s="28" t="s">
        <v>17</v>
      </c>
      <c r="G45" s="30" t="s">
        <v>182</v>
      </c>
      <c r="H45" s="28">
        <f t="shared" si="0"/>
        <v>3</v>
      </c>
      <c r="I45" s="31" t="str">
        <f t="shared" si="1"/>
        <v>All three</v>
      </c>
      <c r="K45" s="32" t="s">
        <v>183</v>
      </c>
      <c r="L45" s="32"/>
      <c r="M45" s="32"/>
      <c r="N45" s="32"/>
      <c r="O45" s="32"/>
      <c r="P45" s="32"/>
    </row>
    <row r="46" spans="1:16" ht="26.4" x14ac:dyDescent="0.3">
      <c r="A46" s="28">
        <v>45</v>
      </c>
      <c r="B46" s="29" t="s">
        <v>184</v>
      </c>
      <c r="C46" s="30" t="str">
        <f>IF(LEN(IF(K46="","",IFERROR(INDEX('Raw lists'!$A$2:$A$192,MATCH(K46,'Raw lists'!$A$2:$A$192,0))&amp;" | ",""))&amp;IF(L46="","",IFERROR(INDEX('Raw lists'!$A$2:$A$192,MATCH(L46,'Raw lists'!$A$2:$A$192,0))&amp;" | ",""))&amp;IF(M46="","",IFERROR(INDEX('Raw lists'!$A$2:$A$192,MATCH(M46,'Raw lists'!$A$2:$A$192,0))&amp;" | ",""))&amp;IF(N46="","",IFERROR(INDEX('Raw lists'!$A$2:$A$192,MATCH(N46,'Raw lists'!$A$2:$A$192,0))&amp;" | ",""))&amp;IF(O46="","",IFERROR(INDEX('Raw lists'!$A$2:$A$192,MATCH(O46,'Raw lists'!$A$2:$A$192,0))&amp;" | ",""))&amp;IF(P46="","",IFERROR(INDEX('Raw lists'!$A$2:$A$192,MATCH(P46,'Raw lists'!$A$2:$A$192,0))&amp;" | ","")))=0,"",LEFT(IF(K46="","",IFERROR(INDEX('Raw lists'!$A$2:$A$192,MATCH(K46,'Raw lists'!$A$2:$A$192,0))&amp;" | ",""))&amp;IF(L46="","",IFERROR(INDEX('Raw lists'!$A$2:$A$192,MATCH(L46,'Raw lists'!$A$2:$A$192,0))&amp;" | ",""))&amp;IF(M46="","",IFERROR(INDEX('Raw lists'!$A$2:$A$192,MATCH(M46,'Raw lists'!$A$2:$A$192,0))&amp;" | ",""))&amp;IF(N46="","",IFERROR(INDEX('Raw lists'!$A$2:$A$192,MATCH(N46,'Raw lists'!$A$2:$A$192,0))&amp;" | ",""))&amp;IF(O46="","",IFERROR(INDEX('Raw lists'!$A$2:$A$192,MATCH(O46,'Raw lists'!$A$2:$A$192,0))&amp;" | ",""))&amp;IF(P46="","",IFERROR(INDEX('Raw lists'!$A$2:$A$192,MATCH(P46,'Raw lists'!$A$2:$A$192,0))&amp;" | ","")),LEN(IF(K46="","",IFERROR(INDEX('Raw lists'!$A$2:$A$192,MATCH(K46,'Raw lists'!$A$2:$A$192,0))&amp;" | ",""))&amp;IF(L46="","",IFERROR(INDEX('Raw lists'!$A$2:$A$192,MATCH(L46,'Raw lists'!$A$2:$A$192,0))&amp;" | ",""))&amp;IF(M46="","",IFERROR(INDEX('Raw lists'!$A$2:$A$192,MATCH(M46,'Raw lists'!$A$2:$A$192,0))&amp;" | ",""))&amp;IF(N46="","",IFERROR(INDEX('Raw lists'!$A$2:$A$192,MATCH(N46,'Raw lists'!$A$2:$A$192,0))&amp;" | ",""))&amp;IF(O46="","",IFERROR(INDEX('Raw lists'!$A$2:$A$192,MATCH(O46,'Raw lists'!$A$2:$A$192,0))&amp;" | ",""))&amp;IF(P46="","",IFERROR(INDEX('Raw lists'!$A$2:$A$192,MATCH(P46,'Raw lists'!$A$2:$A$192,0))&amp;" | ","")))-3))</f>
        <v>Stimulated Emission</v>
      </c>
      <c r="D46" s="30" t="str">
        <f>IF(LEN(IF(K46="","",IFERROR(INDEX('Raw lists'!$B$2:$B$627,MATCH(K46,'Raw lists'!$B$2:$B$627,0))&amp;" | ",""))&amp;IF(L46="","",IFERROR(INDEX('Raw lists'!$B$2:$B$627,MATCH(L46,'Raw lists'!$B$2:$B$627,0))&amp;" | ",""))&amp;IF(M46="","",IFERROR(INDEX('Raw lists'!$B$2:$B$627,MATCH(M46,'Raw lists'!$B$2:$B$627,0))&amp;" | ",""))&amp;IF(N46="","",IFERROR(INDEX('Raw lists'!$B$2:$B$627,MATCH(N46,'Raw lists'!$B$2:$B$627,0))&amp;" | ",""))&amp;IF(O46="","",IFERROR(INDEX('Raw lists'!$B$2:$B$627,MATCH(O46,'Raw lists'!$B$2:$B$627,0))&amp;" | ",""))&amp;IF(P46="","",IFERROR(INDEX('Raw lists'!$B$2:$B$627,MATCH(P46,'Raw lists'!$B$2:$B$627,0))&amp;" | ","")))=0,"",LEFT(IF(K46="","",IFERROR(INDEX('Raw lists'!$B$2:$B$627,MATCH(K46,'Raw lists'!$B$2:$B$627,0))&amp;" | ",""))&amp;IF(L46="","",IFERROR(INDEX('Raw lists'!$B$2:$B$627,MATCH(L46,'Raw lists'!$B$2:$B$627,0))&amp;" | ",""))&amp;IF(M46="","",IFERROR(INDEX('Raw lists'!$B$2:$B$627,MATCH(M46,'Raw lists'!$B$2:$B$627,0))&amp;" | ",""))&amp;IF(N46="","",IFERROR(INDEX('Raw lists'!$B$2:$B$627,MATCH(N46,'Raw lists'!$B$2:$B$627,0))&amp;" | ",""))&amp;IF(O46="","",IFERROR(INDEX('Raw lists'!$B$2:$B$627,MATCH(O46,'Raw lists'!$B$2:$B$627,0))&amp;" | ",""))&amp;IF(P46="","",IFERROR(INDEX('Raw lists'!$B$2:$B$627,MATCH(P46,'Raw lists'!$B$2:$B$627,0))&amp;" | ","")),LEN(IF(K46="","",IFERROR(INDEX('Raw lists'!$B$2:$B$627,MATCH(K46,'Raw lists'!$B$2:$B$627,0))&amp;" | ",""))&amp;IF(L46="","",IFERROR(INDEX('Raw lists'!$B$2:$B$627,MATCH(L46,'Raw lists'!$B$2:$B$627,0))&amp;" | ",""))&amp;IF(M46="","",IFERROR(INDEX('Raw lists'!$B$2:$B$627,MATCH(M46,'Raw lists'!$B$2:$B$627,0))&amp;" | ",""))&amp;IF(N46="","",IFERROR(INDEX('Raw lists'!$B$2:$B$627,MATCH(N46,'Raw lists'!$B$2:$B$627,0))&amp;" | ",""))&amp;IF(O46="","",IFERROR(INDEX('Raw lists'!$B$2:$B$627,MATCH(O46,'Raw lists'!$B$2:$B$627,0))&amp;" | ",""))&amp;IF(P46="","",IFERROR(INDEX('Raw lists'!$B$2:$B$627,MATCH(P46,'Raw lists'!$B$2:$B$627,0))&amp;" | ","")))-3))</f>
        <v>Stimulated Emission</v>
      </c>
      <c r="E46" s="30" t="str">
        <f>IF(LEN(IF(K46="","",IFERROR(INDEX('Raw lists'!$C$2:$C$616,MATCH(K46,'Raw lists'!$C$2:$C$616,0))&amp;" | ",""))&amp;IF(L46="","",IFERROR(INDEX('Raw lists'!$C$2:$C$616,MATCH(L46,'Raw lists'!$C$2:$C$616,0))&amp;" | ",""))&amp;IF(M46="","",IFERROR(INDEX('Raw lists'!$C$2:$C$616,MATCH(M46,'Raw lists'!$C$2:$C$616,0))&amp;" | ",""))&amp;IF(N46="","",IFERROR(INDEX('Raw lists'!$C$2:$C$616,MATCH(N46,'Raw lists'!$C$2:$C$616,0))&amp;" | ",""))&amp;IF(O46="","",IFERROR(INDEX('Raw lists'!$C$2:$C$616,MATCH(O46,'Raw lists'!$C$2:$C$616,0))&amp;" | ",""))&amp;IF(P46="","",IFERROR(INDEX('Raw lists'!$C$2:$C$616,MATCH(P46,'Raw lists'!$C$2:$C$616,0))&amp;" | ","")))=0,"",LEFT(IF(K46="","",IFERROR(INDEX('Raw lists'!$C$2:$C$616,MATCH(K46,'Raw lists'!$C$2:$C$616,0))&amp;" | ",""))&amp;IF(L46="","",IFERROR(INDEX('Raw lists'!$C$2:$C$616,MATCH(L46,'Raw lists'!$C$2:$C$616,0))&amp;" | ",""))&amp;IF(M46="","",IFERROR(INDEX('Raw lists'!$C$2:$C$616,MATCH(M46,'Raw lists'!$C$2:$C$616,0))&amp;" | ",""))&amp;IF(N46="","",IFERROR(INDEX('Raw lists'!$C$2:$C$616,MATCH(N46,'Raw lists'!$C$2:$C$616,0))&amp;" | ",""))&amp;IF(O46="","",IFERROR(INDEX('Raw lists'!$C$2:$C$616,MATCH(O46,'Raw lists'!$C$2:$C$616,0))&amp;" | ",""))&amp;IF(P46="","",IFERROR(INDEX('Raw lists'!$C$2:$C$616,MATCH(P46,'Raw lists'!$C$2:$C$616,0))&amp;" | ","")),LEN(IF(K46="","",IFERROR(INDEX('Raw lists'!$C$2:$C$616,MATCH(K46,'Raw lists'!$C$2:$C$616,0))&amp;" | ",""))&amp;IF(L46="","",IFERROR(INDEX('Raw lists'!$C$2:$C$616,MATCH(L46,'Raw lists'!$C$2:$C$616,0))&amp;" | ",""))&amp;IF(M46="","",IFERROR(INDEX('Raw lists'!$C$2:$C$616,MATCH(M46,'Raw lists'!$C$2:$C$616,0))&amp;" | ",""))&amp;IF(N46="","",IFERROR(INDEX('Raw lists'!$C$2:$C$616,MATCH(N46,'Raw lists'!$C$2:$C$616,0))&amp;" | ",""))&amp;IF(O46="","",IFERROR(INDEX('Raw lists'!$C$2:$C$616,MATCH(O46,'Raw lists'!$C$2:$C$616,0))&amp;" | ",""))&amp;IF(P46="","",IFERROR(INDEX('Raw lists'!$C$2:$C$616,MATCH(P46,'Raw lists'!$C$2:$C$616,0))&amp;" | ","")))-3))</f>
        <v>Stimulated Emission</v>
      </c>
      <c r="F46" s="28" t="s">
        <v>17</v>
      </c>
      <c r="G46" s="30" t="s">
        <v>185</v>
      </c>
      <c r="H46" s="28">
        <f t="shared" si="0"/>
        <v>3</v>
      </c>
      <c r="I46" s="31" t="str">
        <f t="shared" si="1"/>
        <v>All three</v>
      </c>
      <c r="K46" s="32" t="s">
        <v>186</v>
      </c>
      <c r="L46" s="32"/>
      <c r="M46" s="32"/>
      <c r="N46" s="32"/>
      <c r="O46" s="32"/>
      <c r="P46" s="32"/>
    </row>
    <row r="47" spans="1:16" x14ac:dyDescent="0.3">
      <c r="A47" s="28">
        <v>46</v>
      </c>
      <c r="B47" s="29" t="s">
        <v>187</v>
      </c>
      <c r="C47" s="30" t="str">
        <f>IF(LEN(IF(K47="","",IFERROR(INDEX('Raw lists'!$A$2:$A$192,MATCH(K47,'Raw lists'!$A$2:$A$192,0))&amp;" | ",""))&amp;IF(L47="","",IFERROR(INDEX('Raw lists'!$A$2:$A$192,MATCH(L47,'Raw lists'!$A$2:$A$192,0))&amp;" | ",""))&amp;IF(M47="","",IFERROR(INDEX('Raw lists'!$A$2:$A$192,MATCH(M47,'Raw lists'!$A$2:$A$192,0))&amp;" | ",""))&amp;IF(N47="","",IFERROR(INDEX('Raw lists'!$A$2:$A$192,MATCH(N47,'Raw lists'!$A$2:$A$192,0))&amp;" | ",""))&amp;IF(O47="","",IFERROR(INDEX('Raw lists'!$A$2:$A$192,MATCH(O47,'Raw lists'!$A$2:$A$192,0))&amp;" | ",""))&amp;IF(P47="","",IFERROR(INDEX('Raw lists'!$A$2:$A$192,MATCH(P47,'Raw lists'!$A$2:$A$192,0))&amp;" | ","")))=0,"",LEFT(IF(K47="","",IFERROR(INDEX('Raw lists'!$A$2:$A$192,MATCH(K47,'Raw lists'!$A$2:$A$192,0))&amp;" | ",""))&amp;IF(L47="","",IFERROR(INDEX('Raw lists'!$A$2:$A$192,MATCH(L47,'Raw lists'!$A$2:$A$192,0))&amp;" | ",""))&amp;IF(M47="","",IFERROR(INDEX('Raw lists'!$A$2:$A$192,MATCH(M47,'Raw lists'!$A$2:$A$192,0))&amp;" | ",""))&amp;IF(N47="","",IFERROR(INDEX('Raw lists'!$A$2:$A$192,MATCH(N47,'Raw lists'!$A$2:$A$192,0))&amp;" | ",""))&amp;IF(O47="","",IFERROR(INDEX('Raw lists'!$A$2:$A$192,MATCH(O47,'Raw lists'!$A$2:$A$192,0))&amp;" | ",""))&amp;IF(P47="","",IFERROR(INDEX('Raw lists'!$A$2:$A$192,MATCH(P47,'Raw lists'!$A$2:$A$192,0))&amp;" | ","")),LEN(IF(K47="","",IFERROR(INDEX('Raw lists'!$A$2:$A$192,MATCH(K47,'Raw lists'!$A$2:$A$192,0))&amp;" | ",""))&amp;IF(L47="","",IFERROR(INDEX('Raw lists'!$A$2:$A$192,MATCH(L47,'Raw lists'!$A$2:$A$192,0))&amp;" | ",""))&amp;IF(M47="","",IFERROR(INDEX('Raw lists'!$A$2:$A$192,MATCH(M47,'Raw lists'!$A$2:$A$192,0))&amp;" | ",""))&amp;IF(N47="","",IFERROR(INDEX('Raw lists'!$A$2:$A$192,MATCH(N47,'Raw lists'!$A$2:$A$192,0))&amp;" | ",""))&amp;IF(O47="","",IFERROR(INDEX('Raw lists'!$A$2:$A$192,MATCH(O47,'Raw lists'!$A$2:$A$192,0))&amp;" | ",""))&amp;IF(P47="","",IFERROR(INDEX('Raw lists'!$A$2:$A$192,MATCH(P47,'Raw lists'!$A$2:$A$192,0))&amp;" | ","")))-3))</f>
        <v>Population Inversion</v>
      </c>
      <c r="D47" s="30" t="str">
        <f>IF(LEN(IF(K47="","",IFERROR(INDEX('Raw lists'!$B$2:$B$627,MATCH(K47,'Raw lists'!$B$2:$B$627,0))&amp;" | ",""))&amp;IF(L47="","",IFERROR(INDEX('Raw lists'!$B$2:$B$627,MATCH(L47,'Raw lists'!$B$2:$B$627,0))&amp;" | ",""))&amp;IF(M47="","",IFERROR(INDEX('Raw lists'!$B$2:$B$627,MATCH(M47,'Raw lists'!$B$2:$B$627,0))&amp;" | ",""))&amp;IF(N47="","",IFERROR(INDEX('Raw lists'!$B$2:$B$627,MATCH(N47,'Raw lists'!$B$2:$B$627,0))&amp;" | ",""))&amp;IF(O47="","",IFERROR(INDEX('Raw lists'!$B$2:$B$627,MATCH(O47,'Raw lists'!$B$2:$B$627,0))&amp;" | ",""))&amp;IF(P47="","",IFERROR(INDEX('Raw lists'!$B$2:$B$627,MATCH(P47,'Raw lists'!$B$2:$B$627,0))&amp;" | ","")))=0,"",LEFT(IF(K47="","",IFERROR(INDEX('Raw lists'!$B$2:$B$627,MATCH(K47,'Raw lists'!$B$2:$B$627,0))&amp;" | ",""))&amp;IF(L47="","",IFERROR(INDEX('Raw lists'!$B$2:$B$627,MATCH(L47,'Raw lists'!$B$2:$B$627,0))&amp;" | ",""))&amp;IF(M47="","",IFERROR(INDEX('Raw lists'!$B$2:$B$627,MATCH(M47,'Raw lists'!$B$2:$B$627,0))&amp;" | ",""))&amp;IF(N47="","",IFERROR(INDEX('Raw lists'!$B$2:$B$627,MATCH(N47,'Raw lists'!$B$2:$B$627,0))&amp;" | ",""))&amp;IF(O47="","",IFERROR(INDEX('Raw lists'!$B$2:$B$627,MATCH(O47,'Raw lists'!$B$2:$B$627,0))&amp;" | ",""))&amp;IF(P47="","",IFERROR(INDEX('Raw lists'!$B$2:$B$627,MATCH(P47,'Raw lists'!$B$2:$B$627,0))&amp;" | ","")),LEN(IF(K47="","",IFERROR(INDEX('Raw lists'!$B$2:$B$627,MATCH(K47,'Raw lists'!$B$2:$B$627,0))&amp;" | ",""))&amp;IF(L47="","",IFERROR(INDEX('Raw lists'!$B$2:$B$627,MATCH(L47,'Raw lists'!$B$2:$B$627,0))&amp;" | ",""))&amp;IF(M47="","",IFERROR(INDEX('Raw lists'!$B$2:$B$627,MATCH(M47,'Raw lists'!$B$2:$B$627,0))&amp;" | ",""))&amp;IF(N47="","",IFERROR(INDEX('Raw lists'!$B$2:$B$627,MATCH(N47,'Raw lists'!$B$2:$B$627,0))&amp;" | ",""))&amp;IF(O47="","",IFERROR(INDEX('Raw lists'!$B$2:$B$627,MATCH(O47,'Raw lists'!$B$2:$B$627,0))&amp;" | ",""))&amp;IF(P47="","",IFERROR(INDEX('Raw lists'!$B$2:$B$627,MATCH(P47,'Raw lists'!$B$2:$B$627,0))&amp;" | ","")))-3))</f>
        <v>Population Inversion</v>
      </c>
      <c r="E47" s="30" t="str">
        <f>IF(LEN(IF(K47="","",IFERROR(INDEX('Raw lists'!$C$2:$C$616,MATCH(K47,'Raw lists'!$C$2:$C$616,0))&amp;" | ",""))&amp;IF(L47="","",IFERROR(INDEX('Raw lists'!$C$2:$C$616,MATCH(L47,'Raw lists'!$C$2:$C$616,0))&amp;" | ",""))&amp;IF(M47="","",IFERROR(INDEX('Raw lists'!$C$2:$C$616,MATCH(M47,'Raw lists'!$C$2:$C$616,0))&amp;" | ",""))&amp;IF(N47="","",IFERROR(INDEX('Raw lists'!$C$2:$C$616,MATCH(N47,'Raw lists'!$C$2:$C$616,0))&amp;" | ",""))&amp;IF(O47="","",IFERROR(INDEX('Raw lists'!$C$2:$C$616,MATCH(O47,'Raw lists'!$C$2:$C$616,0))&amp;" | ",""))&amp;IF(P47="","",IFERROR(INDEX('Raw lists'!$C$2:$C$616,MATCH(P47,'Raw lists'!$C$2:$C$616,0))&amp;" | ","")))=0,"",LEFT(IF(K47="","",IFERROR(INDEX('Raw lists'!$C$2:$C$616,MATCH(K47,'Raw lists'!$C$2:$C$616,0))&amp;" | ",""))&amp;IF(L47="","",IFERROR(INDEX('Raw lists'!$C$2:$C$616,MATCH(L47,'Raw lists'!$C$2:$C$616,0))&amp;" | ",""))&amp;IF(M47="","",IFERROR(INDEX('Raw lists'!$C$2:$C$616,MATCH(M47,'Raw lists'!$C$2:$C$616,0))&amp;" | ",""))&amp;IF(N47="","",IFERROR(INDEX('Raw lists'!$C$2:$C$616,MATCH(N47,'Raw lists'!$C$2:$C$616,0))&amp;" | ",""))&amp;IF(O47="","",IFERROR(INDEX('Raw lists'!$C$2:$C$616,MATCH(O47,'Raw lists'!$C$2:$C$616,0))&amp;" | ",""))&amp;IF(P47="","",IFERROR(INDEX('Raw lists'!$C$2:$C$616,MATCH(P47,'Raw lists'!$C$2:$C$616,0))&amp;" | ","")),LEN(IF(K47="","",IFERROR(INDEX('Raw lists'!$C$2:$C$616,MATCH(K47,'Raw lists'!$C$2:$C$616,0))&amp;" | ",""))&amp;IF(L47="","",IFERROR(INDEX('Raw lists'!$C$2:$C$616,MATCH(L47,'Raw lists'!$C$2:$C$616,0))&amp;" | ",""))&amp;IF(M47="","",IFERROR(INDEX('Raw lists'!$C$2:$C$616,MATCH(M47,'Raw lists'!$C$2:$C$616,0))&amp;" | ",""))&amp;IF(N47="","",IFERROR(INDEX('Raw lists'!$C$2:$C$616,MATCH(N47,'Raw lists'!$C$2:$C$616,0))&amp;" | ",""))&amp;IF(O47="","",IFERROR(INDEX('Raw lists'!$C$2:$C$616,MATCH(O47,'Raw lists'!$C$2:$C$616,0))&amp;" | ",""))&amp;IF(P47="","",IFERROR(INDEX('Raw lists'!$C$2:$C$616,MATCH(P47,'Raw lists'!$C$2:$C$616,0))&amp;" | ","")))-3))</f>
        <v>Population Inversion</v>
      </c>
      <c r="F47" s="28" t="s">
        <v>17</v>
      </c>
      <c r="G47" s="30" t="s">
        <v>188</v>
      </c>
      <c r="H47" s="28">
        <f t="shared" si="0"/>
        <v>3</v>
      </c>
      <c r="I47" s="31" t="str">
        <f t="shared" si="1"/>
        <v>All three</v>
      </c>
      <c r="K47" s="32" t="s">
        <v>189</v>
      </c>
      <c r="L47" s="32"/>
      <c r="M47" s="32"/>
      <c r="N47" s="32"/>
      <c r="O47" s="32"/>
      <c r="P47" s="32"/>
    </row>
    <row r="48" spans="1:16" ht="26.4" x14ac:dyDescent="0.3">
      <c r="A48" s="28">
        <v>47</v>
      </c>
      <c r="B48" s="29" t="s">
        <v>190</v>
      </c>
      <c r="C48" s="30" t="str">
        <f>IF(LEN(IF(K48="","",IFERROR(INDEX('Raw lists'!$A$2:$A$192,MATCH(K48,'Raw lists'!$A$2:$A$192,0))&amp;" | ",""))&amp;IF(L48="","",IFERROR(INDEX('Raw lists'!$A$2:$A$192,MATCH(L48,'Raw lists'!$A$2:$A$192,0))&amp;" | ",""))&amp;IF(M48="","",IFERROR(INDEX('Raw lists'!$A$2:$A$192,MATCH(M48,'Raw lists'!$A$2:$A$192,0))&amp;" | ",""))&amp;IF(N48="","",IFERROR(INDEX('Raw lists'!$A$2:$A$192,MATCH(N48,'Raw lists'!$A$2:$A$192,0))&amp;" | ",""))&amp;IF(O48="","",IFERROR(INDEX('Raw lists'!$A$2:$A$192,MATCH(O48,'Raw lists'!$A$2:$A$192,0))&amp;" | ",""))&amp;IF(P48="","",IFERROR(INDEX('Raw lists'!$A$2:$A$192,MATCH(P48,'Raw lists'!$A$2:$A$192,0))&amp;" | ","")))=0,"",LEFT(IF(K48="","",IFERROR(INDEX('Raw lists'!$A$2:$A$192,MATCH(K48,'Raw lists'!$A$2:$A$192,0))&amp;" | ",""))&amp;IF(L48="","",IFERROR(INDEX('Raw lists'!$A$2:$A$192,MATCH(L48,'Raw lists'!$A$2:$A$192,0))&amp;" | ",""))&amp;IF(M48="","",IFERROR(INDEX('Raw lists'!$A$2:$A$192,MATCH(M48,'Raw lists'!$A$2:$A$192,0))&amp;" | ",""))&amp;IF(N48="","",IFERROR(INDEX('Raw lists'!$A$2:$A$192,MATCH(N48,'Raw lists'!$A$2:$A$192,0))&amp;" | ",""))&amp;IF(O48="","",IFERROR(INDEX('Raw lists'!$A$2:$A$192,MATCH(O48,'Raw lists'!$A$2:$A$192,0))&amp;" | ",""))&amp;IF(P48="","",IFERROR(INDEX('Raw lists'!$A$2:$A$192,MATCH(P48,'Raw lists'!$A$2:$A$192,0))&amp;" | ","")),LEN(IF(K48="","",IFERROR(INDEX('Raw lists'!$A$2:$A$192,MATCH(K48,'Raw lists'!$A$2:$A$192,0))&amp;" | ",""))&amp;IF(L48="","",IFERROR(INDEX('Raw lists'!$A$2:$A$192,MATCH(L48,'Raw lists'!$A$2:$A$192,0))&amp;" | ",""))&amp;IF(M48="","",IFERROR(INDEX('Raw lists'!$A$2:$A$192,MATCH(M48,'Raw lists'!$A$2:$A$192,0))&amp;" | ",""))&amp;IF(N48="","",IFERROR(INDEX('Raw lists'!$A$2:$A$192,MATCH(N48,'Raw lists'!$A$2:$A$192,0))&amp;" | ",""))&amp;IF(O48="","",IFERROR(INDEX('Raw lists'!$A$2:$A$192,MATCH(O48,'Raw lists'!$A$2:$A$192,0))&amp;" | ",""))&amp;IF(P48="","",IFERROR(INDEX('Raw lists'!$A$2:$A$192,MATCH(P48,'Raw lists'!$A$2:$A$192,0))&amp;" | ","")))-3))</f>
        <v/>
      </c>
      <c r="D48" s="30" t="str">
        <f>IF(LEN(IF(K48="","",IFERROR(INDEX('Raw lists'!$B$2:$B$627,MATCH(K48,'Raw lists'!$B$2:$B$627,0))&amp;" | ",""))&amp;IF(L48="","",IFERROR(INDEX('Raw lists'!$B$2:$B$627,MATCH(L48,'Raw lists'!$B$2:$B$627,0))&amp;" | ",""))&amp;IF(M48="","",IFERROR(INDEX('Raw lists'!$B$2:$B$627,MATCH(M48,'Raw lists'!$B$2:$B$627,0))&amp;" | ",""))&amp;IF(N48="","",IFERROR(INDEX('Raw lists'!$B$2:$B$627,MATCH(N48,'Raw lists'!$B$2:$B$627,0))&amp;" | ",""))&amp;IF(O48="","",IFERROR(INDEX('Raw lists'!$B$2:$B$627,MATCH(O48,'Raw lists'!$B$2:$B$627,0))&amp;" | ",""))&amp;IF(P48="","",IFERROR(INDEX('Raw lists'!$B$2:$B$627,MATCH(P48,'Raw lists'!$B$2:$B$627,0))&amp;" | ","")))=0,"",LEFT(IF(K48="","",IFERROR(INDEX('Raw lists'!$B$2:$B$627,MATCH(K48,'Raw lists'!$B$2:$B$627,0))&amp;" | ",""))&amp;IF(L48="","",IFERROR(INDEX('Raw lists'!$B$2:$B$627,MATCH(L48,'Raw lists'!$B$2:$B$627,0))&amp;" | ",""))&amp;IF(M48="","",IFERROR(INDEX('Raw lists'!$B$2:$B$627,MATCH(M48,'Raw lists'!$B$2:$B$627,0))&amp;" | ",""))&amp;IF(N48="","",IFERROR(INDEX('Raw lists'!$B$2:$B$627,MATCH(N48,'Raw lists'!$B$2:$B$627,0))&amp;" | ",""))&amp;IF(O48="","",IFERROR(INDEX('Raw lists'!$B$2:$B$627,MATCH(O48,'Raw lists'!$B$2:$B$627,0))&amp;" | ",""))&amp;IF(P48="","",IFERROR(INDEX('Raw lists'!$B$2:$B$627,MATCH(P48,'Raw lists'!$B$2:$B$627,0))&amp;" | ","")),LEN(IF(K48="","",IFERROR(INDEX('Raw lists'!$B$2:$B$627,MATCH(K48,'Raw lists'!$B$2:$B$627,0))&amp;" | ",""))&amp;IF(L48="","",IFERROR(INDEX('Raw lists'!$B$2:$B$627,MATCH(L48,'Raw lists'!$B$2:$B$627,0))&amp;" | ",""))&amp;IF(M48="","",IFERROR(INDEX('Raw lists'!$B$2:$B$627,MATCH(M48,'Raw lists'!$B$2:$B$627,0))&amp;" | ",""))&amp;IF(N48="","",IFERROR(INDEX('Raw lists'!$B$2:$B$627,MATCH(N48,'Raw lists'!$B$2:$B$627,0))&amp;" | ",""))&amp;IF(O48="","",IFERROR(INDEX('Raw lists'!$B$2:$B$627,MATCH(O48,'Raw lists'!$B$2:$B$627,0))&amp;" | ",""))&amp;IF(P48="","",IFERROR(INDEX('Raw lists'!$B$2:$B$627,MATCH(P48,'Raw lists'!$B$2:$B$627,0))&amp;" | ","")))-3))</f>
        <v/>
      </c>
      <c r="E48" s="30" t="str">
        <f>IF(LEN(IF(K48="","",IFERROR(INDEX('Raw lists'!$C$2:$C$616,MATCH(K48,'Raw lists'!$C$2:$C$616,0))&amp;" | ",""))&amp;IF(L48="","",IFERROR(INDEX('Raw lists'!$C$2:$C$616,MATCH(L48,'Raw lists'!$C$2:$C$616,0))&amp;" | ",""))&amp;IF(M48="","",IFERROR(INDEX('Raw lists'!$C$2:$C$616,MATCH(M48,'Raw lists'!$C$2:$C$616,0))&amp;" | ",""))&amp;IF(N48="","",IFERROR(INDEX('Raw lists'!$C$2:$C$616,MATCH(N48,'Raw lists'!$C$2:$C$616,0))&amp;" | ",""))&amp;IF(O48="","",IFERROR(INDEX('Raw lists'!$C$2:$C$616,MATCH(O48,'Raw lists'!$C$2:$C$616,0))&amp;" | ",""))&amp;IF(P48="","",IFERROR(INDEX('Raw lists'!$C$2:$C$616,MATCH(P48,'Raw lists'!$C$2:$C$616,0))&amp;" | ","")))=0,"",LEFT(IF(K48="","",IFERROR(INDEX('Raw lists'!$C$2:$C$616,MATCH(K48,'Raw lists'!$C$2:$C$616,0))&amp;" | ",""))&amp;IF(L48="","",IFERROR(INDEX('Raw lists'!$C$2:$C$616,MATCH(L48,'Raw lists'!$C$2:$C$616,0))&amp;" | ",""))&amp;IF(M48="","",IFERROR(INDEX('Raw lists'!$C$2:$C$616,MATCH(M48,'Raw lists'!$C$2:$C$616,0))&amp;" | ",""))&amp;IF(N48="","",IFERROR(INDEX('Raw lists'!$C$2:$C$616,MATCH(N48,'Raw lists'!$C$2:$C$616,0))&amp;" | ",""))&amp;IF(O48="","",IFERROR(INDEX('Raw lists'!$C$2:$C$616,MATCH(O48,'Raw lists'!$C$2:$C$616,0))&amp;" | ",""))&amp;IF(P48="","",IFERROR(INDEX('Raw lists'!$C$2:$C$616,MATCH(P48,'Raw lists'!$C$2:$C$616,0))&amp;" | ","")),LEN(IF(K48="","",IFERROR(INDEX('Raw lists'!$C$2:$C$616,MATCH(K48,'Raw lists'!$C$2:$C$616,0))&amp;" | ",""))&amp;IF(L48="","",IFERROR(INDEX('Raw lists'!$C$2:$C$616,MATCH(L48,'Raw lists'!$C$2:$C$616,0))&amp;" | ",""))&amp;IF(M48="","",IFERROR(INDEX('Raw lists'!$C$2:$C$616,MATCH(M48,'Raw lists'!$C$2:$C$616,0))&amp;" | ",""))&amp;IF(N48="","",IFERROR(INDEX('Raw lists'!$C$2:$C$616,MATCH(N48,'Raw lists'!$C$2:$C$616,0))&amp;" | ",""))&amp;IF(O48="","",IFERROR(INDEX('Raw lists'!$C$2:$C$616,MATCH(O48,'Raw lists'!$C$2:$C$616,0))&amp;" | ",""))&amp;IF(P48="","",IFERROR(INDEX('Raw lists'!$C$2:$C$616,MATCH(P48,'Raw lists'!$C$2:$C$616,0))&amp;" | ","")))-3))</f>
        <v>Negative Temperature States</v>
      </c>
      <c r="F48" s="28" t="s">
        <v>17</v>
      </c>
      <c r="G48" s="30" t="s">
        <v>191</v>
      </c>
      <c r="H48" s="28">
        <f t="shared" si="0"/>
        <v>1</v>
      </c>
      <c r="I48" s="31" t="str">
        <f t="shared" si="1"/>
        <v>Only YAKE</v>
      </c>
      <c r="K48" s="32" t="s">
        <v>192</v>
      </c>
      <c r="L48" s="32"/>
      <c r="M48" s="32"/>
      <c r="N48" s="32"/>
      <c r="O48" s="32"/>
      <c r="P48" s="32"/>
    </row>
    <row r="49" spans="1:16" ht="26.4" x14ac:dyDescent="0.3">
      <c r="A49" s="28">
        <v>48</v>
      </c>
      <c r="B49" s="29" t="s">
        <v>193</v>
      </c>
      <c r="C49" s="30" t="str">
        <f>IF(LEN(IF(K49="","",IFERROR(INDEX('Raw lists'!$A$2:$A$192,MATCH(K49,'Raw lists'!$A$2:$A$192,0))&amp;" | ",""))&amp;IF(L49="","",IFERROR(INDEX('Raw lists'!$A$2:$A$192,MATCH(L49,'Raw lists'!$A$2:$A$192,0))&amp;" | ",""))&amp;IF(M49="","",IFERROR(INDEX('Raw lists'!$A$2:$A$192,MATCH(M49,'Raw lists'!$A$2:$A$192,0))&amp;" | ",""))&amp;IF(N49="","",IFERROR(INDEX('Raw lists'!$A$2:$A$192,MATCH(N49,'Raw lists'!$A$2:$A$192,0))&amp;" | ",""))&amp;IF(O49="","",IFERROR(INDEX('Raw lists'!$A$2:$A$192,MATCH(O49,'Raw lists'!$A$2:$A$192,0))&amp;" | ",""))&amp;IF(P49="","",IFERROR(INDEX('Raw lists'!$A$2:$A$192,MATCH(P49,'Raw lists'!$A$2:$A$192,0))&amp;" | ","")))=0,"",LEFT(IF(K49="","",IFERROR(INDEX('Raw lists'!$A$2:$A$192,MATCH(K49,'Raw lists'!$A$2:$A$192,0))&amp;" | ",""))&amp;IF(L49="","",IFERROR(INDEX('Raw lists'!$A$2:$A$192,MATCH(L49,'Raw lists'!$A$2:$A$192,0))&amp;" | ",""))&amp;IF(M49="","",IFERROR(INDEX('Raw lists'!$A$2:$A$192,MATCH(M49,'Raw lists'!$A$2:$A$192,0))&amp;" | ",""))&amp;IF(N49="","",IFERROR(INDEX('Raw lists'!$A$2:$A$192,MATCH(N49,'Raw lists'!$A$2:$A$192,0))&amp;" | ",""))&amp;IF(O49="","",IFERROR(INDEX('Raw lists'!$A$2:$A$192,MATCH(O49,'Raw lists'!$A$2:$A$192,0))&amp;" | ",""))&amp;IF(P49="","",IFERROR(INDEX('Raw lists'!$A$2:$A$192,MATCH(P49,'Raw lists'!$A$2:$A$192,0))&amp;" | ","")),LEN(IF(K49="","",IFERROR(INDEX('Raw lists'!$A$2:$A$192,MATCH(K49,'Raw lists'!$A$2:$A$192,0))&amp;" | ",""))&amp;IF(L49="","",IFERROR(INDEX('Raw lists'!$A$2:$A$192,MATCH(L49,'Raw lists'!$A$2:$A$192,0))&amp;" | ",""))&amp;IF(M49="","",IFERROR(INDEX('Raw lists'!$A$2:$A$192,MATCH(M49,'Raw lists'!$A$2:$A$192,0))&amp;" | ",""))&amp;IF(N49="","",IFERROR(INDEX('Raw lists'!$A$2:$A$192,MATCH(N49,'Raw lists'!$A$2:$A$192,0))&amp;" | ",""))&amp;IF(O49="","",IFERROR(INDEX('Raw lists'!$A$2:$A$192,MATCH(O49,'Raw lists'!$A$2:$A$192,0))&amp;" | ",""))&amp;IF(P49="","",IFERROR(INDEX('Raw lists'!$A$2:$A$192,MATCH(P49,'Raw lists'!$A$2:$A$192,0))&amp;" | ","")))-3))</f>
        <v>Metastable State</v>
      </c>
      <c r="D49" s="30" t="str">
        <f>IF(LEN(IF(K49="","",IFERROR(INDEX('Raw lists'!$B$2:$B$627,MATCH(K49,'Raw lists'!$B$2:$B$627,0))&amp;" | ",""))&amp;IF(L49="","",IFERROR(INDEX('Raw lists'!$B$2:$B$627,MATCH(L49,'Raw lists'!$B$2:$B$627,0))&amp;" | ",""))&amp;IF(M49="","",IFERROR(INDEX('Raw lists'!$B$2:$B$627,MATCH(M49,'Raw lists'!$B$2:$B$627,0))&amp;" | ",""))&amp;IF(N49="","",IFERROR(INDEX('Raw lists'!$B$2:$B$627,MATCH(N49,'Raw lists'!$B$2:$B$627,0))&amp;" | ",""))&amp;IF(O49="","",IFERROR(INDEX('Raw lists'!$B$2:$B$627,MATCH(O49,'Raw lists'!$B$2:$B$627,0))&amp;" | ",""))&amp;IF(P49="","",IFERROR(INDEX('Raw lists'!$B$2:$B$627,MATCH(P49,'Raw lists'!$B$2:$B$627,0))&amp;" | ","")))=0,"",LEFT(IF(K49="","",IFERROR(INDEX('Raw lists'!$B$2:$B$627,MATCH(K49,'Raw lists'!$B$2:$B$627,0))&amp;" | ",""))&amp;IF(L49="","",IFERROR(INDEX('Raw lists'!$B$2:$B$627,MATCH(L49,'Raw lists'!$B$2:$B$627,0))&amp;" | ",""))&amp;IF(M49="","",IFERROR(INDEX('Raw lists'!$B$2:$B$627,MATCH(M49,'Raw lists'!$B$2:$B$627,0))&amp;" | ",""))&amp;IF(N49="","",IFERROR(INDEX('Raw lists'!$B$2:$B$627,MATCH(N49,'Raw lists'!$B$2:$B$627,0))&amp;" | ",""))&amp;IF(O49="","",IFERROR(INDEX('Raw lists'!$B$2:$B$627,MATCH(O49,'Raw lists'!$B$2:$B$627,0))&amp;" | ",""))&amp;IF(P49="","",IFERROR(INDEX('Raw lists'!$B$2:$B$627,MATCH(P49,'Raw lists'!$B$2:$B$627,0))&amp;" | ","")),LEN(IF(K49="","",IFERROR(INDEX('Raw lists'!$B$2:$B$627,MATCH(K49,'Raw lists'!$B$2:$B$627,0))&amp;" | ",""))&amp;IF(L49="","",IFERROR(INDEX('Raw lists'!$B$2:$B$627,MATCH(L49,'Raw lists'!$B$2:$B$627,0))&amp;" | ",""))&amp;IF(M49="","",IFERROR(INDEX('Raw lists'!$B$2:$B$627,MATCH(M49,'Raw lists'!$B$2:$B$627,0))&amp;" | ",""))&amp;IF(N49="","",IFERROR(INDEX('Raw lists'!$B$2:$B$627,MATCH(N49,'Raw lists'!$B$2:$B$627,0))&amp;" | ",""))&amp;IF(O49="","",IFERROR(INDEX('Raw lists'!$B$2:$B$627,MATCH(O49,'Raw lists'!$B$2:$B$627,0))&amp;" | ",""))&amp;IF(P49="","",IFERROR(INDEX('Raw lists'!$B$2:$B$627,MATCH(P49,'Raw lists'!$B$2:$B$627,0))&amp;" | ","")))-3))</f>
        <v>Metastable State | Metastable States | Meta Stable</v>
      </c>
      <c r="E49" s="30" t="str">
        <f>IF(LEN(IF(K49="","",IFERROR(INDEX('Raw lists'!$C$2:$C$616,MATCH(K49,'Raw lists'!$C$2:$C$616,0))&amp;" | ",""))&amp;IF(L49="","",IFERROR(INDEX('Raw lists'!$C$2:$C$616,MATCH(L49,'Raw lists'!$C$2:$C$616,0))&amp;" | ",""))&amp;IF(M49="","",IFERROR(INDEX('Raw lists'!$C$2:$C$616,MATCH(M49,'Raw lists'!$C$2:$C$616,0))&amp;" | ",""))&amp;IF(N49="","",IFERROR(INDEX('Raw lists'!$C$2:$C$616,MATCH(N49,'Raw lists'!$C$2:$C$616,0))&amp;" | ",""))&amp;IF(O49="","",IFERROR(INDEX('Raw lists'!$C$2:$C$616,MATCH(O49,'Raw lists'!$C$2:$C$616,0))&amp;" | ",""))&amp;IF(P49="","",IFERROR(INDEX('Raw lists'!$C$2:$C$616,MATCH(P49,'Raw lists'!$C$2:$C$616,0))&amp;" | ","")))=0,"",LEFT(IF(K49="","",IFERROR(INDEX('Raw lists'!$C$2:$C$616,MATCH(K49,'Raw lists'!$C$2:$C$616,0))&amp;" | ",""))&amp;IF(L49="","",IFERROR(INDEX('Raw lists'!$C$2:$C$616,MATCH(L49,'Raw lists'!$C$2:$C$616,0))&amp;" | ",""))&amp;IF(M49="","",IFERROR(INDEX('Raw lists'!$C$2:$C$616,MATCH(M49,'Raw lists'!$C$2:$C$616,0))&amp;" | ",""))&amp;IF(N49="","",IFERROR(INDEX('Raw lists'!$C$2:$C$616,MATCH(N49,'Raw lists'!$C$2:$C$616,0))&amp;" | ",""))&amp;IF(O49="","",IFERROR(INDEX('Raw lists'!$C$2:$C$616,MATCH(O49,'Raw lists'!$C$2:$C$616,0))&amp;" | ",""))&amp;IF(P49="","",IFERROR(INDEX('Raw lists'!$C$2:$C$616,MATCH(P49,'Raw lists'!$C$2:$C$616,0))&amp;" | ","")),LEN(IF(K49="","",IFERROR(INDEX('Raw lists'!$C$2:$C$616,MATCH(K49,'Raw lists'!$C$2:$C$616,0))&amp;" | ",""))&amp;IF(L49="","",IFERROR(INDEX('Raw lists'!$C$2:$C$616,MATCH(L49,'Raw lists'!$C$2:$C$616,0))&amp;" | ",""))&amp;IF(M49="","",IFERROR(INDEX('Raw lists'!$C$2:$C$616,MATCH(M49,'Raw lists'!$C$2:$C$616,0))&amp;" | ",""))&amp;IF(N49="","",IFERROR(INDEX('Raw lists'!$C$2:$C$616,MATCH(N49,'Raw lists'!$C$2:$C$616,0))&amp;" | ",""))&amp;IF(O49="","",IFERROR(INDEX('Raw lists'!$C$2:$C$616,MATCH(O49,'Raw lists'!$C$2:$C$616,0))&amp;" | ",""))&amp;IF(P49="","",IFERROR(INDEX('Raw lists'!$C$2:$C$616,MATCH(P49,'Raw lists'!$C$2:$C$616,0))&amp;" | ","")))-3))</f>
        <v>Metastable State | Metastable States</v>
      </c>
      <c r="F49" s="28" t="s">
        <v>17</v>
      </c>
      <c r="G49" s="30" t="s">
        <v>194</v>
      </c>
      <c r="H49" s="28">
        <f t="shared" si="0"/>
        <v>3</v>
      </c>
      <c r="I49" s="31" t="str">
        <f t="shared" si="1"/>
        <v>All three</v>
      </c>
      <c r="K49" s="32" t="s">
        <v>195</v>
      </c>
      <c r="L49" s="32" t="s">
        <v>196</v>
      </c>
      <c r="M49" s="32" t="s">
        <v>197</v>
      </c>
      <c r="N49" s="32"/>
      <c r="O49" s="32"/>
      <c r="P49" s="32"/>
    </row>
    <row r="50" spans="1:16" x14ac:dyDescent="0.3">
      <c r="A50" s="28">
        <v>49</v>
      </c>
      <c r="B50" s="29" t="s">
        <v>198</v>
      </c>
      <c r="C50" s="30" t="str">
        <f>IF(LEN(IF(K50="","",IFERROR(INDEX('Raw lists'!$A$2:$A$192,MATCH(K50,'Raw lists'!$A$2:$A$192,0))&amp;" | ",""))&amp;IF(L50="","",IFERROR(INDEX('Raw lists'!$A$2:$A$192,MATCH(L50,'Raw lists'!$A$2:$A$192,0))&amp;" | ",""))&amp;IF(M50="","",IFERROR(INDEX('Raw lists'!$A$2:$A$192,MATCH(M50,'Raw lists'!$A$2:$A$192,0))&amp;" | ",""))&amp;IF(N50="","",IFERROR(INDEX('Raw lists'!$A$2:$A$192,MATCH(N50,'Raw lists'!$A$2:$A$192,0))&amp;" | ",""))&amp;IF(O50="","",IFERROR(INDEX('Raw lists'!$A$2:$A$192,MATCH(O50,'Raw lists'!$A$2:$A$192,0))&amp;" | ",""))&amp;IF(P50="","",IFERROR(INDEX('Raw lists'!$A$2:$A$192,MATCH(P50,'Raw lists'!$A$2:$A$192,0))&amp;" | ","")))=0,"",LEFT(IF(K50="","",IFERROR(INDEX('Raw lists'!$A$2:$A$192,MATCH(K50,'Raw lists'!$A$2:$A$192,0))&amp;" | ",""))&amp;IF(L50="","",IFERROR(INDEX('Raw lists'!$A$2:$A$192,MATCH(L50,'Raw lists'!$A$2:$A$192,0))&amp;" | ",""))&amp;IF(M50="","",IFERROR(INDEX('Raw lists'!$A$2:$A$192,MATCH(M50,'Raw lists'!$A$2:$A$192,0))&amp;" | ",""))&amp;IF(N50="","",IFERROR(INDEX('Raw lists'!$A$2:$A$192,MATCH(N50,'Raw lists'!$A$2:$A$192,0))&amp;" | ",""))&amp;IF(O50="","",IFERROR(INDEX('Raw lists'!$A$2:$A$192,MATCH(O50,'Raw lists'!$A$2:$A$192,0))&amp;" | ",""))&amp;IF(P50="","",IFERROR(INDEX('Raw lists'!$A$2:$A$192,MATCH(P50,'Raw lists'!$A$2:$A$192,0))&amp;" | ","")),LEN(IF(K50="","",IFERROR(INDEX('Raw lists'!$A$2:$A$192,MATCH(K50,'Raw lists'!$A$2:$A$192,0))&amp;" | ",""))&amp;IF(L50="","",IFERROR(INDEX('Raw lists'!$A$2:$A$192,MATCH(L50,'Raw lists'!$A$2:$A$192,0))&amp;" | ",""))&amp;IF(M50="","",IFERROR(INDEX('Raw lists'!$A$2:$A$192,MATCH(M50,'Raw lists'!$A$2:$A$192,0))&amp;" | ",""))&amp;IF(N50="","",IFERROR(INDEX('Raw lists'!$A$2:$A$192,MATCH(N50,'Raw lists'!$A$2:$A$192,0))&amp;" | ",""))&amp;IF(O50="","",IFERROR(INDEX('Raw lists'!$A$2:$A$192,MATCH(O50,'Raw lists'!$A$2:$A$192,0))&amp;" | ",""))&amp;IF(P50="","",IFERROR(INDEX('Raw lists'!$A$2:$A$192,MATCH(P50,'Raw lists'!$A$2:$A$192,0))&amp;" | ","")))-3))</f>
        <v/>
      </c>
      <c r="D50" s="30" t="str">
        <f>IF(LEN(IF(K50="","",IFERROR(INDEX('Raw lists'!$B$2:$B$627,MATCH(K50,'Raw lists'!$B$2:$B$627,0))&amp;" | ",""))&amp;IF(L50="","",IFERROR(INDEX('Raw lists'!$B$2:$B$627,MATCH(L50,'Raw lists'!$B$2:$B$627,0))&amp;" | ",""))&amp;IF(M50="","",IFERROR(INDEX('Raw lists'!$B$2:$B$627,MATCH(M50,'Raw lists'!$B$2:$B$627,0))&amp;" | ",""))&amp;IF(N50="","",IFERROR(INDEX('Raw lists'!$B$2:$B$627,MATCH(N50,'Raw lists'!$B$2:$B$627,0))&amp;" | ",""))&amp;IF(O50="","",IFERROR(INDEX('Raw lists'!$B$2:$B$627,MATCH(O50,'Raw lists'!$B$2:$B$627,0))&amp;" | ",""))&amp;IF(P50="","",IFERROR(INDEX('Raw lists'!$B$2:$B$627,MATCH(P50,'Raw lists'!$B$2:$B$627,0))&amp;" | ","")))=0,"",LEFT(IF(K50="","",IFERROR(INDEX('Raw lists'!$B$2:$B$627,MATCH(K50,'Raw lists'!$B$2:$B$627,0))&amp;" | ",""))&amp;IF(L50="","",IFERROR(INDEX('Raw lists'!$B$2:$B$627,MATCH(L50,'Raw lists'!$B$2:$B$627,0))&amp;" | ",""))&amp;IF(M50="","",IFERROR(INDEX('Raw lists'!$B$2:$B$627,MATCH(M50,'Raw lists'!$B$2:$B$627,0))&amp;" | ",""))&amp;IF(N50="","",IFERROR(INDEX('Raw lists'!$B$2:$B$627,MATCH(N50,'Raw lists'!$B$2:$B$627,0))&amp;" | ",""))&amp;IF(O50="","",IFERROR(INDEX('Raw lists'!$B$2:$B$627,MATCH(O50,'Raw lists'!$B$2:$B$627,0))&amp;" | ",""))&amp;IF(P50="","",IFERROR(INDEX('Raw lists'!$B$2:$B$627,MATCH(P50,'Raw lists'!$B$2:$B$627,0))&amp;" | ","")),LEN(IF(K50="","",IFERROR(INDEX('Raw lists'!$B$2:$B$627,MATCH(K50,'Raw lists'!$B$2:$B$627,0))&amp;" | ",""))&amp;IF(L50="","",IFERROR(INDEX('Raw lists'!$B$2:$B$627,MATCH(L50,'Raw lists'!$B$2:$B$627,0))&amp;" | ",""))&amp;IF(M50="","",IFERROR(INDEX('Raw lists'!$B$2:$B$627,MATCH(M50,'Raw lists'!$B$2:$B$627,0))&amp;" | ",""))&amp;IF(N50="","",IFERROR(INDEX('Raw lists'!$B$2:$B$627,MATCH(N50,'Raw lists'!$B$2:$B$627,0))&amp;" | ",""))&amp;IF(O50="","",IFERROR(INDEX('Raw lists'!$B$2:$B$627,MATCH(O50,'Raw lists'!$B$2:$B$627,0))&amp;" | ",""))&amp;IF(P50="","",IFERROR(INDEX('Raw lists'!$B$2:$B$627,MATCH(P50,'Raw lists'!$B$2:$B$627,0))&amp;" | ","")))-3))</f>
        <v/>
      </c>
      <c r="E50" s="30" t="str">
        <f>IF(LEN(IF(K50="","",IFERROR(INDEX('Raw lists'!$C$2:$C$616,MATCH(K50,'Raw lists'!$C$2:$C$616,0))&amp;" | ",""))&amp;IF(L50="","",IFERROR(INDEX('Raw lists'!$C$2:$C$616,MATCH(L50,'Raw lists'!$C$2:$C$616,0))&amp;" | ",""))&amp;IF(M50="","",IFERROR(INDEX('Raw lists'!$C$2:$C$616,MATCH(M50,'Raw lists'!$C$2:$C$616,0))&amp;" | ",""))&amp;IF(N50="","",IFERROR(INDEX('Raw lists'!$C$2:$C$616,MATCH(N50,'Raw lists'!$C$2:$C$616,0))&amp;" | ",""))&amp;IF(O50="","",IFERROR(INDEX('Raw lists'!$C$2:$C$616,MATCH(O50,'Raw lists'!$C$2:$C$616,0))&amp;" | ",""))&amp;IF(P50="","",IFERROR(INDEX('Raw lists'!$C$2:$C$616,MATCH(P50,'Raw lists'!$C$2:$C$616,0))&amp;" | ","")))=0,"",LEFT(IF(K50="","",IFERROR(INDEX('Raw lists'!$C$2:$C$616,MATCH(K50,'Raw lists'!$C$2:$C$616,0))&amp;" | ",""))&amp;IF(L50="","",IFERROR(INDEX('Raw lists'!$C$2:$C$616,MATCH(L50,'Raw lists'!$C$2:$C$616,0))&amp;" | ",""))&amp;IF(M50="","",IFERROR(INDEX('Raw lists'!$C$2:$C$616,MATCH(M50,'Raw lists'!$C$2:$C$616,0))&amp;" | ",""))&amp;IF(N50="","",IFERROR(INDEX('Raw lists'!$C$2:$C$616,MATCH(N50,'Raw lists'!$C$2:$C$616,0))&amp;" | ",""))&amp;IF(O50="","",IFERROR(INDEX('Raw lists'!$C$2:$C$616,MATCH(O50,'Raw lists'!$C$2:$C$616,0))&amp;" | ",""))&amp;IF(P50="","",IFERROR(INDEX('Raw lists'!$C$2:$C$616,MATCH(P50,'Raw lists'!$C$2:$C$616,0))&amp;" | ","")),LEN(IF(K50="","",IFERROR(INDEX('Raw lists'!$C$2:$C$616,MATCH(K50,'Raw lists'!$C$2:$C$616,0))&amp;" | ",""))&amp;IF(L50="","",IFERROR(INDEX('Raw lists'!$C$2:$C$616,MATCH(L50,'Raw lists'!$C$2:$C$616,0))&amp;" | ",""))&amp;IF(M50="","",IFERROR(INDEX('Raw lists'!$C$2:$C$616,MATCH(M50,'Raw lists'!$C$2:$C$616,0))&amp;" | ",""))&amp;IF(N50="","",IFERROR(INDEX('Raw lists'!$C$2:$C$616,MATCH(N50,'Raw lists'!$C$2:$C$616,0))&amp;" | ",""))&amp;IF(O50="","",IFERROR(INDEX('Raw lists'!$C$2:$C$616,MATCH(O50,'Raw lists'!$C$2:$C$616,0))&amp;" | ",""))&amp;IF(P50="","",IFERROR(INDEX('Raw lists'!$C$2:$C$616,MATCH(P50,'Raw lists'!$C$2:$C$616,0))&amp;" | ","")))-3))</f>
        <v/>
      </c>
      <c r="F50" s="28" t="s">
        <v>17</v>
      </c>
      <c r="G50" s="30" t="s">
        <v>199</v>
      </c>
      <c r="H50" s="28">
        <f t="shared" si="0"/>
        <v>0</v>
      </c>
      <c r="I50" s="31" t="str">
        <f t="shared" si="1"/>
        <v>None</v>
      </c>
      <c r="K50" s="32" t="s">
        <v>200</v>
      </c>
      <c r="L50" s="32"/>
      <c r="M50" s="32"/>
      <c r="N50" s="32"/>
      <c r="O50" s="32"/>
      <c r="P50" s="32"/>
    </row>
    <row r="51" spans="1:16" ht="26.4" x14ac:dyDescent="0.3">
      <c r="A51" s="28">
        <v>50</v>
      </c>
      <c r="B51" s="29" t="s">
        <v>201</v>
      </c>
      <c r="C51" s="30" t="str">
        <f>IF(LEN(IF(K51="","",IFERROR(INDEX('Raw lists'!$A$2:$A$192,MATCH(K51,'Raw lists'!$A$2:$A$192,0))&amp;" | ",""))&amp;IF(L51="","",IFERROR(INDEX('Raw lists'!$A$2:$A$192,MATCH(L51,'Raw lists'!$A$2:$A$192,0))&amp;" | ",""))&amp;IF(M51="","",IFERROR(INDEX('Raw lists'!$A$2:$A$192,MATCH(M51,'Raw lists'!$A$2:$A$192,0))&amp;" | ",""))&amp;IF(N51="","",IFERROR(INDEX('Raw lists'!$A$2:$A$192,MATCH(N51,'Raw lists'!$A$2:$A$192,0))&amp;" | ",""))&amp;IF(O51="","",IFERROR(INDEX('Raw lists'!$A$2:$A$192,MATCH(O51,'Raw lists'!$A$2:$A$192,0))&amp;" | ",""))&amp;IF(P51="","",IFERROR(INDEX('Raw lists'!$A$2:$A$192,MATCH(P51,'Raw lists'!$A$2:$A$192,0))&amp;" | ","")))=0,"",LEFT(IF(K51="","",IFERROR(INDEX('Raw lists'!$A$2:$A$192,MATCH(K51,'Raw lists'!$A$2:$A$192,0))&amp;" | ",""))&amp;IF(L51="","",IFERROR(INDEX('Raw lists'!$A$2:$A$192,MATCH(L51,'Raw lists'!$A$2:$A$192,0))&amp;" | ",""))&amp;IF(M51="","",IFERROR(INDEX('Raw lists'!$A$2:$A$192,MATCH(M51,'Raw lists'!$A$2:$A$192,0))&amp;" | ",""))&amp;IF(N51="","",IFERROR(INDEX('Raw lists'!$A$2:$A$192,MATCH(N51,'Raw lists'!$A$2:$A$192,0))&amp;" | ",""))&amp;IF(O51="","",IFERROR(INDEX('Raw lists'!$A$2:$A$192,MATCH(O51,'Raw lists'!$A$2:$A$192,0))&amp;" | ",""))&amp;IF(P51="","",IFERROR(INDEX('Raw lists'!$A$2:$A$192,MATCH(P51,'Raw lists'!$A$2:$A$192,0))&amp;" | ","")),LEN(IF(K51="","",IFERROR(INDEX('Raw lists'!$A$2:$A$192,MATCH(K51,'Raw lists'!$A$2:$A$192,0))&amp;" | ",""))&amp;IF(L51="","",IFERROR(INDEX('Raw lists'!$A$2:$A$192,MATCH(L51,'Raw lists'!$A$2:$A$192,0))&amp;" | ",""))&amp;IF(M51="","",IFERROR(INDEX('Raw lists'!$A$2:$A$192,MATCH(M51,'Raw lists'!$A$2:$A$192,0))&amp;" | ",""))&amp;IF(N51="","",IFERROR(INDEX('Raw lists'!$A$2:$A$192,MATCH(N51,'Raw lists'!$A$2:$A$192,0))&amp;" | ",""))&amp;IF(O51="","",IFERROR(INDEX('Raw lists'!$A$2:$A$192,MATCH(O51,'Raw lists'!$A$2:$A$192,0))&amp;" | ",""))&amp;IF(P51="","",IFERROR(INDEX('Raw lists'!$A$2:$A$192,MATCH(P51,'Raw lists'!$A$2:$A$192,0))&amp;" | ","")))-3))</f>
        <v>Excited State | Excited States | Excited Energy Level</v>
      </c>
      <c r="D51" s="30" t="str">
        <f>IF(LEN(IF(K51="","",IFERROR(INDEX('Raw lists'!$B$2:$B$627,MATCH(K51,'Raw lists'!$B$2:$B$627,0))&amp;" | ",""))&amp;IF(L51="","",IFERROR(INDEX('Raw lists'!$B$2:$B$627,MATCH(L51,'Raw lists'!$B$2:$B$627,0))&amp;" | ",""))&amp;IF(M51="","",IFERROR(INDEX('Raw lists'!$B$2:$B$627,MATCH(M51,'Raw lists'!$B$2:$B$627,0))&amp;" | ",""))&amp;IF(N51="","",IFERROR(INDEX('Raw lists'!$B$2:$B$627,MATCH(N51,'Raw lists'!$B$2:$B$627,0))&amp;" | ",""))&amp;IF(O51="","",IFERROR(INDEX('Raw lists'!$B$2:$B$627,MATCH(O51,'Raw lists'!$B$2:$B$627,0))&amp;" | ",""))&amp;IF(P51="","",IFERROR(INDEX('Raw lists'!$B$2:$B$627,MATCH(P51,'Raw lists'!$B$2:$B$627,0))&amp;" | ","")))=0,"",LEFT(IF(K51="","",IFERROR(INDEX('Raw lists'!$B$2:$B$627,MATCH(K51,'Raw lists'!$B$2:$B$627,0))&amp;" | ",""))&amp;IF(L51="","",IFERROR(INDEX('Raw lists'!$B$2:$B$627,MATCH(L51,'Raw lists'!$B$2:$B$627,0))&amp;" | ",""))&amp;IF(M51="","",IFERROR(INDEX('Raw lists'!$B$2:$B$627,MATCH(M51,'Raw lists'!$B$2:$B$627,0))&amp;" | ",""))&amp;IF(N51="","",IFERROR(INDEX('Raw lists'!$B$2:$B$627,MATCH(N51,'Raw lists'!$B$2:$B$627,0))&amp;" | ",""))&amp;IF(O51="","",IFERROR(INDEX('Raw lists'!$B$2:$B$627,MATCH(O51,'Raw lists'!$B$2:$B$627,0))&amp;" | ",""))&amp;IF(P51="","",IFERROR(INDEX('Raw lists'!$B$2:$B$627,MATCH(P51,'Raw lists'!$B$2:$B$627,0))&amp;" | ","")),LEN(IF(K51="","",IFERROR(INDEX('Raw lists'!$B$2:$B$627,MATCH(K51,'Raw lists'!$B$2:$B$627,0))&amp;" | ",""))&amp;IF(L51="","",IFERROR(INDEX('Raw lists'!$B$2:$B$627,MATCH(L51,'Raw lists'!$B$2:$B$627,0))&amp;" | ",""))&amp;IF(M51="","",IFERROR(INDEX('Raw lists'!$B$2:$B$627,MATCH(M51,'Raw lists'!$B$2:$B$627,0))&amp;" | ",""))&amp;IF(N51="","",IFERROR(INDEX('Raw lists'!$B$2:$B$627,MATCH(N51,'Raw lists'!$B$2:$B$627,0))&amp;" | ",""))&amp;IF(O51="","",IFERROR(INDEX('Raw lists'!$B$2:$B$627,MATCH(O51,'Raw lists'!$B$2:$B$627,0))&amp;" | ",""))&amp;IF(P51="","",IFERROR(INDEX('Raw lists'!$B$2:$B$627,MATCH(P51,'Raw lists'!$B$2:$B$627,0))&amp;" | ","")))-3))</f>
        <v>Excited State | Excited States | Excited Energy Level</v>
      </c>
      <c r="E51" s="30" t="str">
        <f>IF(LEN(IF(K51="","",IFERROR(INDEX('Raw lists'!$C$2:$C$616,MATCH(K51,'Raw lists'!$C$2:$C$616,0))&amp;" | ",""))&amp;IF(L51="","",IFERROR(INDEX('Raw lists'!$C$2:$C$616,MATCH(L51,'Raw lists'!$C$2:$C$616,0))&amp;" | ",""))&amp;IF(M51="","",IFERROR(INDEX('Raw lists'!$C$2:$C$616,MATCH(M51,'Raw lists'!$C$2:$C$616,0))&amp;" | ",""))&amp;IF(N51="","",IFERROR(INDEX('Raw lists'!$C$2:$C$616,MATCH(N51,'Raw lists'!$C$2:$C$616,0))&amp;" | ",""))&amp;IF(O51="","",IFERROR(INDEX('Raw lists'!$C$2:$C$616,MATCH(O51,'Raw lists'!$C$2:$C$616,0))&amp;" | ",""))&amp;IF(P51="","",IFERROR(INDEX('Raw lists'!$C$2:$C$616,MATCH(P51,'Raw lists'!$C$2:$C$616,0))&amp;" | ","")))=0,"",LEFT(IF(K51="","",IFERROR(INDEX('Raw lists'!$C$2:$C$616,MATCH(K51,'Raw lists'!$C$2:$C$616,0))&amp;" | ",""))&amp;IF(L51="","",IFERROR(INDEX('Raw lists'!$C$2:$C$616,MATCH(L51,'Raw lists'!$C$2:$C$616,0))&amp;" | ",""))&amp;IF(M51="","",IFERROR(INDEX('Raw lists'!$C$2:$C$616,MATCH(M51,'Raw lists'!$C$2:$C$616,0))&amp;" | ",""))&amp;IF(N51="","",IFERROR(INDEX('Raw lists'!$C$2:$C$616,MATCH(N51,'Raw lists'!$C$2:$C$616,0))&amp;" | ",""))&amp;IF(O51="","",IFERROR(INDEX('Raw lists'!$C$2:$C$616,MATCH(O51,'Raw lists'!$C$2:$C$616,0))&amp;" | ",""))&amp;IF(P51="","",IFERROR(INDEX('Raw lists'!$C$2:$C$616,MATCH(P51,'Raw lists'!$C$2:$C$616,0))&amp;" | ","")),LEN(IF(K51="","",IFERROR(INDEX('Raw lists'!$C$2:$C$616,MATCH(K51,'Raw lists'!$C$2:$C$616,0))&amp;" | ",""))&amp;IF(L51="","",IFERROR(INDEX('Raw lists'!$C$2:$C$616,MATCH(L51,'Raw lists'!$C$2:$C$616,0))&amp;" | ",""))&amp;IF(M51="","",IFERROR(INDEX('Raw lists'!$C$2:$C$616,MATCH(M51,'Raw lists'!$C$2:$C$616,0))&amp;" | ",""))&amp;IF(N51="","",IFERROR(INDEX('Raw lists'!$C$2:$C$616,MATCH(N51,'Raw lists'!$C$2:$C$616,0))&amp;" | ",""))&amp;IF(O51="","",IFERROR(INDEX('Raw lists'!$C$2:$C$616,MATCH(O51,'Raw lists'!$C$2:$C$616,0))&amp;" | ",""))&amp;IF(P51="","",IFERROR(INDEX('Raw lists'!$C$2:$C$616,MATCH(P51,'Raw lists'!$C$2:$C$616,0))&amp;" | ","")))-3))</f>
        <v>Excited State | Excited States | Excited Energy Level</v>
      </c>
      <c r="F51" s="28" t="s">
        <v>17</v>
      </c>
      <c r="G51" s="30" t="s">
        <v>202</v>
      </c>
      <c r="H51" s="28">
        <f t="shared" si="0"/>
        <v>3</v>
      </c>
      <c r="I51" s="31" t="str">
        <f t="shared" si="1"/>
        <v>All three</v>
      </c>
      <c r="K51" s="32" t="s">
        <v>203</v>
      </c>
      <c r="L51" s="32" t="s">
        <v>204</v>
      </c>
      <c r="M51" s="32" t="s">
        <v>205</v>
      </c>
      <c r="N51" s="32"/>
      <c r="O51" s="32"/>
      <c r="P51" s="32"/>
    </row>
    <row r="52" spans="1:16" x14ac:dyDescent="0.3">
      <c r="A52" s="28">
        <v>51</v>
      </c>
      <c r="B52" s="29" t="s">
        <v>206</v>
      </c>
      <c r="C52" s="30" t="str">
        <f>IF(LEN(IF(K52="","",IFERROR(INDEX('Raw lists'!$A$2:$A$192,MATCH(K52,'Raw lists'!$A$2:$A$192,0))&amp;" | ",""))&amp;IF(L52="","",IFERROR(INDEX('Raw lists'!$A$2:$A$192,MATCH(L52,'Raw lists'!$A$2:$A$192,0))&amp;" | ",""))&amp;IF(M52="","",IFERROR(INDEX('Raw lists'!$A$2:$A$192,MATCH(M52,'Raw lists'!$A$2:$A$192,0))&amp;" | ",""))&amp;IF(N52="","",IFERROR(INDEX('Raw lists'!$A$2:$A$192,MATCH(N52,'Raw lists'!$A$2:$A$192,0))&amp;" | ",""))&amp;IF(O52="","",IFERROR(INDEX('Raw lists'!$A$2:$A$192,MATCH(O52,'Raw lists'!$A$2:$A$192,0))&amp;" | ",""))&amp;IF(P52="","",IFERROR(INDEX('Raw lists'!$A$2:$A$192,MATCH(P52,'Raw lists'!$A$2:$A$192,0))&amp;" | ","")))=0,"",LEFT(IF(K52="","",IFERROR(INDEX('Raw lists'!$A$2:$A$192,MATCH(K52,'Raw lists'!$A$2:$A$192,0))&amp;" | ",""))&amp;IF(L52="","",IFERROR(INDEX('Raw lists'!$A$2:$A$192,MATCH(L52,'Raw lists'!$A$2:$A$192,0))&amp;" | ",""))&amp;IF(M52="","",IFERROR(INDEX('Raw lists'!$A$2:$A$192,MATCH(M52,'Raw lists'!$A$2:$A$192,0))&amp;" | ",""))&amp;IF(N52="","",IFERROR(INDEX('Raw lists'!$A$2:$A$192,MATCH(N52,'Raw lists'!$A$2:$A$192,0))&amp;" | ",""))&amp;IF(O52="","",IFERROR(INDEX('Raw lists'!$A$2:$A$192,MATCH(O52,'Raw lists'!$A$2:$A$192,0))&amp;" | ",""))&amp;IF(P52="","",IFERROR(INDEX('Raw lists'!$A$2:$A$192,MATCH(P52,'Raw lists'!$A$2:$A$192,0))&amp;" | ","")),LEN(IF(K52="","",IFERROR(INDEX('Raw lists'!$A$2:$A$192,MATCH(K52,'Raw lists'!$A$2:$A$192,0))&amp;" | ",""))&amp;IF(L52="","",IFERROR(INDEX('Raw lists'!$A$2:$A$192,MATCH(L52,'Raw lists'!$A$2:$A$192,0))&amp;" | ",""))&amp;IF(M52="","",IFERROR(INDEX('Raw lists'!$A$2:$A$192,MATCH(M52,'Raw lists'!$A$2:$A$192,0))&amp;" | ",""))&amp;IF(N52="","",IFERROR(INDEX('Raw lists'!$A$2:$A$192,MATCH(N52,'Raw lists'!$A$2:$A$192,0))&amp;" | ",""))&amp;IF(O52="","",IFERROR(INDEX('Raw lists'!$A$2:$A$192,MATCH(O52,'Raw lists'!$A$2:$A$192,0))&amp;" | ",""))&amp;IF(P52="","",IFERROR(INDEX('Raw lists'!$A$2:$A$192,MATCH(P52,'Raw lists'!$A$2:$A$192,0))&amp;" | ","")))-3))</f>
        <v/>
      </c>
      <c r="D52" s="30" t="str">
        <f>IF(LEN(IF(K52="","",IFERROR(INDEX('Raw lists'!$B$2:$B$627,MATCH(K52,'Raw lists'!$B$2:$B$627,0))&amp;" | ",""))&amp;IF(L52="","",IFERROR(INDEX('Raw lists'!$B$2:$B$627,MATCH(L52,'Raw lists'!$B$2:$B$627,0))&amp;" | ",""))&amp;IF(M52="","",IFERROR(INDEX('Raw lists'!$B$2:$B$627,MATCH(M52,'Raw lists'!$B$2:$B$627,0))&amp;" | ",""))&amp;IF(N52="","",IFERROR(INDEX('Raw lists'!$B$2:$B$627,MATCH(N52,'Raw lists'!$B$2:$B$627,0))&amp;" | ",""))&amp;IF(O52="","",IFERROR(INDEX('Raw lists'!$B$2:$B$627,MATCH(O52,'Raw lists'!$B$2:$B$627,0))&amp;" | ",""))&amp;IF(P52="","",IFERROR(INDEX('Raw lists'!$B$2:$B$627,MATCH(P52,'Raw lists'!$B$2:$B$627,0))&amp;" | ","")))=0,"",LEFT(IF(K52="","",IFERROR(INDEX('Raw lists'!$B$2:$B$627,MATCH(K52,'Raw lists'!$B$2:$B$627,0))&amp;" | ",""))&amp;IF(L52="","",IFERROR(INDEX('Raw lists'!$B$2:$B$627,MATCH(L52,'Raw lists'!$B$2:$B$627,0))&amp;" | ",""))&amp;IF(M52="","",IFERROR(INDEX('Raw lists'!$B$2:$B$627,MATCH(M52,'Raw lists'!$B$2:$B$627,0))&amp;" | ",""))&amp;IF(N52="","",IFERROR(INDEX('Raw lists'!$B$2:$B$627,MATCH(N52,'Raw lists'!$B$2:$B$627,0))&amp;" | ",""))&amp;IF(O52="","",IFERROR(INDEX('Raw lists'!$B$2:$B$627,MATCH(O52,'Raw lists'!$B$2:$B$627,0))&amp;" | ",""))&amp;IF(P52="","",IFERROR(INDEX('Raw lists'!$B$2:$B$627,MATCH(P52,'Raw lists'!$B$2:$B$627,0))&amp;" | ","")),LEN(IF(K52="","",IFERROR(INDEX('Raw lists'!$B$2:$B$627,MATCH(K52,'Raw lists'!$B$2:$B$627,0))&amp;" | ",""))&amp;IF(L52="","",IFERROR(INDEX('Raw lists'!$B$2:$B$627,MATCH(L52,'Raw lists'!$B$2:$B$627,0))&amp;" | ",""))&amp;IF(M52="","",IFERROR(INDEX('Raw lists'!$B$2:$B$627,MATCH(M52,'Raw lists'!$B$2:$B$627,0))&amp;" | ",""))&amp;IF(N52="","",IFERROR(INDEX('Raw lists'!$B$2:$B$627,MATCH(N52,'Raw lists'!$B$2:$B$627,0))&amp;" | ",""))&amp;IF(O52="","",IFERROR(INDEX('Raw lists'!$B$2:$B$627,MATCH(O52,'Raw lists'!$B$2:$B$627,0))&amp;" | ",""))&amp;IF(P52="","",IFERROR(INDEX('Raw lists'!$B$2:$B$627,MATCH(P52,'Raw lists'!$B$2:$B$627,0))&amp;" | ","")))-3))</f>
        <v>Ground State</v>
      </c>
      <c r="E52" s="30" t="str">
        <f>IF(LEN(IF(K52="","",IFERROR(INDEX('Raw lists'!$C$2:$C$616,MATCH(K52,'Raw lists'!$C$2:$C$616,0))&amp;" | ",""))&amp;IF(L52="","",IFERROR(INDEX('Raw lists'!$C$2:$C$616,MATCH(L52,'Raw lists'!$C$2:$C$616,0))&amp;" | ",""))&amp;IF(M52="","",IFERROR(INDEX('Raw lists'!$C$2:$C$616,MATCH(M52,'Raw lists'!$C$2:$C$616,0))&amp;" | ",""))&amp;IF(N52="","",IFERROR(INDEX('Raw lists'!$C$2:$C$616,MATCH(N52,'Raw lists'!$C$2:$C$616,0))&amp;" | ",""))&amp;IF(O52="","",IFERROR(INDEX('Raw lists'!$C$2:$C$616,MATCH(O52,'Raw lists'!$C$2:$C$616,0))&amp;" | ",""))&amp;IF(P52="","",IFERROR(INDEX('Raw lists'!$C$2:$C$616,MATCH(P52,'Raw lists'!$C$2:$C$616,0))&amp;" | ","")))=0,"",LEFT(IF(K52="","",IFERROR(INDEX('Raw lists'!$C$2:$C$616,MATCH(K52,'Raw lists'!$C$2:$C$616,0))&amp;" | ",""))&amp;IF(L52="","",IFERROR(INDEX('Raw lists'!$C$2:$C$616,MATCH(L52,'Raw lists'!$C$2:$C$616,0))&amp;" | ",""))&amp;IF(M52="","",IFERROR(INDEX('Raw lists'!$C$2:$C$616,MATCH(M52,'Raw lists'!$C$2:$C$616,0))&amp;" | ",""))&amp;IF(N52="","",IFERROR(INDEX('Raw lists'!$C$2:$C$616,MATCH(N52,'Raw lists'!$C$2:$C$616,0))&amp;" | ",""))&amp;IF(O52="","",IFERROR(INDEX('Raw lists'!$C$2:$C$616,MATCH(O52,'Raw lists'!$C$2:$C$616,0))&amp;" | ",""))&amp;IF(P52="","",IFERROR(INDEX('Raw lists'!$C$2:$C$616,MATCH(P52,'Raw lists'!$C$2:$C$616,0))&amp;" | ","")),LEN(IF(K52="","",IFERROR(INDEX('Raw lists'!$C$2:$C$616,MATCH(K52,'Raw lists'!$C$2:$C$616,0))&amp;" | ",""))&amp;IF(L52="","",IFERROR(INDEX('Raw lists'!$C$2:$C$616,MATCH(L52,'Raw lists'!$C$2:$C$616,0))&amp;" | ",""))&amp;IF(M52="","",IFERROR(INDEX('Raw lists'!$C$2:$C$616,MATCH(M52,'Raw lists'!$C$2:$C$616,0))&amp;" | ",""))&amp;IF(N52="","",IFERROR(INDEX('Raw lists'!$C$2:$C$616,MATCH(N52,'Raw lists'!$C$2:$C$616,0))&amp;" | ",""))&amp;IF(O52="","",IFERROR(INDEX('Raw lists'!$C$2:$C$616,MATCH(O52,'Raw lists'!$C$2:$C$616,0))&amp;" | ",""))&amp;IF(P52="","",IFERROR(INDEX('Raw lists'!$C$2:$C$616,MATCH(P52,'Raw lists'!$C$2:$C$616,0))&amp;" | ","")))-3))</f>
        <v>Ground State</v>
      </c>
      <c r="F52" s="28" t="s">
        <v>17</v>
      </c>
      <c r="G52" s="30" t="s">
        <v>207</v>
      </c>
      <c r="H52" s="28">
        <f t="shared" si="0"/>
        <v>2</v>
      </c>
      <c r="I52" s="31" t="str">
        <f t="shared" si="1"/>
        <v>RAKE + YAKE</v>
      </c>
      <c r="K52" s="32" t="s">
        <v>208</v>
      </c>
      <c r="L52" s="32"/>
      <c r="M52" s="32"/>
      <c r="N52" s="32"/>
      <c r="O52" s="32"/>
      <c r="P52" s="32"/>
    </row>
    <row r="53" spans="1:16" ht="52.8" x14ac:dyDescent="0.3">
      <c r="A53" s="28">
        <v>52</v>
      </c>
      <c r="B53" s="29" t="s">
        <v>209</v>
      </c>
      <c r="C53" s="30" t="str">
        <f>IF(LEN(IF(K53="","",IFERROR(INDEX('Raw lists'!$A$2:$A$192,MATCH(K53,'Raw lists'!$A$2:$A$192,0))&amp;" | ",""))&amp;IF(L53="","",IFERROR(INDEX('Raw lists'!$A$2:$A$192,MATCH(L53,'Raw lists'!$A$2:$A$192,0))&amp;" | ",""))&amp;IF(M53="","",IFERROR(INDEX('Raw lists'!$A$2:$A$192,MATCH(M53,'Raw lists'!$A$2:$A$192,0))&amp;" | ",""))&amp;IF(N53="","",IFERROR(INDEX('Raw lists'!$A$2:$A$192,MATCH(N53,'Raw lists'!$A$2:$A$192,0))&amp;" | ",""))&amp;IF(O53="","",IFERROR(INDEX('Raw lists'!$A$2:$A$192,MATCH(O53,'Raw lists'!$A$2:$A$192,0))&amp;" | ",""))&amp;IF(P53="","",IFERROR(INDEX('Raw lists'!$A$2:$A$192,MATCH(P53,'Raw lists'!$A$2:$A$192,0))&amp;" | ","")))=0,"",LEFT(IF(K53="","",IFERROR(INDEX('Raw lists'!$A$2:$A$192,MATCH(K53,'Raw lists'!$A$2:$A$192,0))&amp;" | ",""))&amp;IF(L53="","",IFERROR(INDEX('Raw lists'!$A$2:$A$192,MATCH(L53,'Raw lists'!$A$2:$A$192,0))&amp;" | ",""))&amp;IF(M53="","",IFERROR(INDEX('Raw lists'!$A$2:$A$192,MATCH(M53,'Raw lists'!$A$2:$A$192,0))&amp;" | ",""))&amp;IF(N53="","",IFERROR(INDEX('Raw lists'!$A$2:$A$192,MATCH(N53,'Raw lists'!$A$2:$A$192,0))&amp;" | ",""))&amp;IF(O53="","",IFERROR(INDEX('Raw lists'!$A$2:$A$192,MATCH(O53,'Raw lists'!$A$2:$A$192,0))&amp;" | ",""))&amp;IF(P53="","",IFERROR(INDEX('Raw lists'!$A$2:$A$192,MATCH(P53,'Raw lists'!$A$2:$A$192,0))&amp;" | ","")),LEN(IF(K53="","",IFERROR(INDEX('Raw lists'!$A$2:$A$192,MATCH(K53,'Raw lists'!$A$2:$A$192,0))&amp;" | ",""))&amp;IF(L53="","",IFERROR(INDEX('Raw lists'!$A$2:$A$192,MATCH(L53,'Raw lists'!$A$2:$A$192,0))&amp;" | ",""))&amp;IF(M53="","",IFERROR(INDEX('Raw lists'!$A$2:$A$192,MATCH(M53,'Raw lists'!$A$2:$A$192,0))&amp;" | ",""))&amp;IF(N53="","",IFERROR(INDEX('Raw lists'!$A$2:$A$192,MATCH(N53,'Raw lists'!$A$2:$A$192,0))&amp;" | ",""))&amp;IF(O53="","",IFERROR(INDEX('Raw lists'!$A$2:$A$192,MATCH(O53,'Raw lists'!$A$2:$A$192,0))&amp;" | ",""))&amp;IF(P53="","",IFERROR(INDEX('Raw lists'!$A$2:$A$192,MATCH(P53,'Raw lists'!$A$2:$A$192,0))&amp;" | ","")))-3))</f>
        <v>Energy Levels | Lower Energy Level</v>
      </c>
      <c r="D53" s="30" t="str">
        <f>IF(LEN(IF(K53="","",IFERROR(INDEX('Raw lists'!$B$2:$B$627,MATCH(K53,'Raw lists'!$B$2:$B$627,0))&amp;" | ",""))&amp;IF(L53="","",IFERROR(INDEX('Raw lists'!$B$2:$B$627,MATCH(L53,'Raw lists'!$B$2:$B$627,0))&amp;" | ",""))&amp;IF(M53="","",IFERROR(INDEX('Raw lists'!$B$2:$B$627,MATCH(M53,'Raw lists'!$B$2:$B$627,0))&amp;" | ",""))&amp;IF(N53="","",IFERROR(INDEX('Raw lists'!$B$2:$B$627,MATCH(N53,'Raw lists'!$B$2:$B$627,0))&amp;" | ",""))&amp;IF(O53="","",IFERROR(INDEX('Raw lists'!$B$2:$B$627,MATCH(O53,'Raw lists'!$B$2:$B$627,0))&amp;" | ",""))&amp;IF(P53="","",IFERROR(INDEX('Raw lists'!$B$2:$B$627,MATCH(P53,'Raw lists'!$B$2:$B$627,0))&amp;" | ","")))=0,"",LEFT(IF(K53="","",IFERROR(INDEX('Raw lists'!$B$2:$B$627,MATCH(K53,'Raw lists'!$B$2:$B$627,0))&amp;" | ",""))&amp;IF(L53="","",IFERROR(INDEX('Raw lists'!$B$2:$B$627,MATCH(L53,'Raw lists'!$B$2:$B$627,0))&amp;" | ",""))&amp;IF(M53="","",IFERROR(INDEX('Raw lists'!$B$2:$B$627,MATCH(M53,'Raw lists'!$B$2:$B$627,0))&amp;" | ",""))&amp;IF(N53="","",IFERROR(INDEX('Raw lists'!$B$2:$B$627,MATCH(N53,'Raw lists'!$B$2:$B$627,0))&amp;" | ",""))&amp;IF(O53="","",IFERROR(INDEX('Raw lists'!$B$2:$B$627,MATCH(O53,'Raw lists'!$B$2:$B$627,0))&amp;" | ",""))&amp;IF(P53="","",IFERROR(INDEX('Raw lists'!$B$2:$B$627,MATCH(P53,'Raw lists'!$B$2:$B$627,0))&amp;" | ","")),LEN(IF(K53="","",IFERROR(INDEX('Raw lists'!$B$2:$B$627,MATCH(K53,'Raw lists'!$B$2:$B$627,0))&amp;" | ",""))&amp;IF(L53="","",IFERROR(INDEX('Raw lists'!$B$2:$B$627,MATCH(L53,'Raw lists'!$B$2:$B$627,0))&amp;" | ",""))&amp;IF(M53="","",IFERROR(INDEX('Raw lists'!$B$2:$B$627,MATCH(M53,'Raw lists'!$B$2:$B$627,0))&amp;" | ",""))&amp;IF(N53="","",IFERROR(INDEX('Raw lists'!$B$2:$B$627,MATCH(N53,'Raw lists'!$B$2:$B$627,0))&amp;" | ",""))&amp;IF(O53="","",IFERROR(INDEX('Raw lists'!$B$2:$B$627,MATCH(O53,'Raw lists'!$B$2:$B$627,0))&amp;" | ",""))&amp;IF(P53="","",IFERROR(INDEX('Raw lists'!$B$2:$B$627,MATCH(P53,'Raw lists'!$B$2:$B$627,0))&amp;" | ","")))-3))</f>
        <v>Energy Levels | Lower Energy Level | Lower Energy Levels | Higher Energy Levels | Upper Energy Levels</v>
      </c>
      <c r="E53" s="30" t="str">
        <f>IF(LEN(IF(K53="","",IFERROR(INDEX('Raw lists'!$C$2:$C$616,MATCH(K53,'Raw lists'!$C$2:$C$616,0))&amp;" | ",""))&amp;IF(L53="","",IFERROR(INDEX('Raw lists'!$C$2:$C$616,MATCH(L53,'Raw lists'!$C$2:$C$616,0))&amp;" | ",""))&amp;IF(M53="","",IFERROR(INDEX('Raw lists'!$C$2:$C$616,MATCH(M53,'Raw lists'!$C$2:$C$616,0))&amp;" | ",""))&amp;IF(N53="","",IFERROR(INDEX('Raw lists'!$C$2:$C$616,MATCH(N53,'Raw lists'!$C$2:$C$616,0))&amp;" | ",""))&amp;IF(O53="","",IFERROR(INDEX('Raw lists'!$C$2:$C$616,MATCH(O53,'Raw lists'!$C$2:$C$616,0))&amp;" | ",""))&amp;IF(P53="","",IFERROR(INDEX('Raw lists'!$C$2:$C$616,MATCH(P53,'Raw lists'!$C$2:$C$616,0))&amp;" | ","")))=0,"",LEFT(IF(K53="","",IFERROR(INDEX('Raw lists'!$C$2:$C$616,MATCH(K53,'Raw lists'!$C$2:$C$616,0))&amp;" | ",""))&amp;IF(L53="","",IFERROR(INDEX('Raw lists'!$C$2:$C$616,MATCH(L53,'Raw lists'!$C$2:$C$616,0))&amp;" | ",""))&amp;IF(M53="","",IFERROR(INDEX('Raw lists'!$C$2:$C$616,MATCH(M53,'Raw lists'!$C$2:$C$616,0))&amp;" | ",""))&amp;IF(N53="","",IFERROR(INDEX('Raw lists'!$C$2:$C$616,MATCH(N53,'Raw lists'!$C$2:$C$616,0))&amp;" | ",""))&amp;IF(O53="","",IFERROR(INDEX('Raw lists'!$C$2:$C$616,MATCH(O53,'Raw lists'!$C$2:$C$616,0))&amp;" | ",""))&amp;IF(P53="","",IFERROR(INDEX('Raw lists'!$C$2:$C$616,MATCH(P53,'Raw lists'!$C$2:$C$616,0))&amp;" | ","")),LEN(IF(K53="","",IFERROR(INDEX('Raw lists'!$C$2:$C$616,MATCH(K53,'Raw lists'!$C$2:$C$616,0))&amp;" | ",""))&amp;IF(L53="","",IFERROR(INDEX('Raw lists'!$C$2:$C$616,MATCH(L53,'Raw lists'!$C$2:$C$616,0))&amp;" | ",""))&amp;IF(M53="","",IFERROR(INDEX('Raw lists'!$C$2:$C$616,MATCH(M53,'Raw lists'!$C$2:$C$616,0))&amp;" | ",""))&amp;IF(N53="","",IFERROR(INDEX('Raw lists'!$C$2:$C$616,MATCH(N53,'Raw lists'!$C$2:$C$616,0))&amp;" | ",""))&amp;IF(O53="","",IFERROR(INDEX('Raw lists'!$C$2:$C$616,MATCH(O53,'Raw lists'!$C$2:$C$616,0))&amp;" | ",""))&amp;IF(P53="","",IFERROR(INDEX('Raw lists'!$C$2:$C$616,MATCH(P53,'Raw lists'!$C$2:$C$616,0))&amp;" | ","")))-3))</f>
        <v>Energy Levels | Energy Level | Lower Energy Level | Lower Energy Levels | Higher Energy Levels | Upper Energy Levels</v>
      </c>
      <c r="F53" s="28" t="s">
        <v>17</v>
      </c>
      <c r="G53" s="30" t="s">
        <v>210</v>
      </c>
      <c r="H53" s="28">
        <f t="shared" si="0"/>
        <v>3</v>
      </c>
      <c r="I53" s="31" t="str">
        <f t="shared" si="1"/>
        <v>All three</v>
      </c>
      <c r="K53" s="32" t="s">
        <v>211</v>
      </c>
      <c r="L53" s="32" t="s">
        <v>212</v>
      </c>
      <c r="M53" s="32" t="s">
        <v>213</v>
      </c>
      <c r="N53" s="32" t="s">
        <v>214</v>
      </c>
      <c r="O53" s="32" t="s">
        <v>215</v>
      </c>
      <c r="P53" s="32" t="s">
        <v>216</v>
      </c>
    </row>
    <row r="54" spans="1:16" x14ac:dyDescent="0.3">
      <c r="A54" s="28">
        <v>53</v>
      </c>
      <c r="B54" s="29" t="s">
        <v>217</v>
      </c>
      <c r="C54" s="30" t="str">
        <f>IF(LEN(IF(K54="","",IFERROR(INDEX('Raw lists'!$A$2:$A$192,MATCH(K54,'Raw lists'!$A$2:$A$192,0))&amp;" | ",""))&amp;IF(L54="","",IFERROR(INDEX('Raw lists'!$A$2:$A$192,MATCH(L54,'Raw lists'!$A$2:$A$192,0))&amp;" | ",""))&amp;IF(M54="","",IFERROR(INDEX('Raw lists'!$A$2:$A$192,MATCH(M54,'Raw lists'!$A$2:$A$192,0))&amp;" | ",""))&amp;IF(N54="","",IFERROR(INDEX('Raw lists'!$A$2:$A$192,MATCH(N54,'Raw lists'!$A$2:$A$192,0))&amp;" | ",""))&amp;IF(O54="","",IFERROR(INDEX('Raw lists'!$A$2:$A$192,MATCH(O54,'Raw lists'!$A$2:$A$192,0))&amp;" | ",""))&amp;IF(P54="","",IFERROR(INDEX('Raw lists'!$A$2:$A$192,MATCH(P54,'Raw lists'!$A$2:$A$192,0))&amp;" | ","")))=0,"",LEFT(IF(K54="","",IFERROR(INDEX('Raw lists'!$A$2:$A$192,MATCH(K54,'Raw lists'!$A$2:$A$192,0))&amp;" | ",""))&amp;IF(L54="","",IFERROR(INDEX('Raw lists'!$A$2:$A$192,MATCH(L54,'Raw lists'!$A$2:$A$192,0))&amp;" | ",""))&amp;IF(M54="","",IFERROR(INDEX('Raw lists'!$A$2:$A$192,MATCH(M54,'Raw lists'!$A$2:$A$192,0))&amp;" | ",""))&amp;IF(N54="","",IFERROR(INDEX('Raw lists'!$A$2:$A$192,MATCH(N54,'Raw lists'!$A$2:$A$192,0))&amp;" | ",""))&amp;IF(O54="","",IFERROR(INDEX('Raw lists'!$A$2:$A$192,MATCH(O54,'Raw lists'!$A$2:$A$192,0))&amp;" | ",""))&amp;IF(P54="","",IFERROR(INDEX('Raw lists'!$A$2:$A$192,MATCH(P54,'Raw lists'!$A$2:$A$192,0))&amp;" | ","")),LEN(IF(K54="","",IFERROR(INDEX('Raw lists'!$A$2:$A$192,MATCH(K54,'Raw lists'!$A$2:$A$192,0))&amp;" | ",""))&amp;IF(L54="","",IFERROR(INDEX('Raw lists'!$A$2:$A$192,MATCH(L54,'Raw lists'!$A$2:$A$192,0))&amp;" | ",""))&amp;IF(M54="","",IFERROR(INDEX('Raw lists'!$A$2:$A$192,MATCH(M54,'Raw lists'!$A$2:$A$192,0))&amp;" | ",""))&amp;IF(N54="","",IFERROR(INDEX('Raw lists'!$A$2:$A$192,MATCH(N54,'Raw lists'!$A$2:$A$192,0))&amp;" | ",""))&amp;IF(O54="","",IFERROR(INDEX('Raw lists'!$A$2:$A$192,MATCH(O54,'Raw lists'!$A$2:$A$192,0))&amp;" | ",""))&amp;IF(P54="","",IFERROR(INDEX('Raw lists'!$A$2:$A$192,MATCH(P54,'Raw lists'!$A$2:$A$192,0))&amp;" | ","")))-3))</f>
        <v>Energy Level Diagram</v>
      </c>
      <c r="D54" s="30" t="str">
        <f>IF(LEN(IF(K54="","",IFERROR(INDEX('Raw lists'!$B$2:$B$627,MATCH(K54,'Raw lists'!$B$2:$B$627,0))&amp;" | ",""))&amp;IF(L54="","",IFERROR(INDEX('Raw lists'!$B$2:$B$627,MATCH(L54,'Raw lists'!$B$2:$B$627,0))&amp;" | ",""))&amp;IF(M54="","",IFERROR(INDEX('Raw lists'!$B$2:$B$627,MATCH(M54,'Raw lists'!$B$2:$B$627,0))&amp;" | ",""))&amp;IF(N54="","",IFERROR(INDEX('Raw lists'!$B$2:$B$627,MATCH(N54,'Raw lists'!$B$2:$B$627,0))&amp;" | ",""))&amp;IF(O54="","",IFERROR(INDEX('Raw lists'!$B$2:$B$627,MATCH(O54,'Raw lists'!$B$2:$B$627,0))&amp;" | ",""))&amp;IF(P54="","",IFERROR(INDEX('Raw lists'!$B$2:$B$627,MATCH(P54,'Raw lists'!$B$2:$B$627,0))&amp;" | ","")))=0,"",LEFT(IF(K54="","",IFERROR(INDEX('Raw lists'!$B$2:$B$627,MATCH(K54,'Raw lists'!$B$2:$B$627,0))&amp;" | ",""))&amp;IF(L54="","",IFERROR(INDEX('Raw lists'!$B$2:$B$627,MATCH(L54,'Raw lists'!$B$2:$B$627,0))&amp;" | ",""))&amp;IF(M54="","",IFERROR(INDEX('Raw lists'!$B$2:$B$627,MATCH(M54,'Raw lists'!$B$2:$B$627,0))&amp;" | ",""))&amp;IF(N54="","",IFERROR(INDEX('Raw lists'!$B$2:$B$627,MATCH(N54,'Raw lists'!$B$2:$B$627,0))&amp;" | ",""))&amp;IF(O54="","",IFERROR(INDEX('Raw lists'!$B$2:$B$627,MATCH(O54,'Raw lists'!$B$2:$B$627,0))&amp;" | ",""))&amp;IF(P54="","",IFERROR(INDEX('Raw lists'!$B$2:$B$627,MATCH(P54,'Raw lists'!$B$2:$B$627,0))&amp;" | ","")),LEN(IF(K54="","",IFERROR(INDEX('Raw lists'!$B$2:$B$627,MATCH(K54,'Raw lists'!$B$2:$B$627,0))&amp;" | ",""))&amp;IF(L54="","",IFERROR(INDEX('Raw lists'!$B$2:$B$627,MATCH(L54,'Raw lists'!$B$2:$B$627,0))&amp;" | ",""))&amp;IF(M54="","",IFERROR(INDEX('Raw lists'!$B$2:$B$627,MATCH(M54,'Raw lists'!$B$2:$B$627,0))&amp;" | ",""))&amp;IF(N54="","",IFERROR(INDEX('Raw lists'!$B$2:$B$627,MATCH(N54,'Raw lists'!$B$2:$B$627,0))&amp;" | ",""))&amp;IF(O54="","",IFERROR(INDEX('Raw lists'!$B$2:$B$627,MATCH(O54,'Raw lists'!$B$2:$B$627,0))&amp;" | ",""))&amp;IF(P54="","",IFERROR(INDEX('Raw lists'!$B$2:$B$627,MATCH(P54,'Raw lists'!$B$2:$B$627,0))&amp;" | ","")))-3))</f>
        <v>Energy Level Diagram</v>
      </c>
      <c r="E54" s="30" t="str">
        <f>IF(LEN(IF(K54="","",IFERROR(INDEX('Raw lists'!$C$2:$C$616,MATCH(K54,'Raw lists'!$C$2:$C$616,0))&amp;" | ",""))&amp;IF(L54="","",IFERROR(INDEX('Raw lists'!$C$2:$C$616,MATCH(L54,'Raw lists'!$C$2:$C$616,0))&amp;" | ",""))&amp;IF(M54="","",IFERROR(INDEX('Raw lists'!$C$2:$C$616,MATCH(M54,'Raw lists'!$C$2:$C$616,0))&amp;" | ",""))&amp;IF(N54="","",IFERROR(INDEX('Raw lists'!$C$2:$C$616,MATCH(N54,'Raw lists'!$C$2:$C$616,0))&amp;" | ",""))&amp;IF(O54="","",IFERROR(INDEX('Raw lists'!$C$2:$C$616,MATCH(O54,'Raw lists'!$C$2:$C$616,0))&amp;" | ",""))&amp;IF(P54="","",IFERROR(INDEX('Raw lists'!$C$2:$C$616,MATCH(P54,'Raw lists'!$C$2:$C$616,0))&amp;" | ","")))=0,"",LEFT(IF(K54="","",IFERROR(INDEX('Raw lists'!$C$2:$C$616,MATCH(K54,'Raw lists'!$C$2:$C$616,0))&amp;" | ",""))&amp;IF(L54="","",IFERROR(INDEX('Raw lists'!$C$2:$C$616,MATCH(L54,'Raw lists'!$C$2:$C$616,0))&amp;" | ",""))&amp;IF(M54="","",IFERROR(INDEX('Raw lists'!$C$2:$C$616,MATCH(M54,'Raw lists'!$C$2:$C$616,0))&amp;" | ",""))&amp;IF(N54="","",IFERROR(INDEX('Raw lists'!$C$2:$C$616,MATCH(N54,'Raw lists'!$C$2:$C$616,0))&amp;" | ",""))&amp;IF(O54="","",IFERROR(INDEX('Raw lists'!$C$2:$C$616,MATCH(O54,'Raw lists'!$C$2:$C$616,0))&amp;" | ",""))&amp;IF(P54="","",IFERROR(INDEX('Raw lists'!$C$2:$C$616,MATCH(P54,'Raw lists'!$C$2:$C$616,0))&amp;" | ","")),LEN(IF(K54="","",IFERROR(INDEX('Raw lists'!$C$2:$C$616,MATCH(K54,'Raw lists'!$C$2:$C$616,0))&amp;" | ",""))&amp;IF(L54="","",IFERROR(INDEX('Raw lists'!$C$2:$C$616,MATCH(L54,'Raw lists'!$C$2:$C$616,0))&amp;" | ",""))&amp;IF(M54="","",IFERROR(INDEX('Raw lists'!$C$2:$C$616,MATCH(M54,'Raw lists'!$C$2:$C$616,0))&amp;" | ",""))&amp;IF(N54="","",IFERROR(INDEX('Raw lists'!$C$2:$C$616,MATCH(N54,'Raw lists'!$C$2:$C$616,0))&amp;" | ",""))&amp;IF(O54="","",IFERROR(INDEX('Raw lists'!$C$2:$C$616,MATCH(O54,'Raw lists'!$C$2:$C$616,0))&amp;" | ",""))&amp;IF(P54="","",IFERROR(INDEX('Raw lists'!$C$2:$C$616,MATCH(P54,'Raw lists'!$C$2:$C$616,0))&amp;" | ","")))-3))</f>
        <v>Energy Level Diagram</v>
      </c>
      <c r="F54" s="28" t="s">
        <v>17</v>
      </c>
      <c r="G54" s="30" t="s">
        <v>218</v>
      </c>
      <c r="H54" s="28">
        <f t="shared" si="0"/>
        <v>3</v>
      </c>
      <c r="I54" s="31" t="str">
        <f t="shared" si="1"/>
        <v>All three</v>
      </c>
      <c r="K54" s="32" t="s">
        <v>219</v>
      </c>
      <c r="L54" s="32"/>
      <c r="M54" s="32"/>
      <c r="N54" s="32"/>
      <c r="O54" s="32"/>
      <c r="P54" s="32"/>
    </row>
    <row r="55" spans="1:16" x14ac:dyDescent="0.3">
      <c r="A55" s="28">
        <v>54</v>
      </c>
      <c r="B55" s="29" t="s">
        <v>220</v>
      </c>
      <c r="C55" s="30" t="str">
        <f>IF(LEN(IF(K55="","",IFERROR(INDEX('Raw lists'!$A$2:$A$192,MATCH(K55,'Raw lists'!$A$2:$A$192,0))&amp;" | ",""))&amp;IF(L55="","",IFERROR(INDEX('Raw lists'!$A$2:$A$192,MATCH(L55,'Raw lists'!$A$2:$A$192,0))&amp;" | ",""))&amp;IF(M55="","",IFERROR(INDEX('Raw lists'!$A$2:$A$192,MATCH(M55,'Raw lists'!$A$2:$A$192,0))&amp;" | ",""))&amp;IF(N55="","",IFERROR(INDEX('Raw lists'!$A$2:$A$192,MATCH(N55,'Raw lists'!$A$2:$A$192,0))&amp;" | ",""))&amp;IF(O55="","",IFERROR(INDEX('Raw lists'!$A$2:$A$192,MATCH(O55,'Raw lists'!$A$2:$A$192,0))&amp;" | ",""))&amp;IF(P55="","",IFERROR(INDEX('Raw lists'!$A$2:$A$192,MATCH(P55,'Raw lists'!$A$2:$A$192,0))&amp;" | ","")))=0,"",LEFT(IF(K55="","",IFERROR(INDEX('Raw lists'!$A$2:$A$192,MATCH(K55,'Raw lists'!$A$2:$A$192,0))&amp;" | ",""))&amp;IF(L55="","",IFERROR(INDEX('Raw lists'!$A$2:$A$192,MATCH(L55,'Raw lists'!$A$2:$A$192,0))&amp;" | ",""))&amp;IF(M55="","",IFERROR(INDEX('Raw lists'!$A$2:$A$192,MATCH(M55,'Raw lists'!$A$2:$A$192,0))&amp;" | ",""))&amp;IF(N55="","",IFERROR(INDEX('Raw lists'!$A$2:$A$192,MATCH(N55,'Raw lists'!$A$2:$A$192,0))&amp;" | ",""))&amp;IF(O55="","",IFERROR(INDEX('Raw lists'!$A$2:$A$192,MATCH(O55,'Raw lists'!$A$2:$A$192,0))&amp;" | ",""))&amp;IF(P55="","",IFERROR(INDEX('Raw lists'!$A$2:$A$192,MATCH(P55,'Raw lists'!$A$2:$A$192,0))&amp;" | ","")),LEN(IF(K55="","",IFERROR(INDEX('Raw lists'!$A$2:$A$192,MATCH(K55,'Raw lists'!$A$2:$A$192,0))&amp;" | ",""))&amp;IF(L55="","",IFERROR(INDEX('Raw lists'!$A$2:$A$192,MATCH(L55,'Raw lists'!$A$2:$A$192,0))&amp;" | ",""))&amp;IF(M55="","",IFERROR(INDEX('Raw lists'!$A$2:$A$192,MATCH(M55,'Raw lists'!$A$2:$A$192,0))&amp;" | ",""))&amp;IF(N55="","",IFERROR(INDEX('Raw lists'!$A$2:$A$192,MATCH(N55,'Raw lists'!$A$2:$A$192,0))&amp;" | ",""))&amp;IF(O55="","",IFERROR(INDEX('Raw lists'!$A$2:$A$192,MATCH(O55,'Raw lists'!$A$2:$A$192,0))&amp;" | ",""))&amp;IF(P55="","",IFERROR(INDEX('Raw lists'!$A$2:$A$192,MATCH(P55,'Raw lists'!$A$2:$A$192,0))&amp;" | ","")))-3))</f>
        <v/>
      </c>
      <c r="D55" s="30" t="str">
        <f>IF(LEN(IF(K55="","",IFERROR(INDEX('Raw lists'!$B$2:$B$627,MATCH(K55,'Raw lists'!$B$2:$B$627,0))&amp;" | ",""))&amp;IF(L55="","",IFERROR(INDEX('Raw lists'!$B$2:$B$627,MATCH(L55,'Raw lists'!$B$2:$B$627,0))&amp;" | ",""))&amp;IF(M55="","",IFERROR(INDEX('Raw lists'!$B$2:$B$627,MATCH(M55,'Raw lists'!$B$2:$B$627,0))&amp;" | ",""))&amp;IF(N55="","",IFERROR(INDEX('Raw lists'!$B$2:$B$627,MATCH(N55,'Raw lists'!$B$2:$B$627,0))&amp;" | ",""))&amp;IF(O55="","",IFERROR(INDEX('Raw lists'!$B$2:$B$627,MATCH(O55,'Raw lists'!$B$2:$B$627,0))&amp;" | ",""))&amp;IF(P55="","",IFERROR(INDEX('Raw lists'!$B$2:$B$627,MATCH(P55,'Raw lists'!$B$2:$B$627,0))&amp;" | ","")))=0,"",LEFT(IF(K55="","",IFERROR(INDEX('Raw lists'!$B$2:$B$627,MATCH(K55,'Raw lists'!$B$2:$B$627,0))&amp;" | ",""))&amp;IF(L55="","",IFERROR(INDEX('Raw lists'!$B$2:$B$627,MATCH(L55,'Raw lists'!$B$2:$B$627,0))&amp;" | ",""))&amp;IF(M55="","",IFERROR(INDEX('Raw lists'!$B$2:$B$627,MATCH(M55,'Raw lists'!$B$2:$B$627,0))&amp;" | ",""))&amp;IF(N55="","",IFERROR(INDEX('Raw lists'!$B$2:$B$627,MATCH(N55,'Raw lists'!$B$2:$B$627,0))&amp;" | ",""))&amp;IF(O55="","",IFERROR(INDEX('Raw lists'!$B$2:$B$627,MATCH(O55,'Raw lists'!$B$2:$B$627,0))&amp;" | ",""))&amp;IF(P55="","",IFERROR(INDEX('Raw lists'!$B$2:$B$627,MATCH(P55,'Raw lists'!$B$2:$B$627,0))&amp;" | ","")),LEN(IF(K55="","",IFERROR(INDEX('Raw lists'!$B$2:$B$627,MATCH(K55,'Raw lists'!$B$2:$B$627,0))&amp;" | ",""))&amp;IF(L55="","",IFERROR(INDEX('Raw lists'!$B$2:$B$627,MATCH(L55,'Raw lists'!$B$2:$B$627,0))&amp;" | ",""))&amp;IF(M55="","",IFERROR(INDEX('Raw lists'!$B$2:$B$627,MATCH(M55,'Raw lists'!$B$2:$B$627,0))&amp;" | ",""))&amp;IF(N55="","",IFERROR(INDEX('Raw lists'!$B$2:$B$627,MATCH(N55,'Raw lists'!$B$2:$B$627,0))&amp;" | ",""))&amp;IF(O55="","",IFERROR(INDEX('Raw lists'!$B$2:$B$627,MATCH(O55,'Raw lists'!$B$2:$B$627,0))&amp;" | ",""))&amp;IF(P55="","",IFERROR(INDEX('Raw lists'!$B$2:$B$627,MATCH(P55,'Raw lists'!$B$2:$B$627,0))&amp;" | ","")))-3))</f>
        <v>Photon</v>
      </c>
      <c r="E55" s="30" t="str">
        <f>IF(LEN(IF(K55="","",IFERROR(INDEX('Raw lists'!$C$2:$C$616,MATCH(K55,'Raw lists'!$C$2:$C$616,0))&amp;" | ",""))&amp;IF(L55="","",IFERROR(INDEX('Raw lists'!$C$2:$C$616,MATCH(L55,'Raw lists'!$C$2:$C$616,0))&amp;" | ",""))&amp;IF(M55="","",IFERROR(INDEX('Raw lists'!$C$2:$C$616,MATCH(M55,'Raw lists'!$C$2:$C$616,0))&amp;" | ",""))&amp;IF(N55="","",IFERROR(INDEX('Raw lists'!$C$2:$C$616,MATCH(N55,'Raw lists'!$C$2:$C$616,0))&amp;" | ",""))&amp;IF(O55="","",IFERROR(INDEX('Raw lists'!$C$2:$C$616,MATCH(O55,'Raw lists'!$C$2:$C$616,0))&amp;" | ",""))&amp;IF(P55="","",IFERROR(INDEX('Raw lists'!$C$2:$C$616,MATCH(P55,'Raw lists'!$C$2:$C$616,0))&amp;" | ","")))=0,"",LEFT(IF(K55="","",IFERROR(INDEX('Raw lists'!$C$2:$C$616,MATCH(K55,'Raw lists'!$C$2:$C$616,0))&amp;" | ",""))&amp;IF(L55="","",IFERROR(INDEX('Raw lists'!$C$2:$C$616,MATCH(L55,'Raw lists'!$C$2:$C$616,0))&amp;" | ",""))&amp;IF(M55="","",IFERROR(INDEX('Raw lists'!$C$2:$C$616,MATCH(M55,'Raw lists'!$C$2:$C$616,0))&amp;" | ",""))&amp;IF(N55="","",IFERROR(INDEX('Raw lists'!$C$2:$C$616,MATCH(N55,'Raw lists'!$C$2:$C$616,0))&amp;" | ",""))&amp;IF(O55="","",IFERROR(INDEX('Raw lists'!$C$2:$C$616,MATCH(O55,'Raw lists'!$C$2:$C$616,0))&amp;" | ",""))&amp;IF(P55="","",IFERROR(INDEX('Raw lists'!$C$2:$C$616,MATCH(P55,'Raw lists'!$C$2:$C$616,0))&amp;" | ","")),LEN(IF(K55="","",IFERROR(INDEX('Raw lists'!$C$2:$C$616,MATCH(K55,'Raw lists'!$C$2:$C$616,0))&amp;" | ",""))&amp;IF(L55="","",IFERROR(INDEX('Raw lists'!$C$2:$C$616,MATCH(L55,'Raw lists'!$C$2:$C$616,0))&amp;" | ",""))&amp;IF(M55="","",IFERROR(INDEX('Raw lists'!$C$2:$C$616,MATCH(M55,'Raw lists'!$C$2:$C$616,0))&amp;" | ",""))&amp;IF(N55="","",IFERROR(INDEX('Raw lists'!$C$2:$C$616,MATCH(N55,'Raw lists'!$C$2:$C$616,0))&amp;" | ",""))&amp;IF(O55="","",IFERROR(INDEX('Raw lists'!$C$2:$C$616,MATCH(O55,'Raw lists'!$C$2:$C$616,0))&amp;" | ",""))&amp;IF(P55="","",IFERROR(INDEX('Raw lists'!$C$2:$C$616,MATCH(P55,'Raw lists'!$C$2:$C$616,0))&amp;" | ","")))-3))</f>
        <v>Photon | Photons</v>
      </c>
      <c r="F55" s="28" t="s">
        <v>17</v>
      </c>
      <c r="G55" s="30" t="s">
        <v>221</v>
      </c>
      <c r="H55" s="28">
        <f t="shared" si="0"/>
        <v>2</v>
      </c>
      <c r="I55" s="31" t="str">
        <f t="shared" si="1"/>
        <v>RAKE + YAKE</v>
      </c>
      <c r="K55" s="32" t="s">
        <v>220</v>
      </c>
      <c r="L55" s="32" t="s">
        <v>222</v>
      </c>
      <c r="M55" s="32"/>
      <c r="N55" s="32"/>
      <c r="O55" s="32"/>
      <c r="P55" s="32"/>
    </row>
    <row r="56" spans="1:16" x14ac:dyDescent="0.3">
      <c r="A56" s="28">
        <v>55</v>
      </c>
      <c r="B56" s="29" t="s">
        <v>223</v>
      </c>
      <c r="C56" s="30" t="str">
        <f>IF(LEN(IF(K56="","",IFERROR(INDEX('Raw lists'!$A$2:$A$192,MATCH(K56,'Raw lists'!$A$2:$A$192,0))&amp;" | ",""))&amp;IF(L56="","",IFERROR(INDEX('Raw lists'!$A$2:$A$192,MATCH(L56,'Raw lists'!$A$2:$A$192,0))&amp;" | ",""))&amp;IF(M56="","",IFERROR(INDEX('Raw lists'!$A$2:$A$192,MATCH(M56,'Raw lists'!$A$2:$A$192,0))&amp;" | ",""))&amp;IF(N56="","",IFERROR(INDEX('Raw lists'!$A$2:$A$192,MATCH(N56,'Raw lists'!$A$2:$A$192,0))&amp;" | ",""))&amp;IF(O56="","",IFERROR(INDEX('Raw lists'!$A$2:$A$192,MATCH(O56,'Raw lists'!$A$2:$A$192,0))&amp;" | ",""))&amp;IF(P56="","",IFERROR(INDEX('Raw lists'!$A$2:$A$192,MATCH(P56,'Raw lists'!$A$2:$A$192,0))&amp;" | ","")))=0,"",LEFT(IF(K56="","",IFERROR(INDEX('Raw lists'!$A$2:$A$192,MATCH(K56,'Raw lists'!$A$2:$A$192,0))&amp;" | ",""))&amp;IF(L56="","",IFERROR(INDEX('Raw lists'!$A$2:$A$192,MATCH(L56,'Raw lists'!$A$2:$A$192,0))&amp;" | ",""))&amp;IF(M56="","",IFERROR(INDEX('Raw lists'!$A$2:$A$192,MATCH(M56,'Raw lists'!$A$2:$A$192,0))&amp;" | ",""))&amp;IF(N56="","",IFERROR(INDEX('Raw lists'!$A$2:$A$192,MATCH(N56,'Raw lists'!$A$2:$A$192,0))&amp;" | ",""))&amp;IF(O56="","",IFERROR(INDEX('Raw lists'!$A$2:$A$192,MATCH(O56,'Raw lists'!$A$2:$A$192,0))&amp;" | ",""))&amp;IF(P56="","",IFERROR(INDEX('Raw lists'!$A$2:$A$192,MATCH(P56,'Raw lists'!$A$2:$A$192,0))&amp;" | ","")),LEN(IF(K56="","",IFERROR(INDEX('Raw lists'!$A$2:$A$192,MATCH(K56,'Raw lists'!$A$2:$A$192,0))&amp;" | ",""))&amp;IF(L56="","",IFERROR(INDEX('Raw lists'!$A$2:$A$192,MATCH(L56,'Raw lists'!$A$2:$A$192,0))&amp;" | ",""))&amp;IF(M56="","",IFERROR(INDEX('Raw lists'!$A$2:$A$192,MATCH(M56,'Raw lists'!$A$2:$A$192,0))&amp;" | ",""))&amp;IF(N56="","",IFERROR(INDEX('Raw lists'!$A$2:$A$192,MATCH(N56,'Raw lists'!$A$2:$A$192,0))&amp;" | ",""))&amp;IF(O56="","",IFERROR(INDEX('Raw lists'!$A$2:$A$192,MATCH(O56,'Raw lists'!$A$2:$A$192,0))&amp;" | ",""))&amp;IF(P56="","",IFERROR(INDEX('Raw lists'!$A$2:$A$192,MATCH(P56,'Raw lists'!$A$2:$A$192,0))&amp;" | ","")))-3))</f>
        <v>Planck Constant</v>
      </c>
      <c r="D56" s="30" t="str">
        <f>IF(LEN(IF(K56="","",IFERROR(INDEX('Raw lists'!$B$2:$B$627,MATCH(K56,'Raw lists'!$B$2:$B$627,0))&amp;" | ",""))&amp;IF(L56="","",IFERROR(INDEX('Raw lists'!$B$2:$B$627,MATCH(L56,'Raw lists'!$B$2:$B$627,0))&amp;" | ",""))&amp;IF(M56="","",IFERROR(INDEX('Raw lists'!$B$2:$B$627,MATCH(M56,'Raw lists'!$B$2:$B$627,0))&amp;" | ",""))&amp;IF(N56="","",IFERROR(INDEX('Raw lists'!$B$2:$B$627,MATCH(N56,'Raw lists'!$B$2:$B$627,0))&amp;" | ",""))&amp;IF(O56="","",IFERROR(INDEX('Raw lists'!$B$2:$B$627,MATCH(O56,'Raw lists'!$B$2:$B$627,0))&amp;" | ",""))&amp;IF(P56="","",IFERROR(INDEX('Raw lists'!$B$2:$B$627,MATCH(P56,'Raw lists'!$B$2:$B$627,0))&amp;" | ","")))=0,"",LEFT(IF(K56="","",IFERROR(INDEX('Raw lists'!$B$2:$B$627,MATCH(K56,'Raw lists'!$B$2:$B$627,0))&amp;" | ",""))&amp;IF(L56="","",IFERROR(INDEX('Raw lists'!$B$2:$B$627,MATCH(L56,'Raw lists'!$B$2:$B$627,0))&amp;" | ",""))&amp;IF(M56="","",IFERROR(INDEX('Raw lists'!$B$2:$B$627,MATCH(M56,'Raw lists'!$B$2:$B$627,0))&amp;" | ",""))&amp;IF(N56="","",IFERROR(INDEX('Raw lists'!$B$2:$B$627,MATCH(N56,'Raw lists'!$B$2:$B$627,0))&amp;" | ",""))&amp;IF(O56="","",IFERROR(INDEX('Raw lists'!$B$2:$B$627,MATCH(O56,'Raw lists'!$B$2:$B$627,0))&amp;" | ",""))&amp;IF(P56="","",IFERROR(INDEX('Raw lists'!$B$2:$B$627,MATCH(P56,'Raw lists'!$B$2:$B$627,0))&amp;" | ","")),LEN(IF(K56="","",IFERROR(INDEX('Raw lists'!$B$2:$B$627,MATCH(K56,'Raw lists'!$B$2:$B$627,0))&amp;" | ",""))&amp;IF(L56="","",IFERROR(INDEX('Raw lists'!$B$2:$B$627,MATCH(L56,'Raw lists'!$B$2:$B$627,0))&amp;" | ",""))&amp;IF(M56="","",IFERROR(INDEX('Raw lists'!$B$2:$B$627,MATCH(M56,'Raw lists'!$B$2:$B$627,0))&amp;" | ",""))&amp;IF(N56="","",IFERROR(INDEX('Raw lists'!$B$2:$B$627,MATCH(N56,'Raw lists'!$B$2:$B$627,0))&amp;" | ",""))&amp;IF(O56="","",IFERROR(INDEX('Raw lists'!$B$2:$B$627,MATCH(O56,'Raw lists'!$B$2:$B$627,0))&amp;" | ",""))&amp;IF(P56="","",IFERROR(INDEX('Raw lists'!$B$2:$B$627,MATCH(P56,'Raw lists'!$B$2:$B$627,0))&amp;" | ","")))-3))</f>
        <v/>
      </c>
      <c r="E56" s="30" t="str">
        <f>IF(LEN(IF(K56="","",IFERROR(INDEX('Raw lists'!$C$2:$C$616,MATCH(K56,'Raw lists'!$C$2:$C$616,0))&amp;" | ",""))&amp;IF(L56="","",IFERROR(INDEX('Raw lists'!$C$2:$C$616,MATCH(L56,'Raw lists'!$C$2:$C$616,0))&amp;" | ",""))&amp;IF(M56="","",IFERROR(INDEX('Raw lists'!$C$2:$C$616,MATCH(M56,'Raw lists'!$C$2:$C$616,0))&amp;" | ",""))&amp;IF(N56="","",IFERROR(INDEX('Raw lists'!$C$2:$C$616,MATCH(N56,'Raw lists'!$C$2:$C$616,0))&amp;" | ",""))&amp;IF(O56="","",IFERROR(INDEX('Raw lists'!$C$2:$C$616,MATCH(O56,'Raw lists'!$C$2:$C$616,0))&amp;" | ",""))&amp;IF(P56="","",IFERROR(INDEX('Raw lists'!$C$2:$C$616,MATCH(P56,'Raw lists'!$C$2:$C$616,0))&amp;" | ","")))=0,"",LEFT(IF(K56="","",IFERROR(INDEX('Raw lists'!$C$2:$C$616,MATCH(K56,'Raw lists'!$C$2:$C$616,0))&amp;" | ",""))&amp;IF(L56="","",IFERROR(INDEX('Raw lists'!$C$2:$C$616,MATCH(L56,'Raw lists'!$C$2:$C$616,0))&amp;" | ",""))&amp;IF(M56="","",IFERROR(INDEX('Raw lists'!$C$2:$C$616,MATCH(M56,'Raw lists'!$C$2:$C$616,0))&amp;" | ",""))&amp;IF(N56="","",IFERROR(INDEX('Raw lists'!$C$2:$C$616,MATCH(N56,'Raw lists'!$C$2:$C$616,0))&amp;" | ",""))&amp;IF(O56="","",IFERROR(INDEX('Raw lists'!$C$2:$C$616,MATCH(O56,'Raw lists'!$C$2:$C$616,0))&amp;" | ",""))&amp;IF(P56="","",IFERROR(INDEX('Raw lists'!$C$2:$C$616,MATCH(P56,'Raw lists'!$C$2:$C$616,0))&amp;" | ","")),LEN(IF(K56="","",IFERROR(INDEX('Raw lists'!$C$2:$C$616,MATCH(K56,'Raw lists'!$C$2:$C$616,0))&amp;" | ",""))&amp;IF(L56="","",IFERROR(INDEX('Raw lists'!$C$2:$C$616,MATCH(L56,'Raw lists'!$C$2:$C$616,0))&amp;" | ",""))&amp;IF(M56="","",IFERROR(INDEX('Raw lists'!$C$2:$C$616,MATCH(M56,'Raw lists'!$C$2:$C$616,0))&amp;" | ",""))&amp;IF(N56="","",IFERROR(INDEX('Raw lists'!$C$2:$C$616,MATCH(N56,'Raw lists'!$C$2:$C$616,0))&amp;" | ",""))&amp;IF(O56="","",IFERROR(INDEX('Raw lists'!$C$2:$C$616,MATCH(O56,'Raw lists'!$C$2:$C$616,0))&amp;" | ",""))&amp;IF(P56="","",IFERROR(INDEX('Raw lists'!$C$2:$C$616,MATCH(P56,'Raw lists'!$C$2:$C$616,0))&amp;" | ","")))-3))</f>
        <v>Planck Constant</v>
      </c>
      <c r="F56" s="28" t="s">
        <v>17</v>
      </c>
      <c r="G56" s="30" t="s">
        <v>224</v>
      </c>
      <c r="H56" s="28">
        <f t="shared" si="0"/>
        <v>2</v>
      </c>
      <c r="I56" s="31" t="str">
        <f t="shared" si="1"/>
        <v>Gemini + YAKE</v>
      </c>
      <c r="K56" s="32" t="s">
        <v>225</v>
      </c>
      <c r="L56" s="32"/>
      <c r="M56" s="32"/>
      <c r="N56" s="32"/>
      <c r="O56" s="32"/>
      <c r="P56" s="32"/>
    </row>
    <row r="57" spans="1:16" ht="26.4" x14ac:dyDescent="0.3">
      <c r="A57" s="28">
        <v>56</v>
      </c>
      <c r="B57" s="29" t="s">
        <v>226</v>
      </c>
      <c r="C57" s="30" t="str">
        <f>IF(LEN(IF(K57="","",IFERROR(INDEX('Raw lists'!$A$2:$A$192,MATCH(K57,'Raw lists'!$A$2:$A$192,0))&amp;" | ",""))&amp;IF(L57="","",IFERROR(INDEX('Raw lists'!$A$2:$A$192,MATCH(L57,'Raw lists'!$A$2:$A$192,0))&amp;" | ",""))&amp;IF(M57="","",IFERROR(INDEX('Raw lists'!$A$2:$A$192,MATCH(M57,'Raw lists'!$A$2:$A$192,0))&amp;" | ",""))&amp;IF(N57="","",IFERROR(INDEX('Raw lists'!$A$2:$A$192,MATCH(N57,'Raw lists'!$A$2:$A$192,0))&amp;" | ",""))&amp;IF(O57="","",IFERROR(INDEX('Raw lists'!$A$2:$A$192,MATCH(O57,'Raw lists'!$A$2:$A$192,0))&amp;" | ",""))&amp;IF(P57="","",IFERROR(INDEX('Raw lists'!$A$2:$A$192,MATCH(P57,'Raw lists'!$A$2:$A$192,0))&amp;" | ","")))=0,"",LEFT(IF(K57="","",IFERROR(INDEX('Raw lists'!$A$2:$A$192,MATCH(K57,'Raw lists'!$A$2:$A$192,0))&amp;" | ",""))&amp;IF(L57="","",IFERROR(INDEX('Raw lists'!$A$2:$A$192,MATCH(L57,'Raw lists'!$A$2:$A$192,0))&amp;" | ",""))&amp;IF(M57="","",IFERROR(INDEX('Raw lists'!$A$2:$A$192,MATCH(M57,'Raw lists'!$A$2:$A$192,0))&amp;" | ",""))&amp;IF(N57="","",IFERROR(INDEX('Raw lists'!$A$2:$A$192,MATCH(N57,'Raw lists'!$A$2:$A$192,0))&amp;" | ",""))&amp;IF(O57="","",IFERROR(INDEX('Raw lists'!$A$2:$A$192,MATCH(O57,'Raw lists'!$A$2:$A$192,0))&amp;" | ",""))&amp;IF(P57="","",IFERROR(INDEX('Raw lists'!$A$2:$A$192,MATCH(P57,'Raw lists'!$A$2:$A$192,0))&amp;" | ","")),LEN(IF(K57="","",IFERROR(INDEX('Raw lists'!$A$2:$A$192,MATCH(K57,'Raw lists'!$A$2:$A$192,0))&amp;" | ",""))&amp;IF(L57="","",IFERROR(INDEX('Raw lists'!$A$2:$A$192,MATCH(L57,'Raw lists'!$A$2:$A$192,0))&amp;" | ",""))&amp;IF(M57="","",IFERROR(INDEX('Raw lists'!$A$2:$A$192,MATCH(M57,'Raw lists'!$A$2:$A$192,0))&amp;" | ",""))&amp;IF(N57="","",IFERROR(INDEX('Raw lists'!$A$2:$A$192,MATCH(N57,'Raw lists'!$A$2:$A$192,0))&amp;" | ",""))&amp;IF(O57="","",IFERROR(INDEX('Raw lists'!$A$2:$A$192,MATCH(O57,'Raw lists'!$A$2:$A$192,0))&amp;" | ",""))&amp;IF(P57="","",IFERROR(INDEX('Raw lists'!$A$2:$A$192,MATCH(P57,'Raw lists'!$A$2:$A$192,0))&amp;" | ","")))-3))</f>
        <v>Active Medium | Active Medium, Pumping</v>
      </c>
      <c r="D57" s="30" t="str">
        <f>IF(LEN(IF(K57="","",IFERROR(INDEX('Raw lists'!$B$2:$B$627,MATCH(K57,'Raw lists'!$B$2:$B$627,0))&amp;" | ",""))&amp;IF(L57="","",IFERROR(INDEX('Raw lists'!$B$2:$B$627,MATCH(L57,'Raw lists'!$B$2:$B$627,0))&amp;" | ",""))&amp;IF(M57="","",IFERROR(INDEX('Raw lists'!$B$2:$B$627,MATCH(M57,'Raw lists'!$B$2:$B$627,0))&amp;" | ",""))&amp;IF(N57="","",IFERROR(INDEX('Raw lists'!$B$2:$B$627,MATCH(N57,'Raw lists'!$B$2:$B$627,0))&amp;" | ",""))&amp;IF(O57="","",IFERROR(INDEX('Raw lists'!$B$2:$B$627,MATCH(O57,'Raw lists'!$B$2:$B$627,0))&amp;" | ",""))&amp;IF(P57="","",IFERROR(INDEX('Raw lists'!$B$2:$B$627,MATCH(P57,'Raw lists'!$B$2:$B$627,0))&amp;" | ","")))=0,"",LEFT(IF(K57="","",IFERROR(INDEX('Raw lists'!$B$2:$B$627,MATCH(K57,'Raw lists'!$B$2:$B$627,0))&amp;" | ",""))&amp;IF(L57="","",IFERROR(INDEX('Raw lists'!$B$2:$B$627,MATCH(L57,'Raw lists'!$B$2:$B$627,0))&amp;" | ",""))&amp;IF(M57="","",IFERROR(INDEX('Raw lists'!$B$2:$B$627,MATCH(M57,'Raw lists'!$B$2:$B$627,0))&amp;" | ",""))&amp;IF(N57="","",IFERROR(INDEX('Raw lists'!$B$2:$B$627,MATCH(N57,'Raw lists'!$B$2:$B$627,0))&amp;" | ",""))&amp;IF(O57="","",IFERROR(INDEX('Raw lists'!$B$2:$B$627,MATCH(O57,'Raw lists'!$B$2:$B$627,0))&amp;" | ",""))&amp;IF(P57="","",IFERROR(INDEX('Raw lists'!$B$2:$B$627,MATCH(P57,'Raw lists'!$B$2:$B$627,0))&amp;" | ","")),LEN(IF(K57="","",IFERROR(INDEX('Raw lists'!$B$2:$B$627,MATCH(K57,'Raw lists'!$B$2:$B$627,0))&amp;" | ",""))&amp;IF(L57="","",IFERROR(INDEX('Raw lists'!$B$2:$B$627,MATCH(L57,'Raw lists'!$B$2:$B$627,0))&amp;" | ",""))&amp;IF(M57="","",IFERROR(INDEX('Raw lists'!$B$2:$B$627,MATCH(M57,'Raw lists'!$B$2:$B$627,0))&amp;" | ",""))&amp;IF(N57="","",IFERROR(INDEX('Raw lists'!$B$2:$B$627,MATCH(N57,'Raw lists'!$B$2:$B$627,0))&amp;" | ",""))&amp;IF(O57="","",IFERROR(INDEX('Raw lists'!$B$2:$B$627,MATCH(O57,'Raw lists'!$B$2:$B$627,0))&amp;" | ",""))&amp;IF(P57="","",IFERROR(INDEX('Raw lists'!$B$2:$B$627,MATCH(P57,'Raw lists'!$B$2:$B$627,0))&amp;" | ","")))-3))</f>
        <v>Active Medium, Pumping</v>
      </c>
      <c r="E57" s="30" t="str">
        <f>IF(LEN(IF(K57="","",IFERROR(INDEX('Raw lists'!$C$2:$C$616,MATCH(K57,'Raw lists'!$C$2:$C$616,0))&amp;" | ",""))&amp;IF(L57="","",IFERROR(INDEX('Raw lists'!$C$2:$C$616,MATCH(L57,'Raw lists'!$C$2:$C$616,0))&amp;" | ",""))&amp;IF(M57="","",IFERROR(INDEX('Raw lists'!$C$2:$C$616,MATCH(M57,'Raw lists'!$C$2:$C$616,0))&amp;" | ",""))&amp;IF(N57="","",IFERROR(INDEX('Raw lists'!$C$2:$C$616,MATCH(N57,'Raw lists'!$C$2:$C$616,0))&amp;" | ",""))&amp;IF(O57="","",IFERROR(INDEX('Raw lists'!$C$2:$C$616,MATCH(O57,'Raw lists'!$C$2:$C$616,0))&amp;" | ",""))&amp;IF(P57="","",IFERROR(INDEX('Raw lists'!$C$2:$C$616,MATCH(P57,'Raw lists'!$C$2:$C$616,0))&amp;" | ","")))=0,"",LEFT(IF(K57="","",IFERROR(INDEX('Raw lists'!$C$2:$C$616,MATCH(K57,'Raw lists'!$C$2:$C$616,0))&amp;" | ",""))&amp;IF(L57="","",IFERROR(INDEX('Raw lists'!$C$2:$C$616,MATCH(L57,'Raw lists'!$C$2:$C$616,0))&amp;" | ",""))&amp;IF(M57="","",IFERROR(INDEX('Raw lists'!$C$2:$C$616,MATCH(M57,'Raw lists'!$C$2:$C$616,0))&amp;" | ",""))&amp;IF(N57="","",IFERROR(INDEX('Raw lists'!$C$2:$C$616,MATCH(N57,'Raw lists'!$C$2:$C$616,0))&amp;" | ",""))&amp;IF(O57="","",IFERROR(INDEX('Raw lists'!$C$2:$C$616,MATCH(O57,'Raw lists'!$C$2:$C$616,0))&amp;" | ",""))&amp;IF(P57="","",IFERROR(INDEX('Raw lists'!$C$2:$C$616,MATCH(P57,'Raw lists'!$C$2:$C$616,0))&amp;" | ","")),LEN(IF(K57="","",IFERROR(INDEX('Raw lists'!$C$2:$C$616,MATCH(K57,'Raw lists'!$C$2:$C$616,0))&amp;" | ",""))&amp;IF(L57="","",IFERROR(INDEX('Raw lists'!$C$2:$C$616,MATCH(L57,'Raw lists'!$C$2:$C$616,0))&amp;" | ",""))&amp;IF(M57="","",IFERROR(INDEX('Raw lists'!$C$2:$C$616,MATCH(M57,'Raw lists'!$C$2:$C$616,0))&amp;" | ",""))&amp;IF(N57="","",IFERROR(INDEX('Raw lists'!$C$2:$C$616,MATCH(N57,'Raw lists'!$C$2:$C$616,0))&amp;" | ",""))&amp;IF(O57="","",IFERROR(INDEX('Raw lists'!$C$2:$C$616,MATCH(O57,'Raw lists'!$C$2:$C$616,0))&amp;" | ",""))&amp;IF(P57="","",IFERROR(INDEX('Raw lists'!$C$2:$C$616,MATCH(P57,'Raw lists'!$C$2:$C$616,0))&amp;" | ","")))-3))</f>
        <v>Active Medium | Active Medium, Pumping</v>
      </c>
      <c r="F57" s="28" t="s">
        <v>17</v>
      </c>
      <c r="G57" s="30" t="s">
        <v>227</v>
      </c>
      <c r="H57" s="28">
        <f t="shared" si="0"/>
        <v>3</v>
      </c>
      <c r="I57" s="31" t="str">
        <f t="shared" si="1"/>
        <v>All three</v>
      </c>
      <c r="K57" s="32" t="s">
        <v>228</v>
      </c>
      <c r="L57" s="32" t="s">
        <v>229</v>
      </c>
      <c r="M57" s="32"/>
      <c r="N57" s="32"/>
      <c r="O57" s="32"/>
      <c r="P57" s="32"/>
    </row>
    <row r="58" spans="1:16" ht="26.4" x14ac:dyDescent="0.3">
      <c r="A58" s="28">
        <v>57</v>
      </c>
      <c r="B58" s="29" t="s">
        <v>230</v>
      </c>
      <c r="C58" s="30" t="str">
        <f>IF(LEN(IF(K58="","",IFERROR(INDEX('Raw lists'!$A$2:$A$192,MATCH(K58,'Raw lists'!$A$2:$A$192,0))&amp;" | ",""))&amp;IF(L58="","",IFERROR(INDEX('Raw lists'!$A$2:$A$192,MATCH(L58,'Raw lists'!$A$2:$A$192,0))&amp;" | ",""))&amp;IF(M58="","",IFERROR(INDEX('Raw lists'!$A$2:$A$192,MATCH(M58,'Raw lists'!$A$2:$A$192,0))&amp;" | ",""))&amp;IF(N58="","",IFERROR(INDEX('Raw lists'!$A$2:$A$192,MATCH(N58,'Raw lists'!$A$2:$A$192,0))&amp;" | ",""))&amp;IF(O58="","",IFERROR(INDEX('Raw lists'!$A$2:$A$192,MATCH(O58,'Raw lists'!$A$2:$A$192,0))&amp;" | ",""))&amp;IF(P58="","",IFERROR(INDEX('Raw lists'!$A$2:$A$192,MATCH(P58,'Raw lists'!$A$2:$A$192,0))&amp;" | ","")))=0,"",LEFT(IF(K58="","",IFERROR(INDEX('Raw lists'!$A$2:$A$192,MATCH(K58,'Raw lists'!$A$2:$A$192,0))&amp;" | ",""))&amp;IF(L58="","",IFERROR(INDEX('Raw lists'!$A$2:$A$192,MATCH(L58,'Raw lists'!$A$2:$A$192,0))&amp;" | ",""))&amp;IF(M58="","",IFERROR(INDEX('Raw lists'!$A$2:$A$192,MATCH(M58,'Raw lists'!$A$2:$A$192,0))&amp;" | ",""))&amp;IF(N58="","",IFERROR(INDEX('Raw lists'!$A$2:$A$192,MATCH(N58,'Raw lists'!$A$2:$A$192,0))&amp;" | ",""))&amp;IF(O58="","",IFERROR(INDEX('Raw lists'!$A$2:$A$192,MATCH(O58,'Raw lists'!$A$2:$A$192,0))&amp;" | ",""))&amp;IF(P58="","",IFERROR(INDEX('Raw lists'!$A$2:$A$192,MATCH(P58,'Raw lists'!$A$2:$A$192,0))&amp;" | ","")),LEN(IF(K58="","",IFERROR(INDEX('Raw lists'!$A$2:$A$192,MATCH(K58,'Raw lists'!$A$2:$A$192,0))&amp;" | ",""))&amp;IF(L58="","",IFERROR(INDEX('Raw lists'!$A$2:$A$192,MATCH(L58,'Raw lists'!$A$2:$A$192,0))&amp;" | ",""))&amp;IF(M58="","",IFERROR(INDEX('Raw lists'!$A$2:$A$192,MATCH(M58,'Raw lists'!$A$2:$A$192,0))&amp;" | ",""))&amp;IF(N58="","",IFERROR(INDEX('Raw lists'!$A$2:$A$192,MATCH(N58,'Raw lists'!$A$2:$A$192,0))&amp;" | ",""))&amp;IF(O58="","",IFERROR(INDEX('Raw lists'!$A$2:$A$192,MATCH(O58,'Raw lists'!$A$2:$A$192,0))&amp;" | ",""))&amp;IF(P58="","",IFERROR(INDEX('Raw lists'!$A$2:$A$192,MATCH(P58,'Raw lists'!$A$2:$A$192,0))&amp;" | ","")))-3))</f>
        <v>Active Centres</v>
      </c>
      <c r="D58" s="30" t="str">
        <f>IF(LEN(IF(K58="","",IFERROR(INDEX('Raw lists'!$B$2:$B$627,MATCH(K58,'Raw lists'!$B$2:$B$627,0))&amp;" | ",""))&amp;IF(L58="","",IFERROR(INDEX('Raw lists'!$B$2:$B$627,MATCH(L58,'Raw lists'!$B$2:$B$627,0))&amp;" | ",""))&amp;IF(M58="","",IFERROR(INDEX('Raw lists'!$B$2:$B$627,MATCH(M58,'Raw lists'!$B$2:$B$627,0))&amp;" | ",""))&amp;IF(N58="","",IFERROR(INDEX('Raw lists'!$B$2:$B$627,MATCH(N58,'Raw lists'!$B$2:$B$627,0))&amp;" | ",""))&amp;IF(O58="","",IFERROR(INDEX('Raw lists'!$B$2:$B$627,MATCH(O58,'Raw lists'!$B$2:$B$627,0))&amp;" | ",""))&amp;IF(P58="","",IFERROR(INDEX('Raw lists'!$B$2:$B$627,MATCH(P58,'Raw lists'!$B$2:$B$627,0))&amp;" | ","")))=0,"",LEFT(IF(K58="","",IFERROR(INDEX('Raw lists'!$B$2:$B$627,MATCH(K58,'Raw lists'!$B$2:$B$627,0))&amp;" | ",""))&amp;IF(L58="","",IFERROR(INDEX('Raw lists'!$B$2:$B$627,MATCH(L58,'Raw lists'!$B$2:$B$627,0))&amp;" | ",""))&amp;IF(M58="","",IFERROR(INDEX('Raw lists'!$B$2:$B$627,MATCH(M58,'Raw lists'!$B$2:$B$627,0))&amp;" | ",""))&amp;IF(N58="","",IFERROR(INDEX('Raw lists'!$B$2:$B$627,MATCH(N58,'Raw lists'!$B$2:$B$627,0))&amp;" | ",""))&amp;IF(O58="","",IFERROR(INDEX('Raw lists'!$B$2:$B$627,MATCH(O58,'Raw lists'!$B$2:$B$627,0))&amp;" | ",""))&amp;IF(P58="","",IFERROR(INDEX('Raw lists'!$B$2:$B$627,MATCH(P58,'Raw lists'!$B$2:$B$627,0))&amp;" | ","")),LEN(IF(K58="","",IFERROR(INDEX('Raw lists'!$B$2:$B$627,MATCH(K58,'Raw lists'!$B$2:$B$627,0))&amp;" | ",""))&amp;IF(L58="","",IFERROR(INDEX('Raw lists'!$B$2:$B$627,MATCH(L58,'Raw lists'!$B$2:$B$627,0))&amp;" | ",""))&amp;IF(M58="","",IFERROR(INDEX('Raw lists'!$B$2:$B$627,MATCH(M58,'Raw lists'!$B$2:$B$627,0))&amp;" | ",""))&amp;IF(N58="","",IFERROR(INDEX('Raw lists'!$B$2:$B$627,MATCH(N58,'Raw lists'!$B$2:$B$627,0))&amp;" | ",""))&amp;IF(O58="","",IFERROR(INDEX('Raw lists'!$B$2:$B$627,MATCH(O58,'Raw lists'!$B$2:$B$627,0))&amp;" | ",""))&amp;IF(P58="","",IFERROR(INDEX('Raw lists'!$B$2:$B$627,MATCH(P58,'Raw lists'!$B$2:$B$627,0))&amp;" | ","")))-3))</f>
        <v/>
      </c>
      <c r="E58" s="30" t="str">
        <f>IF(LEN(IF(K58="","",IFERROR(INDEX('Raw lists'!$C$2:$C$616,MATCH(K58,'Raw lists'!$C$2:$C$616,0))&amp;" | ",""))&amp;IF(L58="","",IFERROR(INDEX('Raw lists'!$C$2:$C$616,MATCH(L58,'Raw lists'!$C$2:$C$616,0))&amp;" | ",""))&amp;IF(M58="","",IFERROR(INDEX('Raw lists'!$C$2:$C$616,MATCH(M58,'Raw lists'!$C$2:$C$616,0))&amp;" | ",""))&amp;IF(N58="","",IFERROR(INDEX('Raw lists'!$C$2:$C$616,MATCH(N58,'Raw lists'!$C$2:$C$616,0))&amp;" | ",""))&amp;IF(O58="","",IFERROR(INDEX('Raw lists'!$C$2:$C$616,MATCH(O58,'Raw lists'!$C$2:$C$616,0))&amp;" | ",""))&amp;IF(P58="","",IFERROR(INDEX('Raw lists'!$C$2:$C$616,MATCH(P58,'Raw lists'!$C$2:$C$616,0))&amp;" | ","")))=0,"",LEFT(IF(K58="","",IFERROR(INDEX('Raw lists'!$C$2:$C$616,MATCH(K58,'Raw lists'!$C$2:$C$616,0))&amp;" | ",""))&amp;IF(L58="","",IFERROR(INDEX('Raw lists'!$C$2:$C$616,MATCH(L58,'Raw lists'!$C$2:$C$616,0))&amp;" | ",""))&amp;IF(M58="","",IFERROR(INDEX('Raw lists'!$C$2:$C$616,MATCH(M58,'Raw lists'!$C$2:$C$616,0))&amp;" | ",""))&amp;IF(N58="","",IFERROR(INDEX('Raw lists'!$C$2:$C$616,MATCH(N58,'Raw lists'!$C$2:$C$616,0))&amp;" | ",""))&amp;IF(O58="","",IFERROR(INDEX('Raw lists'!$C$2:$C$616,MATCH(O58,'Raw lists'!$C$2:$C$616,0))&amp;" | ",""))&amp;IF(P58="","",IFERROR(INDEX('Raw lists'!$C$2:$C$616,MATCH(P58,'Raw lists'!$C$2:$C$616,0))&amp;" | ","")),LEN(IF(K58="","",IFERROR(INDEX('Raw lists'!$C$2:$C$616,MATCH(K58,'Raw lists'!$C$2:$C$616,0))&amp;" | ",""))&amp;IF(L58="","",IFERROR(INDEX('Raw lists'!$C$2:$C$616,MATCH(L58,'Raw lists'!$C$2:$C$616,0))&amp;" | ",""))&amp;IF(M58="","",IFERROR(INDEX('Raw lists'!$C$2:$C$616,MATCH(M58,'Raw lists'!$C$2:$C$616,0))&amp;" | ",""))&amp;IF(N58="","",IFERROR(INDEX('Raw lists'!$C$2:$C$616,MATCH(N58,'Raw lists'!$C$2:$C$616,0))&amp;" | ",""))&amp;IF(O58="","",IFERROR(INDEX('Raw lists'!$C$2:$C$616,MATCH(O58,'Raw lists'!$C$2:$C$616,0))&amp;" | ",""))&amp;IF(P58="","",IFERROR(INDEX('Raw lists'!$C$2:$C$616,MATCH(P58,'Raw lists'!$C$2:$C$616,0))&amp;" | ","")))-3))</f>
        <v/>
      </c>
      <c r="F58" s="28" t="s">
        <v>17</v>
      </c>
      <c r="G58" s="30" t="s">
        <v>231</v>
      </c>
      <c r="H58" s="28">
        <f t="shared" si="0"/>
        <v>1</v>
      </c>
      <c r="I58" s="31" t="str">
        <f t="shared" si="1"/>
        <v>Only Gemini</v>
      </c>
      <c r="K58" s="32" t="s">
        <v>232</v>
      </c>
      <c r="L58" s="32"/>
      <c r="M58" s="32"/>
      <c r="N58" s="32"/>
      <c r="O58" s="32"/>
      <c r="P58" s="32"/>
    </row>
    <row r="59" spans="1:16" ht="26.4" x14ac:dyDescent="0.3">
      <c r="A59" s="28">
        <v>58</v>
      </c>
      <c r="B59" s="29" t="s">
        <v>233</v>
      </c>
      <c r="C59" s="30" t="str">
        <f>IF(LEN(IF(K59="","",IFERROR(INDEX('Raw lists'!$A$2:$A$192,MATCH(K59,'Raw lists'!$A$2:$A$192,0))&amp;" | ",""))&amp;IF(L59="","",IFERROR(INDEX('Raw lists'!$A$2:$A$192,MATCH(L59,'Raw lists'!$A$2:$A$192,0))&amp;" | ",""))&amp;IF(M59="","",IFERROR(INDEX('Raw lists'!$A$2:$A$192,MATCH(M59,'Raw lists'!$A$2:$A$192,0))&amp;" | ",""))&amp;IF(N59="","",IFERROR(INDEX('Raw lists'!$A$2:$A$192,MATCH(N59,'Raw lists'!$A$2:$A$192,0))&amp;" | ",""))&amp;IF(O59="","",IFERROR(INDEX('Raw lists'!$A$2:$A$192,MATCH(O59,'Raw lists'!$A$2:$A$192,0))&amp;" | ",""))&amp;IF(P59="","",IFERROR(INDEX('Raw lists'!$A$2:$A$192,MATCH(P59,'Raw lists'!$A$2:$A$192,0))&amp;" | ","")))=0,"",LEFT(IF(K59="","",IFERROR(INDEX('Raw lists'!$A$2:$A$192,MATCH(K59,'Raw lists'!$A$2:$A$192,0))&amp;" | ",""))&amp;IF(L59="","",IFERROR(INDEX('Raw lists'!$A$2:$A$192,MATCH(L59,'Raw lists'!$A$2:$A$192,0))&amp;" | ",""))&amp;IF(M59="","",IFERROR(INDEX('Raw lists'!$A$2:$A$192,MATCH(M59,'Raw lists'!$A$2:$A$192,0))&amp;" | ",""))&amp;IF(N59="","",IFERROR(INDEX('Raw lists'!$A$2:$A$192,MATCH(N59,'Raw lists'!$A$2:$A$192,0))&amp;" | ",""))&amp;IF(O59="","",IFERROR(INDEX('Raw lists'!$A$2:$A$192,MATCH(O59,'Raw lists'!$A$2:$A$192,0))&amp;" | ",""))&amp;IF(P59="","",IFERROR(INDEX('Raw lists'!$A$2:$A$192,MATCH(P59,'Raw lists'!$A$2:$A$192,0))&amp;" | ","")),LEN(IF(K59="","",IFERROR(INDEX('Raw lists'!$A$2:$A$192,MATCH(K59,'Raw lists'!$A$2:$A$192,0))&amp;" | ",""))&amp;IF(L59="","",IFERROR(INDEX('Raw lists'!$A$2:$A$192,MATCH(L59,'Raw lists'!$A$2:$A$192,0))&amp;" | ",""))&amp;IF(M59="","",IFERROR(INDEX('Raw lists'!$A$2:$A$192,MATCH(M59,'Raw lists'!$A$2:$A$192,0))&amp;" | ",""))&amp;IF(N59="","",IFERROR(INDEX('Raw lists'!$A$2:$A$192,MATCH(N59,'Raw lists'!$A$2:$A$192,0))&amp;" | ",""))&amp;IF(O59="","",IFERROR(INDEX('Raw lists'!$A$2:$A$192,MATCH(O59,'Raw lists'!$A$2:$A$192,0))&amp;" | ",""))&amp;IF(P59="","",IFERROR(INDEX('Raw lists'!$A$2:$A$192,MATCH(P59,'Raw lists'!$A$2:$A$192,0))&amp;" | ","")))-3))</f>
        <v>Active Medium, Pumping</v>
      </c>
      <c r="D59" s="30" t="str">
        <f>IF(LEN(IF(K59="","",IFERROR(INDEX('Raw lists'!$B$2:$B$627,MATCH(K59,'Raw lists'!$B$2:$B$627,0))&amp;" | ",""))&amp;IF(L59="","",IFERROR(INDEX('Raw lists'!$B$2:$B$627,MATCH(L59,'Raw lists'!$B$2:$B$627,0))&amp;" | ",""))&amp;IF(M59="","",IFERROR(INDEX('Raw lists'!$B$2:$B$627,MATCH(M59,'Raw lists'!$B$2:$B$627,0))&amp;" | ",""))&amp;IF(N59="","",IFERROR(INDEX('Raw lists'!$B$2:$B$627,MATCH(N59,'Raw lists'!$B$2:$B$627,0))&amp;" | ",""))&amp;IF(O59="","",IFERROR(INDEX('Raw lists'!$B$2:$B$627,MATCH(O59,'Raw lists'!$B$2:$B$627,0))&amp;" | ",""))&amp;IF(P59="","",IFERROR(INDEX('Raw lists'!$B$2:$B$627,MATCH(P59,'Raw lists'!$B$2:$B$627,0))&amp;" | ","")))=0,"",LEFT(IF(K59="","",IFERROR(INDEX('Raw lists'!$B$2:$B$627,MATCH(K59,'Raw lists'!$B$2:$B$627,0))&amp;" | ",""))&amp;IF(L59="","",IFERROR(INDEX('Raw lists'!$B$2:$B$627,MATCH(L59,'Raw lists'!$B$2:$B$627,0))&amp;" | ",""))&amp;IF(M59="","",IFERROR(INDEX('Raw lists'!$B$2:$B$627,MATCH(M59,'Raw lists'!$B$2:$B$627,0))&amp;" | ",""))&amp;IF(N59="","",IFERROR(INDEX('Raw lists'!$B$2:$B$627,MATCH(N59,'Raw lists'!$B$2:$B$627,0))&amp;" | ",""))&amp;IF(O59="","",IFERROR(INDEX('Raw lists'!$B$2:$B$627,MATCH(O59,'Raw lists'!$B$2:$B$627,0))&amp;" | ",""))&amp;IF(P59="","",IFERROR(INDEX('Raw lists'!$B$2:$B$627,MATCH(P59,'Raw lists'!$B$2:$B$627,0))&amp;" | ","")),LEN(IF(K59="","",IFERROR(INDEX('Raw lists'!$B$2:$B$627,MATCH(K59,'Raw lists'!$B$2:$B$627,0))&amp;" | ",""))&amp;IF(L59="","",IFERROR(INDEX('Raw lists'!$B$2:$B$627,MATCH(L59,'Raw lists'!$B$2:$B$627,0))&amp;" | ",""))&amp;IF(M59="","",IFERROR(INDEX('Raw lists'!$B$2:$B$627,MATCH(M59,'Raw lists'!$B$2:$B$627,0))&amp;" | ",""))&amp;IF(N59="","",IFERROR(INDEX('Raw lists'!$B$2:$B$627,MATCH(N59,'Raw lists'!$B$2:$B$627,0))&amp;" | ",""))&amp;IF(O59="","",IFERROR(INDEX('Raw lists'!$B$2:$B$627,MATCH(O59,'Raw lists'!$B$2:$B$627,0))&amp;" | ",""))&amp;IF(P59="","",IFERROR(INDEX('Raw lists'!$B$2:$B$627,MATCH(P59,'Raw lists'!$B$2:$B$627,0))&amp;" | ","")))-3))</f>
        <v>Pumping | Active Medium, Pumping</v>
      </c>
      <c r="E59" s="30" t="str">
        <f>IF(LEN(IF(K59="","",IFERROR(INDEX('Raw lists'!$C$2:$C$616,MATCH(K59,'Raw lists'!$C$2:$C$616,0))&amp;" | ",""))&amp;IF(L59="","",IFERROR(INDEX('Raw lists'!$C$2:$C$616,MATCH(L59,'Raw lists'!$C$2:$C$616,0))&amp;" | ",""))&amp;IF(M59="","",IFERROR(INDEX('Raw lists'!$C$2:$C$616,MATCH(M59,'Raw lists'!$C$2:$C$616,0))&amp;" | ",""))&amp;IF(N59="","",IFERROR(INDEX('Raw lists'!$C$2:$C$616,MATCH(N59,'Raw lists'!$C$2:$C$616,0))&amp;" | ",""))&amp;IF(O59="","",IFERROR(INDEX('Raw lists'!$C$2:$C$616,MATCH(O59,'Raw lists'!$C$2:$C$616,0))&amp;" | ",""))&amp;IF(P59="","",IFERROR(INDEX('Raw lists'!$C$2:$C$616,MATCH(P59,'Raw lists'!$C$2:$C$616,0))&amp;" | ","")))=0,"",LEFT(IF(K59="","",IFERROR(INDEX('Raw lists'!$C$2:$C$616,MATCH(K59,'Raw lists'!$C$2:$C$616,0))&amp;" | ",""))&amp;IF(L59="","",IFERROR(INDEX('Raw lists'!$C$2:$C$616,MATCH(L59,'Raw lists'!$C$2:$C$616,0))&amp;" | ",""))&amp;IF(M59="","",IFERROR(INDEX('Raw lists'!$C$2:$C$616,MATCH(M59,'Raw lists'!$C$2:$C$616,0))&amp;" | ",""))&amp;IF(N59="","",IFERROR(INDEX('Raw lists'!$C$2:$C$616,MATCH(N59,'Raw lists'!$C$2:$C$616,0))&amp;" | ",""))&amp;IF(O59="","",IFERROR(INDEX('Raw lists'!$C$2:$C$616,MATCH(O59,'Raw lists'!$C$2:$C$616,0))&amp;" | ",""))&amp;IF(P59="","",IFERROR(INDEX('Raw lists'!$C$2:$C$616,MATCH(P59,'Raw lists'!$C$2:$C$616,0))&amp;" | ","")),LEN(IF(K59="","",IFERROR(INDEX('Raw lists'!$C$2:$C$616,MATCH(K59,'Raw lists'!$C$2:$C$616,0))&amp;" | ",""))&amp;IF(L59="","",IFERROR(INDEX('Raw lists'!$C$2:$C$616,MATCH(L59,'Raw lists'!$C$2:$C$616,0))&amp;" | ",""))&amp;IF(M59="","",IFERROR(INDEX('Raw lists'!$C$2:$C$616,MATCH(M59,'Raw lists'!$C$2:$C$616,0))&amp;" | ",""))&amp;IF(N59="","",IFERROR(INDEX('Raw lists'!$C$2:$C$616,MATCH(N59,'Raw lists'!$C$2:$C$616,0))&amp;" | ",""))&amp;IF(O59="","",IFERROR(INDEX('Raw lists'!$C$2:$C$616,MATCH(O59,'Raw lists'!$C$2:$C$616,0))&amp;" | ",""))&amp;IF(P59="","",IFERROR(INDEX('Raw lists'!$C$2:$C$616,MATCH(P59,'Raw lists'!$C$2:$C$616,0))&amp;" | ","")))-3))</f>
        <v>Pumping | Active Medium, Pumping</v>
      </c>
      <c r="F59" s="28" t="s">
        <v>17</v>
      </c>
      <c r="G59" s="30" t="s">
        <v>234</v>
      </c>
      <c r="H59" s="28">
        <f t="shared" si="0"/>
        <v>3</v>
      </c>
      <c r="I59" s="31" t="str">
        <f t="shared" si="1"/>
        <v>All three</v>
      </c>
      <c r="K59" s="32" t="s">
        <v>233</v>
      </c>
      <c r="L59" s="32" t="s">
        <v>229</v>
      </c>
      <c r="M59" s="32"/>
      <c r="N59" s="32"/>
      <c r="O59" s="32"/>
      <c r="P59" s="32"/>
    </row>
    <row r="60" spans="1:16" ht="26.4" x14ac:dyDescent="0.3">
      <c r="A60" s="28">
        <v>59</v>
      </c>
      <c r="B60" s="29" t="s">
        <v>235</v>
      </c>
      <c r="C60" s="30" t="str">
        <f>IF(LEN(IF(K60="","",IFERROR(INDEX('Raw lists'!$A$2:$A$192,MATCH(K60,'Raw lists'!$A$2:$A$192,0))&amp;" | ",""))&amp;IF(L60="","",IFERROR(INDEX('Raw lists'!$A$2:$A$192,MATCH(L60,'Raw lists'!$A$2:$A$192,0))&amp;" | ",""))&amp;IF(M60="","",IFERROR(INDEX('Raw lists'!$A$2:$A$192,MATCH(M60,'Raw lists'!$A$2:$A$192,0))&amp;" | ",""))&amp;IF(N60="","",IFERROR(INDEX('Raw lists'!$A$2:$A$192,MATCH(N60,'Raw lists'!$A$2:$A$192,0))&amp;" | ",""))&amp;IF(O60="","",IFERROR(INDEX('Raw lists'!$A$2:$A$192,MATCH(O60,'Raw lists'!$A$2:$A$192,0))&amp;" | ",""))&amp;IF(P60="","",IFERROR(INDEX('Raw lists'!$A$2:$A$192,MATCH(P60,'Raw lists'!$A$2:$A$192,0))&amp;" | ","")))=0,"",LEFT(IF(K60="","",IFERROR(INDEX('Raw lists'!$A$2:$A$192,MATCH(K60,'Raw lists'!$A$2:$A$192,0))&amp;" | ",""))&amp;IF(L60="","",IFERROR(INDEX('Raw lists'!$A$2:$A$192,MATCH(L60,'Raw lists'!$A$2:$A$192,0))&amp;" | ",""))&amp;IF(M60="","",IFERROR(INDEX('Raw lists'!$A$2:$A$192,MATCH(M60,'Raw lists'!$A$2:$A$192,0))&amp;" | ",""))&amp;IF(N60="","",IFERROR(INDEX('Raw lists'!$A$2:$A$192,MATCH(N60,'Raw lists'!$A$2:$A$192,0))&amp;" | ",""))&amp;IF(O60="","",IFERROR(INDEX('Raw lists'!$A$2:$A$192,MATCH(O60,'Raw lists'!$A$2:$A$192,0))&amp;" | ",""))&amp;IF(P60="","",IFERROR(INDEX('Raw lists'!$A$2:$A$192,MATCH(P60,'Raw lists'!$A$2:$A$192,0))&amp;" | ","")),LEN(IF(K60="","",IFERROR(INDEX('Raw lists'!$A$2:$A$192,MATCH(K60,'Raw lists'!$A$2:$A$192,0))&amp;" | ",""))&amp;IF(L60="","",IFERROR(INDEX('Raw lists'!$A$2:$A$192,MATCH(L60,'Raw lists'!$A$2:$A$192,0))&amp;" | ",""))&amp;IF(M60="","",IFERROR(INDEX('Raw lists'!$A$2:$A$192,MATCH(M60,'Raw lists'!$A$2:$A$192,0))&amp;" | ",""))&amp;IF(N60="","",IFERROR(INDEX('Raw lists'!$A$2:$A$192,MATCH(N60,'Raw lists'!$A$2:$A$192,0))&amp;" | ",""))&amp;IF(O60="","",IFERROR(INDEX('Raw lists'!$A$2:$A$192,MATCH(O60,'Raw lists'!$A$2:$A$192,0))&amp;" | ",""))&amp;IF(P60="","",IFERROR(INDEX('Raw lists'!$A$2:$A$192,MATCH(P60,'Raw lists'!$A$2:$A$192,0))&amp;" | ","")))-3))</f>
        <v>Pumping Method</v>
      </c>
      <c r="D60" s="30" t="str">
        <f>IF(LEN(IF(K60="","",IFERROR(INDEX('Raw lists'!$B$2:$B$627,MATCH(K60,'Raw lists'!$B$2:$B$627,0))&amp;" | ",""))&amp;IF(L60="","",IFERROR(INDEX('Raw lists'!$B$2:$B$627,MATCH(L60,'Raw lists'!$B$2:$B$627,0))&amp;" | ",""))&amp;IF(M60="","",IFERROR(INDEX('Raw lists'!$B$2:$B$627,MATCH(M60,'Raw lists'!$B$2:$B$627,0))&amp;" | ",""))&amp;IF(N60="","",IFERROR(INDEX('Raw lists'!$B$2:$B$627,MATCH(N60,'Raw lists'!$B$2:$B$627,0))&amp;" | ",""))&amp;IF(O60="","",IFERROR(INDEX('Raw lists'!$B$2:$B$627,MATCH(O60,'Raw lists'!$B$2:$B$627,0))&amp;" | ",""))&amp;IF(P60="","",IFERROR(INDEX('Raw lists'!$B$2:$B$627,MATCH(P60,'Raw lists'!$B$2:$B$627,0))&amp;" | ","")))=0,"",LEFT(IF(K60="","",IFERROR(INDEX('Raw lists'!$B$2:$B$627,MATCH(K60,'Raw lists'!$B$2:$B$627,0))&amp;" | ",""))&amp;IF(L60="","",IFERROR(INDEX('Raw lists'!$B$2:$B$627,MATCH(L60,'Raw lists'!$B$2:$B$627,0))&amp;" | ",""))&amp;IF(M60="","",IFERROR(INDEX('Raw lists'!$B$2:$B$627,MATCH(M60,'Raw lists'!$B$2:$B$627,0))&amp;" | ",""))&amp;IF(N60="","",IFERROR(INDEX('Raw lists'!$B$2:$B$627,MATCH(N60,'Raw lists'!$B$2:$B$627,0))&amp;" | ",""))&amp;IF(O60="","",IFERROR(INDEX('Raw lists'!$B$2:$B$627,MATCH(O60,'Raw lists'!$B$2:$B$627,0))&amp;" | ",""))&amp;IF(P60="","",IFERROR(INDEX('Raw lists'!$B$2:$B$627,MATCH(P60,'Raw lists'!$B$2:$B$627,0))&amp;" | ","")),LEN(IF(K60="","",IFERROR(INDEX('Raw lists'!$B$2:$B$627,MATCH(K60,'Raw lists'!$B$2:$B$627,0))&amp;" | ",""))&amp;IF(L60="","",IFERROR(INDEX('Raw lists'!$B$2:$B$627,MATCH(L60,'Raw lists'!$B$2:$B$627,0))&amp;" | ",""))&amp;IF(M60="","",IFERROR(INDEX('Raw lists'!$B$2:$B$627,MATCH(M60,'Raw lists'!$B$2:$B$627,0))&amp;" | ",""))&amp;IF(N60="","",IFERROR(INDEX('Raw lists'!$B$2:$B$627,MATCH(N60,'Raw lists'!$B$2:$B$627,0))&amp;" | ",""))&amp;IF(O60="","",IFERROR(INDEX('Raw lists'!$B$2:$B$627,MATCH(O60,'Raw lists'!$B$2:$B$627,0))&amp;" | ",""))&amp;IF(P60="","",IFERROR(INDEX('Raw lists'!$B$2:$B$627,MATCH(P60,'Raw lists'!$B$2:$B$627,0))&amp;" | ","")))-3))</f>
        <v>Pumping Method</v>
      </c>
      <c r="E60" s="30" t="str">
        <f>IF(LEN(IF(K60="","",IFERROR(INDEX('Raw lists'!$C$2:$C$616,MATCH(K60,'Raw lists'!$C$2:$C$616,0))&amp;" | ",""))&amp;IF(L60="","",IFERROR(INDEX('Raw lists'!$C$2:$C$616,MATCH(L60,'Raw lists'!$C$2:$C$616,0))&amp;" | ",""))&amp;IF(M60="","",IFERROR(INDEX('Raw lists'!$C$2:$C$616,MATCH(M60,'Raw lists'!$C$2:$C$616,0))&amp;" | ",""))&amp;IF(N60="","",IFERROR(INDEX('Raw lists'!$C$2:$C$616,MATCH(N60,'Raw lists'!$C$2:$C$616,0))&amp;" | ",""))&amp;IF(O60="","",IFERROR(INDEX('Raw lists'!$C$2:$C$616,MATCH(O60,'Raw lists'!$C$2:$C$616,0))&amp;" | ",""))&amp;IF(P60="","",IFERROR(INDEX('Raw lists'!$C$2:$C$616,MATCH(P60,'Raw lists'!$C$2:$C$616,0))&amp;" | ","")))=0,"",LEFT(IF(K60="","",IFERROR(INDEX('Raw lists'!$C$2:$C$616,MATCH(K60,'Raw lists'!$C$2:$C$616,0))&amp;" | ",""))&amp;IF(L60="","",IFERROR(INDEX('Raw lists'!$C$2:$C$616,MATCH(L60,'Raw lists'!$C$2:$C$616,0))&amp;" | ",""))&amp;IF(M60="","",IFERROR(INDEX('Raw lists'!$C$2:$C$616,MATCH(M60,'Raw lists'!$C$2:$C$616,0))&amp;" | ",""))&amp;IF(N60="","",IFERROR(INDEX('Raw lists'!$C$2:$C$616,MATCH(N60,'Raw lists'!$C$2:$C$616,0))&amp;" | ",""))&amp;IF(O60="","",IFERROR(INDEX('Raw lists'!$C$2:$C$616,MATCH(O60,'Raw lists'!$C$2:$C$616,0))&amp;" | ",""))&amp;IF(P60="","",IFERROR(INDEX('Raw lists'!$C$2:$C$616,MATCH(P60,'Raw lists'!$C$2:$C$616,0))&amp;" | ","")),LEN(IF(K60="","",IFERROR(INDEX('Raw lists'!$C$2:$C$616,MATCH(K60,'Raw lists'!$C$2:$C$616,0))&amp;" | ",""))&amp;IF(L60="","",IFERROR(INDEX('Raw lists'!$C$2:$C$616,MATCH(L60,'Raw lists'!$C$2:$C$616,0))&amp;" | ",""))&amp;IF(M60="","",IFERROR(INDEX('Raw lists'!$C$2:$C$616,MATCH(M60,'Raw lists'!$C$2:$C$616,0))&amp;" | ",""))&amp;IF(N60="","",IFERROR(INDEX('Raw lists'!$C$2:$C$616,MATCH(N60,'Raw lists'!$C$2:$C$616,0))&amp;" | ",""))&amp;IF(O60="","",IFERROR(INDEX('Raw lists'!$C$2:$C$616,MATCH(O60,'Raw lists'!$C$2:$C$616,0))&amp;" | ",""))&amp;IF(P60="","",IFERROR(INDEX('Raw lists'!$C$2:$C$616,MATCH(P60,'Raw lists'!$C$2:$C$616,0))&amp;" | ","")))-3))</f>
        <v>Optical Pumping</v>
      </c>
      <c r="F60" s="28" t="s">
        <v>17</v>
      </c>
      <c r="G60" s="30" t="s">
        <v>236</v>
      </c>
      <c r="H60" s="28">
        <f t="shared" si="0"/>
        <v>3</v>
      </c>
      <c r="I60" s="31" t="str">
        <f t="shared" si="1"/>
        <v>All three</v>
      </c>
      <c r="K60" s="32" t="s">
        <v>237</v>
      </c>
      <c r="L60" s="32" t="s">
        <v>238</v>
      </c>
      <c r="M60" s="32" t="s">
        <v>239</v>
      </c>
      <c r="N60" s="32"/>
      <c r="O60" s="32"/>
      <c r="P60" s="32"/>
    </row>
    <row r="61" spans="1:16" ht="26.4" x14ac:dyDescent="0.3">
      <c r="A61" s="28">
        <v>60</v>
      </c>
      <c r="B61" s="29" t="s">
        <v>240</v>
      </c>
      <c r="C61" s="30" t="str">
        <f>IF(LEN(IF(K61="","",IFERROR(INDEX('Raw lists'!$A$2:$A$192,MATCH(K61,'Raw lists'!$A$2:$A$192,0))&amp;" | ",""))&amp;IF(L61="","",IFERROR(INDEX('Raw lists'!$A$2:$A$192,MATCH(L61,'Raw lists'!$A$2:$A$192,0))&amp;" | ",""))&amp;IF(M61="","",IFERROR(INDEX('Raw lists'!$A$2:$A$192,MATCH(M61,'Raw lists'!$A$2:$A$192,0))&amp;" | ",""))&amp;IF(N61="","",IFERROR(INDEX('Raw lists'!$A$2:$A$192,MATCH(N61,'Raw lists'!$A$2:$A$192,0))&amp;" | ",""))&amp;IF(O61="","",IFERROR(INDEX('Raw lists'!$A$2:$A$192,MATCH(O61,'Raw lists'!$A$2:$A$192,0))&amp;" | ",""))&amp;IF(P61="","",IFERROR(INDEX('Raw lists'!$A$2:$A$192,MATCH(P61,'Raw lists'!$A$2:$A$192,0))&amp;" | ","")))=0,"",LEFT(IF(K61="","",IFERROR(INDEX('Raw lists'!$A$2:$A$192,MATCH(K61,'Raw lists'!$A$2:$A$192,0))&amp;" | ",""))&amp;IF(L61="","",IFERROR(INDEX('Raw lists'!$A$2:$A$192,MATCH(L61,'Raw lists'!$A$2:$A$192,0))&amp;" | ",""))&amp;IF(M61="","",IFERROR(INDEX('Raw lists'!$A$2:$A$192,MATCH(M61,'Raw lists'!$A$2:$A$192,0))&amp;" | ",""))&amp;IF(N61="","",IFERROR(INDEX('Raw lists'!$A$2:$A$192,MATCH(N61,'Raw lists'!$A$2:$A$192,0))&amp;" | ",""))&amp;IF(O61="","",IFERROR(INDEX('Raw lists'!$A$2:$A$192,MATCH(O61,'Raw lists'!$A$2:$A$192,0))&amp;" | ",""))&amp;IF(P61="","",IFERROR(INDEX('Raw lists'!$A$2:$A$192,MATCH(P61,'Raw lists'!$A$2:$A$192,0))&amp;" | ","")),LEN(IF(K61="","",IFERROR(INDEX('Raw lists'!$A$2:$A$192,MATCH(K61,'Raw lists'!$A$2:$A$192,0))&amp;" | ",""))&amp;IF(L61="","",IFERROR(INDEX('Raw lists'!$A$2:$A$192,MATCH(L61,'Raw lists'!$A$2:$A$192,0))&amp;" | ",""))&amp;IF(M61="","",IFERROR(INDEX('Raw lists'!$A$2:$A$192,MATCH(M61,'Raw lists'!$A$2:$A$192,0))&amp;" | ",""))&amp;IF(N61="","",IFERROR(INDEX('Raw lists'!$A$2:$A$192,MATCH(N61,'Raw lists'!$A$2:$A$192,0))&amp;" | ",""))&amp;IF(O61="","",IFERROR(INDEX('Raw lists'!$A$2:$A$192,MATCH(O61,'Raw lists'!$A$2:$A$192,0))&amp;" | ",""))&amp;IF(P61="","",IFERROR(INDEX('Raw lists'!$A$2:$A$192,MATCH(P61,'Raw lists'!$A$2:$A$192,0))&amp;" | ","")))-3))</f>
        <v>Resonant Cavity | Optical Resonator</v>
      </c>
      <c r="D61" s="30" t="str">
        <f>IF(LEN(IF(K61="","",IFERROR(INDEX('Raw lists'!$B$2:$B$627,MATCH(K61,'Raw lists'!$B$2:$B$627,0))&amp;" | ",""))&amp;IF(L61="","",IFERROR(INDEX('Raw lists'!$B$2:$B$627,MATCH(L61,'Raw lists'!$B$2:$B$627,0))&amp;" | ",""))&amp;IF(M61="","",IFERROR(INDEX('Raw lists'!$B$2:$B$627,MATCH(M61,'Raw lists'!$B$2:$B$627,0))&amp;" | ",""))&amp;IF(N61="","",IFERROR(INDEX('Raw lists'!$B$2:$B$627,MATCH(N61,'Raw lists'!$B$2:$B$627,0))&amp;" | ",""))&amp;IF(O61="","",IFERROR(INDEX('Raw lists'!$B$2:$B$627,MATCH(O61,'Raw lists'!$B$2:$B$627,0))&amp;" | ",""))&amp;IF(P61="","",IFERROR(INDEX('Raw lists'!$B$2:$B$627,MATCH(P61,'Raw lists'!$B$2:$B$627,0))&amp;" | ","")))=0,"",LEFT(IF(K61="","",IFERROR(INDEX('Raw lists'!$B$2:$B$627,MATCH(K61,'Raw lists'!$B$2:$B$627,0))&amp;" | ",""))&amp;IF(L61="","",IFERROR(INDEX('Raw lists'!$B$2:$B$627,MATCH(L61,'Raw lists'!$B$2:$B$627,0))&amp;" | ",""))&amp;IF(M61="","",IFERROR(INDEX('Raw lists'!$B$2:$B$627,MATCH(M61,'Raw lists'!$B$2:$B$627,0))&amp;" | ",""))&amp;IF(N61="","",IFERROR(INDEX('Raw lists'!$B$2:$B$627,MATCH(N61,'Raw lists'!$B$2:$B$627,0))&amp;" | ",""))&amp;IF(O61="","",IFERROR(INDEX('Raw lists'!$B$2:$B$627,MATCH(O61,'Raw lists'!$B$2:$B$627,0))&amp;" | ",""))&amp;IF(P61="","",IFERROR(INDEX('Raw lists'!$B$2:$B$627,MATCH(P61,'Raw lists'!$B$2:$B$627,0))&amp;" | ","")),LEN(IF(K61="","",IFERROR(INDEX('Raw lists'!$B$2:$B$627,MATCH(K61,'Raw lists'!$B$2:$B$627,0))&amp;" | ",""))&amp;IF(L61="","",IFERROR(INDEX('Raw lists'!$B$2:$B$627,MATCH(L61,'Raw lists'!$B$2:$B$627,0))&amp;" | ",""))&amp;IF(M61="","",IFERROR(INDEX('Raw lists'!$B$2:$B$627,MATCH(M61,'Raw lists'!$B$2:$B$627,0))&amp;" | ",""))&amp;IF(N61="","",IFERROR(INDEX('Raw lists'!$B$2:$B$627,MATCH(N61,'Raw lists'!$B$2:$B$627,0))&amp;" | ",""))&amp;IF(O61="","",IFERROR(INDEX('Raw lists'!$B$2:$B$627,MATCH(O61,'Raw lists'!$B$2:$B$627,0))&amp;" | ",""))&amp;IF(P61="","",IFERROR(INDEX('Raw lists'!$B$2:$B$627,MATCH(P61,'Raw lists'!$B$2:$B$627,0))&amp;" | ","")))-3))</f>
        <v>Resonant Cavity | Resonant Cavities | Optical Cavity</v>
      </c>
      <c r="E61" s="30" t="str">
        <f>IF(LEN(IF(K61="","",IFERROR(INDEX('Raw lists'!$C$2:$C$616,MATCH(K61,'Raw lists'!$C$2:$C$616,0))&amp;" | ",""))&amp;IF(L61="","",IFERROR(INDEX('Raw lists'!$C$2:$C$616,MATCH(L61,'Raw lists'!$C$2:$C$616,0))&amp;" | ",""))&amp;IF(M61="","",IFERROR(INDEX('Raw lists'!$C$2:$C$616,MATCH(M61,'Raw lists'!$C$2:$C$616,0))&amp;" | ",""))&amp;IF(N61="","",IFERROR(INDEX('Raw lists'!$C$2:$C$616,MATCH(N61,'Raw lists'!$C$2:$C$616,0))&amp;" | ",""))&amp;IF(O61="","",IFERROR(INDEX('Raw lists'!$C$2:$C$616,MATCH(O61,'Raw lists'!$C$2:$C$616,0))&amp;" | ",""))&amp;IF(P61="","",IFERROR(INDEX('Raw lists'!$C$2:$C$616,MATCH(P61,'Raw lists'!$C$2:$C$616,0))&amp;" | ","")))=0,"",LEFT(IF(K61="","",IFERROR(INDEX('Raw lists'!$C$2:$C$616,MATCH(K61,'Raw lists'!$C$2:$C$616,0))&amp;" | ",""))&amp;IF(L61="","",IFERROR(INDEX('Raw lists'!$C$2:$C$616,MATCH(L61,'Raw lists'!$C$2:$C$616,0))&amp;" | ",""))&amp;IF(M61="","",IFERROR(INDEX('Raw lists'!$C$2:$C$616,MATCH(M61,'Raw lists'!$C$2:$C$616,0))&amp;" | ",""))&amp;IF(N61="","",IFERROR(INDEX('Raw lists'!$C$2:$C$616,MATCH(N61,'Raw lists'!$C$2:$C$616,0))&amp;" | ",""))&amp;IF(O61="","",IFERROR(INDEX('Raw lists'!$C$2:$C$616,MATCH(O61,'Raw lists'!$C$2:$C$616,0))&amp;" | ",""))&amp;IF(P61="","",IFERROR(INDEX('Raw lists'!$C$2:$C$616,MATCH(P61,'Raw lists'!$C$2:$C$616,0))&amp;" | ","")),LEN(IF(K61="","",IFERROR(INDEX('Raw lists'!$C$2:$C$616,MATCH(K61,'Raw lists'!$C$2:$C$616,0))&amp;" | ",""))&amp;IF(L61="","",IFERROR(INDEX('Raw lists'!$C$2:$C$616,MATCH(L61,'Raw lists'!$C$2:$C$616,0))&amp;" | ",""))&amp;IF(M61="","",IFERROR(INDEX('Raw lists'!$C$2:$C$616,MATCH(M61,'Raw lists'!$C$2:$C$616,0))&amp;" | ",""))&amp;IF(N61="","",IFERROR(INDEX('Raw lists'!$C$2:$C$616,MATCH(N61,'Raw lists'!$C$2:$C$616,0))&amp;" | ",""))&amp;IF(O61="","",IFERROR(INDEX('Raw lists'!$C$2:$C$616,MATCH(O61,'Raw lists'!$C$2:$C$616,0))&amp;" | ",""))&amp;IF(P61="","",IFERROR(INDEX('Raw lists'!$C$2:$C$616,MATCH(P61,'Raw lists'!$C$2:$C$616,0))&amp;" | ","")))-3))</f>
        <v>Resonant Cavity | Resonant Cavities | Optical Cavity</v>
      </c>
      <c r="F61" s="28" t="s">
        <v>17</v>
      </c>
      <c r="G61" s="30" t="s">
        <v>241</v>
      </c>
      <c r="H61" s="28">
        <f t="shared" si="0"/>
        <v>3</v>
      </c>
      <c r="I61" s="31" t="str">
        <f t="shared" si="1"/>
        <v>All three</v>
      </c>
      <c r="K61" s="32" t="s">
        <v>242</v>
      </c>
      <c r="L61" s="32" t="s">
        <v>243</v>
      </c>
      <c r="M61" s="32" t="s">
        <v>244</v>
      </c>
      <c r="N61" s="32" t="s">
        <v>245</v>
      </c>
      <c r="O61" s="32"/>
      <c r="P61" s="32"/>
    </row>
    <row r="62" spans="1:16" ht="26.4" x14ac:dyDescent="0.3">
      <c r="A62" s="28">
        <v>61</v>
      </c>
      <c r="B62" s="29" t="s">
        <v>246</v>
      </c>
      <c r="C62" s="30" t="str">
        <f>IF(LEN(IF(K62="","",IFERROR(INDEX('Raw lists'!$A$2:$A$192,MATCH(K62,'Raw lists'!$A$2:$A$192,0))&amp;" | ",""))&amp;IF(L62="","",IFERROR(INDEX('Raw lists'!$A$2:$A$192,MATCH(L62,'Raw lists'!$A$2:$A$192,0))&amp;" | ",""))&amp;IF(M62="","",IFERROR(INDEX('Raw lists'!$A$2:$A$192,MATCH(M62,'Raw lists'!$A$2:$A$192,0))&amp;" | ",""))&amp;IF(N62="","",IFERROR(INDEX('Raw lists'!$A$2:$A$192,MATCH(N62,'Raw lists'!$A$2:$A$192,0))&amp;" | ",""))&amp;IF(O62="","",IFERROR(INDEX('Raw lists'!$A$2:$A$192,MATCH(O62,'Raw lists'!$A$2:$A$192,0))&amp;" | ",""))&amp;IF(P62="","",IFERROR(INDEX('Raw lists'!$A$2:$A$192,MATCH(P62,'Raw lists'!$A$2:$A$192,0))&amp;" | ","")))=0,"",LEFT(IF(K62="","",IFERROR(INDEX('Raw lists'!$A$2:$A$192,MATCH(K62,'Raw lists'!$A$2:$A$192,0))&amp;" | ",""))&amp;IF(L62="","",IFERROR(INDEX('Raw lists'!$A$2:$A$192,MATCH(L62,'Raw lists'!$A$2:$A$192,0))&amp;" | ",""))&amp;IF(M62="","",IFERROR(INDEX('Raw lists'!$A$2:$A$192,MATCH(M62,'Raw lists'!$A$2:$A$192,0))&amp;" | ",""))&amp;IF(N62="","",IFERROR(INDEX('Raw lists'!$A$2:$A$192,MATCH(N62,'Raw lists'!$A$2:$A$192,0))&amp;" | ",""))&amp;IF(O62="","",IFERROR(INDEX('Raw lists'!$A$2:$A$192,MATCH(O62,'Raw lists'!$A$2:$A$192,0))&amp;" | ",""))&amp;IF(P62="","",IFERROR(INDEX('Raw lists'!$A$2:$A$192,MATCH(P62,'Raw lists'!$A$2:$A$192,0))&amp;" | ","")),LEN(IF(K62="","",IFERROR(INDEX('Raw lists'!$A$2:$A$192,MATCH(K62,'Raw lists'!$A$2:$A$192,0))&amp;" | ",""))&amp;IF(L62="","",IFERROR(INDEX('Raw lists'!$A$2:$A$192,MATCH(L62,'Raw lists'!$A$2:$A$192,0))&amp;" | ",""))&amp;IF(M62="","",IFERROR(INDEX('Raw lists'!$A$2:$A$192,MATCH(M62,'Raw lists'!$A$2:$A$192,0))&amp;" | ",""))&amp;IF(N62="","",IFERROR(INDEX('Raw lists'!$A$2:$A$192,MATCH(N62,'Raw lists'!$A$2:$A$192,0))&amp;" | ",""))&amp;IF(O62="","",IFERROR(INDEX('Raw lists'!$A$2:$A$192,MATCH(O62,'Raw lists'!$A$2:$A$192,0))&amp;" | ",""))&amp;IF(P62="","",IFERROR(INDEX('Raw lists'!$A$2:$A$192,MATCH(P62,'Raw lists'!$A$2:$A$192,0))&amp;" | ","")))-3))</f>
        <v/>
      </c>
      <c r="D62" s="30" t="str">
        <f>IF(LEN(IF(K62="","",IFERROR(INDEX('Raw lists'!$B$2:$B$627,MATCH(K62,'Raw lists'!$B$2:$B$627,0))&amp;" | ",""))&amp;IF(L62="","",IFERROR(INDEX('Raw lists'!$B$2:$B$627,MATCH(L62,'Raw lists'!$B$2:$B$627,0))&amp;" | ",""))&amp;IF(M62="","",IFERROR(INDEX('Raw lists'!$B$2:$B$627,MATCH(M62,'Raw lists'!$B$2:$B$627,0))&amp;" | ",""))&amp;IF(N62="","",IFERROR(INDEX('Raw lists'!$B$2:$B$627,MATCH(N62,'Raw lists'!$B$2:$B$627,0))&amp;" | ",""))&amp;IF(O62="","",IFERROR(INDEX('Raw lists'!$B$2:$B$627,MATCH(O62,'Raw lists'!$B$2:$B$627,0))&amp;" | ",""))&amp;IF(P62="","",IFERROR(INDEX('Raw lists'!$B$2:$B$627,MATCH(P62,'Raw lists'!$B$2:$B$627,0))&amp;" | ","")))=0,"",LEFT(IF(K62="","",IFERROR(INDEX('Raw lists'!$B$2:$B$627,MATCH(K62,'Raw lists'!$B$2:$B$627,0))&amp;" | ",""))&amp;IF(L62="","",IFERROR(INDEX('Raw lists'!$B$2:$B$627,MATCH(L62,'Raw lists'!$B$2:$B$627,0))&amp;" | ",""))&amp;IF(M62="","",IFERROR(INDEX('Raw lists'!$B$2:$B$627,MATCH(M62,'Raw lists'!$B$2:$B$627,0))&amp;" | ",""))&amp;IF(N62="","",IFERROR(INDEX('Raw lists'!$B$2:$B$627,MATCH(N62,'Raw lists'!$B$2:$B$627,0))&amp;" | ",""))&amp;IF(O62="","",IFERROR(INDEX('Raw lists'!$B$2:$B$627,MATCH(O62,'Raw lists'!$B$2:$B$627,0))&amp;" | ",""))&amp;IF(P62="","",IFERROR(INDEX('Raw lists'!$B$2:$B$627,MATCH(P62,'Raw lists'!$B$2:$B$627,0))&amp;" | ","")),LEN(IF(K62="","",IFERROR(INDEX('Raw lists'!$B$2:$B$627,MATCH(K62,'Raw lists'!$B$2:$B$627,0))&amp;" | ",""))&amp;IF(L62="","",IFERROR(INDEX('Raw lists'!$B$2:$B$627,MATCH(L62,'Raw lists'!$B$2:$B$627,0))&amp;" | ",""))&amp;IF(M62="","",IFERROR(INDEX('Raw lists'!$B$2:$B$627,MATCH(M62,'Raw lists'!$B$2:$B$627,0))&amp;" | ",""))&amp;IF(N62="","",IFERROR(INDEX('Raw lists'!$B$2:$B$627,MATCH(N62,'Raw lists'!$B$2:$B$627,0))&amp;" | ",""))&amp;IF(O62="","",IFERROR(INDEX('Raw lists'!$B$2:$B$627,MATCH(O62,'Raw lists'!$B$2:$B$627,0))&amp;" | ",""))&amp;IF(P62="","",IFERROR(INDEX('Raw lists'!$B$2:$B$627,MATCH(P62,'Raw lists'!$B$2:$B$627,0))&amp;" | ","")))-3))</f>
        <v>Partially Silvered | Completely Silvered | Fully Silvered</v>
      </c>
      <c r="E62" s="30" t="str">
        <f>IF(LEN(IF(K62="","",IFERROR(INDEX('Raw lists'!$C$2:$C$616,MATCH(K62,'Raw lists'!$C$2:$C$616,0))&amp;" | ",""))&amp;IF(L62="","",IFERROR(INDEX('Raw lists'!$C$2:$C$616,MATCH(L62,'Raw lists'!$C$2:$C$616,0))&amp;" | ",""))&amp;IF(M62="","",IFERROR(INDEX('Raw lists'!$C$2:$C$616,MATCH(M62,'Raw lists'!$C$2:$C$616,0))&amp;" | ",""))&amp;IF(N62="","",IFERROR(INDEX('Raw lists'!$C$2:$C$616,MATCH(N62,'Raw lists'!$C$2:$C$616,0))&amp;" | ",""))&amp;IF(O62="","",IFERROR(INDEX('Raw lists'!$C$2:$C$616,MATCH(O62,'Raw lists'!$C$2:$C$616,0))&amp;" | ",""))&amp;IF(P62="","",IFERROR(INDEX('Raw lists'!$C$2:$C$616,MATCH(P62,'Raw lists'!$C$2:$C$616,0))&amp;" | ","")))=0,"",LEFT(IF(K62="","",IFERROR(INDEX('Raw lists'!$C$2:$C$616,MATCH(K62,'Raw lists'!$C$2:$C$616,0))&amp;" | ",""))&amp;IF(L62="","",IFERROR(INDEX('Raw lists'!$C$2:$C$616,MATCH(L62,'Raw lists'!$C$2:$C$616,0))&amp;" | ",""))&amp;IF(M62="","",IFERROR(INDEX('Raw lists'!$C$2:$C$616,MATCH(M62,'Raw lists'!$C$2:$C$616,0))&amp;" | ",""))&amp;IF(N62="","",IFERROR(INDEX('Raw lists'!$C$2:$C$616,MATCH(N62,'Raw lists'!$C$2:$C$616,0))&amp;" | ",""))&amp;IF(O62="","",IFERROR(INDEX('Raw lists'!$C$2:$C$616,MATCH(O62,'Raw lists'!$C$2:$C$616,0))&amp;" | ",""))&amp;IF(P62="","",IFERROR(INDEX('Raw lists'!$C$2:$C$616,MATCH(P62,'Raw lists'!$C$2:$C$616,0))&amp;" | ","")),LEN(IF(K62="","",IFERROR(INDEX('Raw lists'!$C$2:$C$616,MATCH(K62,'Raw lists'!$C$2:$C$616,0))&amp;" | ",""))&amp;IF(L62="","",IFERROR(INDEX('Raw lists'!$C$2:$C$616,MATCH(L62,'Raw lists'!$C$2:$C$616,0))&amp;" | ",""))&amp;IF(M62="","",IFERROR(INDEX('Raw lists'!$C$2:$C$616,MATCH(M62,'Raw lists'!$C$2:$C$616,0))&amp;" | ",""))&amp;IF(N62="","",IFERROR(INDEX('Raw lists'!$C$2:$C$616,MATCH(N62,'Raw lists'!$C$2:$C$616,0))&amp;" | ",""))&amp;IF(O62="","",IFERROR(INDEX('Raw lists'!$C$2:$C$616,MATCH(O62,'Raw lists'!$C$2:$C$616,0))&amp;" | ",""))&amp;IF(P62="","",IFERROR(INDEX('Raw lists'!$C$2:$C$616,MATCH(P62,'Raw lists'!$C$2:$C$616,0))&amp;" | ","")))-3))</f>
        <v>Partially Silvered</v>
      </c>
      <c r="F62" s="28" t="s">
        <v>17</v>
      </c>
      <c r="G62" s="30" t="s">
        <v>247</v>
      </c>
      <c r="H62" s="28">
        <f t="shared" si="0"/>
        <v>2</v>
      </c>
      <c r="I62" s="31" t="str">
        <f t="shared" si="1"/>
        <v>RAKE + YAKE</v>
      </c>
      <c r="K62" s="32" t="s">
        <v>248</v>
      </c>
      <c r="L62" s="32" t="s">
        <v>249</v>
      </c>
      <c r="M62" s="32" t="s">
        <v>250</v>
      </c>
      <c r="N62" s="32"/>
      <c r="O62" s="32"/>
      <c r="P62" s="32"/>
    </row>
    <row r="63" spans="1:16" x14ac:dyDescent="0.3">
      <c r="A63" s="28">
        <v>62</v>
      </c>
      <c r="B63" s="29" t="s">
        <v>251</v>
      </c>
      <c r="C63" s="30" t="str">
        <f>IF(LEN(IF(K63="","",IFERROR(INDEX('Raw lists'!$A$2:$A$192,MATCH(K63,'Raw lists'!$A$2:$A$192,0))&amp;" | ",""))&amp;IF(L63="","",IFERROR(INDEX('Raw lists'!$A$2:$A$192,MATCH(L63,'Raw lists'!$A$2:$A$192,0))&amp;" | ",""))&amp;IF(M63="","",IFERROR(INDEX('Raw lists'!$A$2:$A$192,MATCH(M63,'Raw lists'!$A$2:$A$192,0))&amp;" | ",""))&amp;IF(N63="","",IFERROR(INDEX('Raw lists'!$A$2:$A$192,MATCH(N63,'Raw lists'!$A$2:$A$192,0))&amp;" | ",""))&amp;IF(O63="","",IFERROR(INDEX('Raw lists'!$A$2:$A$192,MATCH(O63,'Raw lists'!$A$2:$A$192,0))&amp;" | ",""))&amp;IF(P63="","",IFERROR(INDEX('Raw lists'!$A$2:$A$192,MATCH(P63,'Raw lists'!$A$2:$A$192,0))&amp;" | ","")))=0,"",LEFT(IF(K63="","",IFERROR(INDEX('Raw lists'!$A$2:$A$192,MATCH(K63,'Raw lists'!$A$2:$A$192,0))&amp;" | ",""))&amp;IF(L63="","",IFERROR(INDEX('Raw lists'!$A$2:$A$192,MATCH(L63,'Raw lists'!$A$2:$A$192,0))&amp;" | ",""))&amp;IF(M63="","",IFERROR(INDEX('Raw lists'!$A$2:$A$192,MATCH(M63,'Raw lists'!$A$2:$A$192,0))&amp;" | ",""))&amp;IF(N63="","",IFERROR(INDEX('Raw lists'!$A$2:$A$192,MATCH(N63,'Raw lists'!$A$2:$A$192,0))&amp;" | ",""))&amp;IF(O63="","",IFERROR(INDEX('Raw lists'!$A$2:$A$192,MATCH(O63,'Raw lists'!$A$2:$A$192,0))&amp;" | ",""))&amp;IF(P63="","",IFERROR(INDEX('Raw lists'!$A$2:$A$192,MATCH(P63,'Raw lists'!$A$2:$A$192,0))&amp;" | ","")),LEN(IF(K63="","",IFERROR(INDEX('Raw lists'!$A$2:$A$192,MATCH(K63,'Raw lists'!$A$2:$A$192,0))&amp;" | ",""))&amp;IF(L63="","",IFERROR(INDEX('Raw lists'!$A$2:$A$192,MATCH(L63,'Raw lists'!$A$2:$A$192,0))&amp;" | ",""))&amp;IF(M63="","",IFERROR(INDEX('Raw lists'!$A$2:$A$192,MATCH(M63,'Raw lists'!$A$2:$A$192,0))&amp;" | ",""))&amp;IF(N63="","",IFERROR(INDEX('Raw lists'!$A$2:$A$192,MATCH(N63,'Raw lists'!$A$2:$A$192,0))&amp;" | ",""))&amp;IF(O63="","",IFERROR(INDEX('Raw lists'!$A$2:$A$192,MATCH(O63,'Raw lists'!$A$2:$A$192,0))&amp;" | ",""))&amp;IF(P63="","",IFERROR(INDEX('Raw lists'!$A$2:$A$192,MATCH(P63,'Raw lists'!$A$2:$A$192,0))&amp;" | ","")))-3))</f>
        <v>Laser Beam</v>
      </c>
      <c r="D63" s="30" t="str">
        <f>IF(LEN(IF(K63="","",IFERROR(INDEX('Raw lists'!$B$2:$B$627,MATCH(K63,'Raw lists'!$B$2:$B$627,0))&amp;" | ",""))&amp;IF(L63="","",IFERROR(INDEX('Raw lists'!$B$2:$B$627,MATCH(L63,'Raw lists'!$B$2:$B$627,0))&amp;" | ",""))&amp;IF(M63="","",IFERROR(INDEX('Raw lists'!$B$2:$B$627,MATCH(M63,'Raw lists'!$B$2:$B$627,0))&amp;" | ",""))&amp;IF(N63="","",IFERROR(INDEX('Raw lists'!$B$2:$B$627,MATCH(N63,'Raw lists'!$B$2:$B$627,0))&amp;" | ",""))&amp;IF(O63="","",IFERROR(INDEX('Raw lists'!$B$2:$B$627,MATCH(O63,'Raw lists'!$B$2:$B$627,0))&amp;" | ",""))&amp;IF(P63="","",IFERROR(INDEX('Raw lists'!$B$2:$B$627,MATCH(P63,'Raw lists'!$B$2:$B$627,0))&amp;" | ","")))=0,"",LEFT(IF(K63="","",IFERROR(INDEX('Raw lists'!$B$2:$B$627,MATCH(K63,'Raw lists'!$B$2:$B$627,0))&amp;" | ",""))&amp;IF(L63="","",IFERROR(INDEX('Raw lists'!$B$2:$B$627,MATCH(L63,'Raw lists'!$B$2:$B$627,0))&amp;" | ",""))&amp;IF(M63="","",IFERROR(INDEX('Raw lists'!$B$2:$B$627,MATCH(M63,'Raw lists'!$B$2:$B$627,0))&amp;" | ",""))&amp;IF(N63="","",IFERROR(INDEX('Raw lists'!$B$2:$B$627,MATCH(N63,'Raw lists'!$B$2:$B$627,0))&amp;" | ",""))&amp;IF(O63="","",IFERROR(INDEX('Raw lists'!$B$2:$B$627,MATCH(O63,'Raw lists'!$B$2:$B$627,0))&amp;" | ",""))&amp;IF(P63="","",IFERROR(INDEX('Raw lists'!$B$2:$B$627,MATCH(P63,'Raw lists'!$B$2:$B$627,0))&amp;" | ","")),LEN(IF(K63="","",IFERROR(INDEX('Raw lists'!$B$2:$B$627,MATCH(K63,'Raw lists'!$B$2:$B$627,0))&amp;" | ",""))&amp;IF(L63="","",IFERROR(INDEX('Raw lists'!$B$2:$B$627,MATCH(L63,'Raw lists'!$B$2:$B$627,0))&amp;" | ",""))&amp;IF(M63="","",IFERROR(INDEX('Raw lists'!$B$2:$B$627,MATCH(M63,'Raw lists'!$B$2:$B$627,0))&amp;" | ",""))&amp;IF(N63="","",IFERROR(INDEX('Raw lists'!$B$2:$B$627,MATCH(N63,'Raw lists'!$B$2:$B$627,0))&amp;" | ",""))&amp;IF(O63="","",IFERROR(INDEX('Raw lists'!$B$2:$B$627,MATCH(O63,'Raw lists'!$B$2:$B$627,0))&amp;" | ",""))&amp;IF(P63="","",IFERROR(INDEX('Raw lists'!$B$2:$B$627,MATCH(P63,'Raw lists'!$B$2:$B$627,0))&amp;" | ","")))-3))</f>
        <v>Laser Beam | Laser Beams</v>
      </c>
      <c r="E63" s="30" t="str">
        <f>IF(LEN(IF(K63="","",IFERROR(INDEX('Raw lists'!$C$2:$C$616,MATCH(K63,'Raw lists'!$C$2:$C$616,0))&amp;" | ",""))&amp;IF(L63="","",IFERROR(INDEX('Raw lists'!$C$2:$C$616,MATCH(L63,'Raw lists'!$C$2:$C$616,0))&amp;" | ",""))&amp;IF(M63="","",IFERROR(INDEX('Raw lists'!$C$2:$C$616,MATCH(M63,'Raw lists'!$C$2:$C$616,0))&amp;" | ",""))&amp;IF(N63="","",IFERROR(INDEX('Raw lists'!$C$2:$C$616,MATCH(N63,'Raw lists'!$C$2:$C$616,0))&amp;" | ",""))&amp;IF(O63="","",IFERROR(INDEX('Raw lists'!$C$2:$C$616,MATCH(O63,'Raw lists'!$C$2:$C$616,0))&amp;" | ",""))&amp;IF(P63="","",IFERROR(INDEX('Raw lists'!$C$2:$C$616,MATCH(P63,'Raw lists'!$C$2:$C$616,0))&amp;" | ","")))=0,"",LEFT(IF(K63="","",IFERROR(INDEX('Raw lists'!$C$2:$C$616,MATCH(K63,'Raw lists'!$C$2:$C$616,0))&amp;" | ",""))&amp;IF(L63="","",IFERROR(INDEX('Raw lists'!$C$2:$C$616,MATCH(L63,'Raw lists'!$C$2:$C$616,0))&amp;" | ",""))&amp;IF(M63="","",IFERROR(INDEX('Raw lists'!$C$2:$C$616,MATCH(M63,'Raw lists'!$C$2:$C$616,0))&amp;" | ",""))&amp;IF(N63="","",IFERROR(INDEX('Raw lists'!$C$2:$C$616,MATCH(N63,'Raw lists'!$C$2:$C$616,0))&amp;" | ",""))&amp;IF(O63="","",IFERROR(INDEX('Raw lists'!$C$2:$C$616,MATCH(O63,'Raw lists'!$C$2:$C$616,0))&amp;" | ",""))&amp;IF(P63="","",IFERROR(INDEX('Raw lists'!$C$2:$C$616,MATCH(P63,'Raw lists'!$C$2:$C$616,0))&amp;" | ","")),LEN(IF(K63="","",IFERROR(INDEX('Raw lists'!$C$2:$C$616,MATCH(K63,'Raw lists'!$C$2:$C$616,0))&amp;" | ",""))&amp;IF(L63="","",IFERROR(INDEX('Raw lists'!$C$2:$C$616,MATCH(L63,'Raw lists'!$C$2:$C$616,0))&amp;" | ",""))&amp;IF(M63="","",IFERROR(INDEX('Raw lists'!$C$2:$C$616,MATCH(M63,'Raw lists'!$C$2:$C$616,0))&amp;" | ",""))&amp;IF(N63="","",IFERROR(INDEX('Raw lists'!$C$2:$C$616,MATCH(N63,'Raw lists'!$C$2:$C$616,0))&amp;" | ",""))&amp;IF(O63="","",IFERROR(INDEX('Raw lists'!$C$2:$C$616,MATCH(O63,'Raw lists'!$C$2:$C$616,0))&amp;" | ",""))&amp;IF(P63="","",IFERROR(INDEX('Raw lists'!$C$2:$C$616,MATCH(P63,'Raw lists'!$C$2:$C$616,0))&amp;" | ","")))-3))</f>
        <v>Laser Beam | Laser Beams</v>
      </c>
      <c r="F63" s="28" t="s">
        <v>17</v>
      </c>
      <c r="G63" s="30" t="s">
        <v>252</v>
      </c>
      <c r="H63" s="28">
        <f t="shared" si="0"/>
        <v>3</v>
      </c>
      <c r="I63" s="31" t="str">
        <f t="shared" si="1"/>
        <v>All three</v>
      </c>
      <c r="K63" s="32" t="s">
        <v>253</v>
      </c>
      <c r="L63" s="32" t="s">
        <v>254</v>
      </c>
      <c r="M63" s="32"/>
      <c r="N63" s="32"/>
      <c r="O63" s="32"/>
      <c r="P63" s="32"/>
    </row>
    <row r="64" spans="1:16" ht="26.4" x14ac:dyDescent="0.3">
      <c r="A64" s="28">
        <v>63</v>
      </c>
      <c r="B64" s="29" t="s">
        <v>255</v>
      </c>
      <c r="C64" s="30" t="str">
        <f>IF(LEN(IF(K64="","",IFERROR(INDEX('Raw lists'!$A$2:$A$192,MATCH(K64,'Raw lists'!$A$2:$A$192,0))&amp;" | ",""))&amp;IF(L64="","",IFERROR(INDEX('Raw lists'!$A$2:$A$192,MATCH(L64,'Raw lists'!$A$2:$A$192,0))&amp;" | ",""))&amp;IF(M64="","",IFERROR(INDEX('Raw lists'!$A$2:$A$192,MATCH(M64,'Raw lists'!$A$2:$A$192,0))&amp;" | ",""))&amp;IF(N64="","",IFERROR(INDEX('Raw lists'!$A$2:$A$192,MATCH(N64,'Raw lists'!$A$2:$A$192,0))&amp;" | ",""))&amp;IF(O64="","",IFERROR(INDEX('Raw lists'!$A$2:$A$192,MATCH(O64,'Raw lists'!$A$2:$A$192,0))&amp;" | ",""))&amp;IF(P64="","",IFERROR(INDEX('Raw lists'!$A$2:$A$192,MATCH(P64,'Raw lists'!$A$2:$A$192,0))&amp;" | ","")))=0,"",LEFT(IF(K64="","",IFERROR(INDEX('Raw lists'!$A$2:$A$192,MATCH(K64,'Raw lists'!$A$2:$A$192,0))&amp;" | ",""))&amp;IF(L64="","",IFERROR(INDEX('Raw lists'!$A$2:$A$192,MATCH(L64,'Raw lists'!$A$2:$A$192,0))&amp;" | ",""))&amp;IF(M64="","",IFERROR(INDEX('Raw lists'!$A$2:$A$192,MATCH(M64,'Raw lists'!$A$2:$A$192,0))&amp;" | ",""))&amp;IF(N64="","",IFERROR(INDEX('Raw lists'!$A$2:$A$192,MATCH(N64,'Raw lists'!$A$2:$A$192,0))&amp;" | ",""))&amp;IF(O64="","",IFERROR(INDEX('Raw lists'!$A$2:$A$192,MATCH(O64,'Raw lists'!$A$2:$A$192,0))&amp;" | ",""))&amp;IF(P64="","",IFERROR(INDEX('Raw lists'!$A$2:$A$192,MATCH(P64,'Raw lists'!$A$2:$A$192,0))&amp;" | ","")),LEN(IF(K64="","",IFERROR(INDEX('Raw lists'!$A$2:$A$192,MATCH(K64,'Raw lists'!$A$2:$A$192,0))&amp;" | ",""))&amp;IF(L64="","",IFERROR(INDEX('Raw lists'!$A$2:$A$192,MATCH(L64,'Raw lists'!$A$2:$A$192,0))&amp;" | ",""))&amp;IF(M64="","",IFERROR(INDEX('Raw lists'!$A$2:$A$192,MATCH(M64,'Raw lists'!$A$2:$A$192,0))&amp;" | ",""))&amp;IF(N64="","",IFERROR(INDEX('Raw lists'!$A$2:$A$192,MATCH(N64,'Raw lists'!$A$2:$A$192,0))&amp;" | ",""))&amp;IF(O64="","",IFERROR(INDEX('Raw lists'!$A$2:$A$192,MATCH(O64,'Raw lists'!$A$2:$A$192,0))&amp;" | ",""))&amp;IF(P64="","",IFERROR(INDEX('Raw lists'!$A$2:$A$192,MATCH(P64,'Raw lists'!$A$2:$A$192,0))&amp;" | ","")))-3))</f>
        <v>Helium-neon Laser</v>
      </c>
      <c r="D64" s="30" t="str">
        <f>IF(LEN(IF(K64="","",IFERROR(INDEX('Raw lists'!$B$2:$B$627,MATCH(K64,'Raw lists'!$B$2:$B$627,0))&amp;" | ",""))&amp;IF(L64="","",IFERROR(INDEX('Raw lists'!$B$2:$B$627,MATCH(L64,'Raw lists'!$B$2:$B$627,0))&amp;" | ",""))&amp;IF(M64="","",IFERROR(INDEX('Raw lists'!$B$2:$B$627,MATCH(M64,'Raw lists'!$B$2:$B$627,0))&amp;" | ",""))&amp;IF(N64="","",IFERROR(INDEX('Raw lists'!$B$2:$B$627,MATCH(N64,'Raw lists'!$B$2:$B$627,0))&amp;" | ",""))&amp;IF(O64="","",IFERROR(INDEX('Raw lists'!$B$2:$B$627,MATCH(O64,'Raw lists'!$B$2:$B$627,0))&amp;" | ",""))&amp;IF(P64="","",IFERROR(INDEX('Raw lists'!$B$2:$B$627,MATCH(P64,'Raw lists'!$B$2:$B$627,0))&amp;" | ","")))=0,"",LEFT(IF(K64="","",IFERROR(INDEX('Raw lists'!$B$2:$B$627,MATCH(K64,'Raw lists'!$B$2:$B$627,0))&amp;" | ",""))&amp;IF(L64="","",IFERROR(INDEX('Raw lists'!$B$2:$B$627,MATCH(L64,'Raw lists'!$B$2:$B$627,0))&amp;" | ",""))&amp;IF(M64="","",IFERROR(INDEX('Raw lists'!$B$2:$B$627,MATCH(M64,'Raw lists'!$B$2:$B$627,0))&amp;" | ",""))&amp;IF(N64="","",IFERROR(INDEX('Raw lists'!$B$2:$B$627,MATCH(N64,'Raw lists'!$B$2:$B$627,0))&amp;" | ",""))&amp;IF(O64="","",IFERROR(INDEX('Raw lists'!$B$2:$B$627,MATCH(O64,'Raw lists'!$B$2:$B$627,0))&amp;" | ",""))&amp;IF(P64="","",IFERROR(INDEX('Raw lists'!$B$2:$B$627,MATCH(P64,'Raw lists'!$B$2:$B$627,0))&amp;" | ","")),LEN(IF(K64="","",IFERROR(INDEX('Raw lists'!$B$2:$B$627,MATCH(K64,'Raw lists'!$B$2:$B$627,0))&amp;" | ",""))&amp;IF(L64="","",IFERROR(INDEX('Raw lists'!$B$2:$B$627,MATCH(L64,'Raw lists'!$B$2:$B$627,0))&amp;" | ",""))&amp;IF(M64="","",IFERROR(INDEX('Raw lists'!$B$2:$B$627,MATCH(M64,'Raw lists'!$B$2:$B$627,0))&amp;" | ",""))&amp;IF(N64="","",IFERROR(INDEX('Raw lists'!$B$2:$B$627,MATCH(N64,'Raw lists'!$B$2:$B$627,0))&amp;" | ",""))&amp;IF(O64="","",IFERROR(INDEX('Raw lists'!$B$2:$B$627,MATCH(O64,'Raw lists'!$B$2:$B$627,0))&amp;" | ",""))&amp;IF(P64="","",IFERROR(INDEX('Raw lists'!$B$2:$B$627,MATCH(P64,'Raw lists'!$B$2:$B$627,0))&amp;" | ","")))-3))</f>
        <v/>
      </c>
      <c r="E64" s="30" t="str">
        <f>IF(LEN(IF(K64="","",IFERROR(INDEX('Raw lists'!$C$2:$C$616,MATCH(K64,'Raw lists'!$C$2:$C$616,0))&amp;" | ",""))&amp;IF(L64="","",IFERROR(INDEX('Raw lists'!$C$2:$C$616,MATCH(L64,'Raw lists'!$C$2:$C$616,0))&amp;" | ",""))&amp;IF(M64="","",IFERROR(INDEX('Raw lists'!$C$2:$C$616,MATCH(M64,'Raw lists'!$C$2:$C$616,0))&amp;" | ",""))&amp;IF(N64="","",IFERROR(INDEX('Raw lists'!$C$2:$C$616,MATCH(N64,'Raw lists'!$C$2:$C$616,0))&amp;" | ",""))&amp;IF(O64="","",IFERROR(INDEX('Raw lists'!$C$2:$C$616,MATCH(O64,'Raw lists'!$C$2:$C$616,0))&amp;" | ",""))&amp;IF(P64="","",IFERROR(INDEX('Raw lists'!$C$2:$C$616,MATCH(P64,'Raw lists'!$C$2:$C$616,0))&amp;" | ","")))=0,"",LEFT(IF(K64="","",IFERROR(INDEX('Raw lists'!$C$2:$C$616,MATCH(K64,'Raw lists'!$C$2:$C$616,0))&amp;" | ",""))&amp;IF(L64="","",IFERROR(INDEX('Raw lists'!$C$2:$C$616,MATCH(L64,'Raw lists'!$C$2:$C$616,0))&amp;" | ",""))&amp;IF(M64="","",IFERROR(INDEX('Raw lists'!$C$2:$C$616,MATCH(M64,'Raw lists'!$C$2:$C$616,0))&amp;" | ",""))&amp;IF(N64="","",IFERROR(INDEX('Raw lists'!$C$2:$C$616,MATCH(N64,'Raw lists'!$C$2:$C$616,0))&amp;" | ",""))&amp;IF(O64="","",IFERROR(INDEX('Raw lists'!$C$2:$C$616,MATCH(O64,'Raw lists'!$C$2:$C$616,0))&amp;" | ",""))&amp;IF(P64="","",IFERROR(INDEX('Raw lists'!$C$2:$C$616,MATCH(P64,'Raw lists'!$C$2:$C$616,0))&amp;" | ","")),LEN(IF(K64="","",IFERROR(INDEX('Raw lists'!$C$2:$C$616,MATCH(K64,'Raw lists'!$C$2:$C$616,0))&amp;" | ",""))&amp;IF(L64="","",IFERROR(INDEX('Raw lists'!$C$2:$C$616,MATCH(L64,'Raw lists'!$C$2:$C$616,0))&amp;" | ",""))&amp;IF(M64="","",IFERROR(INDEX('Raw lists'!$C$2:$C$616,MATCH(M64,'Raw lists'!$C$2:$C$616,0))&amp;" | ",""))&amp;IF(N64="","",IFERROR(INDEX('Raw lists'!$C$2:$C$616,MATCH(N64,'Raw lists'!$C$2:$C$616,0))&amp;" | ",""))&amp;IF(O64="","",IFERROR(INDEX('Raw lists'!$C$2:$C$616,MATCH(O64,'Raw lists'!$C$2:$C$616,0))&amp;" | ",""))&amp;IF(P64="","",IFERROR(INDEX('Raw lists'!$C$2:$C$616,MATCH(P64,'Raw lists'!$C$2:$C$616,0))&amp;" | ","")))-3))</f>
        <v>Helium-neon Laser | He-ne Laser</v>
      </c>
      <c r="F64" s="28" t="s">
        <v>17</v>
      </c>
      <c r="G64" s="30" t="s">
        <v>256</v>
      </c>
      <c r="H64" s="28">
        <f t="shared" si="0"/>
        <v>2</v>
      </c>
      <c r="I64" s="31" t="str">
        <f t="shared" si="1"/>
        <v>Gemini + YAKE</v>
      </c>
      <c r="K64" s="32" t="s">
        <v>257</v>
      </c>
      <c r="L64" s="32" t="s">
        <v>258</v>
      </c>
      <c r="M64" s="32" t="s">
        <v>259</v>
      </c>
      <c r="N64" s="32"/>
      <c r="O64" s="32"/>
      <c r="P64" s="32"/>
    </row>
    <row r="65" spans="1:16" ht="26.4" x14ac:dyDescent="0.3">
      <c r="A65" s="28">
        <v>64</v>
      </c>
      <c r="B65" s="29" t="s">
        <v>260</v>
      </c>
      <c r="C65" s="30" t="str">
        <f>IF(LEN(IF(K65="","",IFERROR(INDEX('Raw lists'!$A$2:$A$192,MATCH(K65,'Raw lists'!$A$2:$A$192,0))&amp;" | ",""))&amp;IF(L65="","",IFERROR(INDEX('Raw lists'!$A$2:$A$192,MATCH(L65,'Raw lists'!$A$2:$A$192,0))&amp;" | ",""))&amp;IF(M65="","",IFERROR(INDEX('Raw lists'!$A$2:$A$192,MATCH(M65,'Raw lists'!$A$2:$A$192,0))&amp;" | ",""))&amp;IF(N65="","",IFERROR(INDEX('Raw lists'!$A$2:$A$192,MATCH(N65,'Raw lists'!$A$2:$A$192,0))&amp;" | ",""))&amp;IF(O65="","",IFERROR(INDEX('Raw lists'!$A$2:$A$192,MATCH(O65,'Raw lists'!$A$2:$A$192,0))&amp;" | ",""))&amp;IF(P65="","",IFERROR(INDEX('Raw lists'!$A$2:$A$192,MATCH(P65,'Raw lists'!$A$2:$A$192,0))&amp;" | ","")))=0,"",LEFT(IF(K65="","",IFERROR(INDEX('Raw lists'!$A$2:$A$192,MATCH(K65,'Raw lists'!$A$2:$A$192,0))&amp;" | ",""))&amp;IF(L65="","",IFERROR(INDEX('Raw lists'!$A$2:$A$192,MATCH(L65,'Raw lists'!$A$2:$A$192,0))&amp;" | ",""))&amp;IF(M65="","",IFERROR(INDEX('Raw lists'!$A$2:$A$192,MATCH(M65,'Raw lists'!$A$2:$A$192,0))&amp;" | ",""))&amp;IF(N65="","",IFERROR(INDEX('Raw lists'!$A$2:$A$192,MATCH(N65,'Raw lists'!$A$2:$A$192,0))&amp;" | ",""))&amp;IF(O65="","",IFERROR(INDEX('Raw lists'!$A$2:$A$192,MATCH(O65,'Raw lists'!$A$2:$A$192,0))&amp;" | ",""))&amp;IF(P65="","",IFERROR(INDEX('Raw lists'!$A$2:$A$192,MATCH(P65,'Raw lists'!$A$2:$A$192,0))&amp;" | ","")),LEN(IF(K65="","",IFERROR(INDEX('Raw lists'!$A$2:$A$192,MATCH(K65,'Raw lists'!$A$2:$A$192,0))&amp;" | ",""))&amp;IF(L65="","",IFERROR(INDEX('Raw lists'!$A$2:$A$192,MATCH(L65,'Raw lists'!$A$2:$A$192,0))&amp;" | ",""))&amp;IF(M65="","",IFERROR(INDEX('Raw lists'!$A$2:$A$192,MATCH(M65,'Raw lists'!$A$2:$A$192,0))&amp;" | ",""))&amp;IF(N65="","",IFERROR(INDEX('Raw lists'!$A$2:$A$192,MATCH(N65,'Raw lists'!$A$2:$A$192,0))&amp;" | ",""))&amp;IF(O65="","",IFERROR(INDEX('Raw lists'!$A$2:$A$192,MATCH(O65,'Raw lists'!$A$2:$A$192,0))&amp;" | ",""))&amp;IF(P65="","",IFERROR(INDEX('Raw lists'!$A$2:$A$192,MATCH(P65,'Raw lists'!$A$2:$A$192,0))&amp;" | ","")))-3))</f>
        <v>Neon | Neon Atoms</v>
      </c>
      <c r="D65" s="30" t="str">
        <f>IF(LEN(IF(K65="","",IFERROR(INDEX('Raw lists'!$B$2:$B$627,MATCH(K65,'Raw lists'!$B$2:$B$627,0))&amp;" | ",""))&amp;IF(L65="","",IFERROR(INDEX('Raw lists'!$B$2:$B$627,MATCH(L65,'Raw lists'!$B$2:$B$627,0))&amp;" | ",""))&amp;IF(M65="","",IFERROR(INDEX('Raw lists'!$B$2:$B$627,MATCH(M65,'Raw lists'!$B$2:$B$627,0))&amp;" | ",""))&amp;IF(N65="","",IFERROR(INDEX('Raw lists'!$B$2:$B$627,MATCH(N65,'Raw lists'!$B$2:$B$627,0))&amp;" | ",""))&amp;IF(O65="","",IFERROR(INDEX('Raw lists'!$B$2:$B$627,MATCH(O65,'Raw lists'!$B$2:$B$627,0))&amp;" | ",""))&amp;IF(P65="","",IFERROR(INDEX('Raw lists'!$B$2:$B$627,MATCH(P65,'Raw lists'!$B$2:$B$627,0))&amp;" | ","")))=0,"",LEFT(IF(K65="","",IFERROR(INDEX('Raw lists'!$B$2:$B$627,MATCH(K65,'Raw lists'!$B$2:$B$627,0))&amp;" | ",""))&amp;IF(L65="","",IFERROR(INDEX('Raw lists'!$B$2:$B$627,MATCH(L65,'Raw lists'!$B$2:$B$627,0))&amp;" | ",""))&amp;IF(M65="","",IFERROR(INDEX('Raw lists'!$B$2:$B$627,MATCH(M65,'Raw lists'!$B$2:$B$627,0))&amp;" | ",""))&amp;IF(N65="","",IFERROR(INDEX('Raw lists'!$B$2:$B$627,MATCH(N65,'Raw lists'!$B$2:$B$627,0))&amp;" | ",""))&amp;IF(O65="","",IFERROR(INDEX('Raw lists'!$B$2:$B$627,MATCH(O65,'Raw lists'!$B$2:$B$627,0))&amp;" | ",""))&amp;IF(P65="","",IFERROR(INDEX('Raw lists'!$B$2:$B$627,MATCH(P65,'Raw lists'!$B$2:$B$627,0))&amp;" | ","")),LEN(IF(K65="","",IFERROR(INDEX('Raw lists'!$B$2:$B$627,MATCH(K65,'Raw lists'!$B$2:$B$627,0))&amp;" | ",""))&amp;IF(L65="","",IFERROR(INDEX('Raw lists'!$B$2:$B$627,MATCH(L65,'Raw lists'!$B$2:$B$627,0))&amp;" | ",""))&amp;IF(M65="","",IFERROR(INDEX('Raw lists'!$B$2:$B$627,MATCH(M65,'Raw lists'!$B$2:$B$627,0))&amp;" | ",""))&amp;IF(N65="","",IFERROR(INDEX('Raw lists'!$B$2:$B$627,MATCH(N65,'Raw lists'!$B$2:$B$627,0))&amp;" | ",""))&amp;IF(O65="","",IFERROR(INDEX('Raw lists'!$B$2:$B$627,MATCH(O65,'Raw lists'!$B$2:$B$627,0))&amp;" | ",""))&amp;IF(P65="","",IFERROR(INDEX('Raw lists'!$B$2:$B$627,MATCH(P65,'Raw lists'!$B$2:$B$627,0))&amp;" | ","")))-3))</f>
        <v>Ne</v>
      </c>
      <c r="E65" s="30" t="str">
        <f>IF(LEN(IF(K65="","",IFERROR(INDEX('Raw lists'!$C$2:$C$616,MATCH(K65,'Raw lists'!$C$2:$C$616,0))&amp;" | ",""))&amp;IF(L65="","",IFERROR(INDEX('Raw lists'!$C$2:$C$616,MATCH(L65,'Raw lists'!$C$2:$C$616,0))&amp;" | ",""))&amp;IF(M65="","",IFERROR(INDEX('Raw lists'!$C$2:$C$616,MATCH(M65,'Raw lists'!$C$2:$C$616,0))&amp;" | ",""))&amp;IF(N65="","",IFERROR(INDEX('Raw lists'!$C$2:$C$616,MATCH(N65,'Raw lists'!$C$2:$C$616,0))&amp;" | ",""))&amp;IF(O65="","",IFERROR(INDEX('Raw lists'!$C$2:$C$616,MATCH(O65,'Raw lists'!$C$2:$C$616,0))&amp;" | ",""))&amp;IF(P65="","",IFERROR(INDEX('Raw lists'!$C$2:$C$616,MATCH(P65,'Raw lists'!$C$2:$C$616,0))&amp;" | ","")))=0,"",LEFT(IF(K65="","",IFERROR(INDEX('Raw lists'!$C$2:$C$616,MATCH(K65,'Raw lists'!$C$2:$C$616,0))&amp;" | ",""))&amp;IF(L65="","",IFERROR(INDEX('Raw lists'!$C$2:$C$616,MATCH(L65,'Raw lists'!$C$2:$C$616,0))&amp;" | ",""))&amp;IF(M65="","",IFERROR(INDEX('Raw lists'!$C$2:$C$616,MATCH(M65,'Raw lists'!$C$2:$C$616,0))&amp;" | ",""))&amp;IF(N65="","",IFERROR(INDEX('Raw lists'!$C$2:$C$616,MATCH(N65,'Raw lists'!$C$2:$C$616,0))&amp;" | ",""))&amp;IF(O65="","",IFERROR(INDEX('Raw lists'!$C$2:$C$616,MATCH(O65,'Raw lists'!$C$2:$C$616,0))&amp;" | ",""))&amp;IF(P65="","",IFERROR(INDEX('Raw lists'!$C$2:$C$616,MATCH(P65,'Raw lists'!$C$2:$C$616,0))&amp;" | ","")),LEN(IF(K65="","",IFERROR(INDEX('Raw lists'!$C$2:$C$616,MATCH(K65,'Raw lists'!$C$2:$C$616,0))&amp;" | ",""))&amp;IF(L65="","",IFERROR(INDEX('Raw lists'!$C$2:$C$616,MATCH(L65,'Raw lists'!$C$2:$C$616,0))&amp;" | ",""))&amp;IF(M65="","",IFERROR(INDEX('Raw lists'!$C$2:$C$616,MATCH(M65,'Raw lists'!$C$2:$C$616,0))&amp;" | ",""))&amp;IF(N65="","",IFERROR(INDEX('Raw lists'!$C$2:$C$616,MATCH(N65,'Raw lists'!$C$2:$C$616,0))&amp;" | ",""))&amp;IF(O65="","",IFERROR(INDEX('Raw lists'!$C$2:$C$616,MATCH(O65,'Raw lists'!$C$2:$C$616,0))&amp;" | ",""))&amp;IF(P65="","",IFERROR(INDEX('Raw lists'!$C$2:$C$616,MATCH(P65,'Raw lists'!$C$2:$C$616,0))&amp;" | ","")))-3))</f>
        <v>Helium | Neon | Helium Atoms | Neon Atoms</v>
      </c>
      <c r="F65" s="28" t="s">
        <v>17</v>
      </c>
      <c r="G65" s="30" t="s">
        <v>261</v>
      </c>
      <c r="H65" s="28">
        <f t="shared" si="0"/>
        <v>3</v>
      </c>
      <c r="I65" s="31" t="str">
        <f t="shared" si="1"/>
        <v>All three</v>
      </c>
      <c r="K65" s="32" t="s">
        <v>262</v>
      </c>
      <c r="L65" s="32" t="s">
        <v>263</v>
      </c>
      <c r="M65" s="32" t="s">
        <v>264</v>
      </c>
      <c r="N65" s="32" t="s">
        <v>265</v>
      </c>
      <c r="O65" s="32" t="s">
        <v>266</v>
      </c>
      <c r="P65" s="32" t="s">
        <v>267</v>
      </c>
    </row>
    <row r="66" spans="1:16" ht="26.4" x14ac:dyDescent="0.3">
      <c r="A66" s="28">
        <v>65</v>
      </c>
      <c r="B66" s="29" t="s">
        <v>268</v>
      </c>
      <c r="C66" s="30" t="str">
        <f>IF(LEN(IF(K66="","",IFERROR(INDEX('Raw lists'!$A$2:$A$192,MATCH(K66,'Raw lists'!$A$2:$A$192,0))&amp;" | ",""))&amp;IF(L66="","",IFERROR(INDEX('Raw lists'!$A$2:$A$192,MATCH(L66,'Raw lists'!$A$2:$A$192,0))&amp;" | ",""))&amp;IF(M66="","",IFERROR(INDEX('Raw lists'!$A$2:$A$192,MATCH(M66,'Raw lists'!$A$2:$A$192,0))&amp;" | ",""))&amp;IF(N66="","",IFERROR(INDEX('Raw lists'!$A$2:$A$192,MATCH(N66,'Raw lists'!$A$2:$A$192,0))&amp;" | ",""))&amp;IF(O66="","",IFERROR(INDEX('Raw lists'!$A$2:$A$192,MATCH(O66,'Raw lists'!$A$2:$A$192,0))&amp;" | ",""))&amp;IF(P66="","",IFERROR(INDEX('Raw lists'!$A$2:$A$192,MATCH(P66,'Raw lists'!$A$2:$A$192,0))&amp;" | ","")))=0,"",LEFT(IF(K66="","",IFERROR(INDEX('Raw lists'!$A$2:$A$192,MATCH(K66,'Raw lists'!$A$2:$A$192,0))&amp;" | ",""))&amp;IF(L66="","",IFERROR(INDEX('Raw lists'!$A$2:$A$192,MATCH(L66,'Raw lists'!$A$2:$A$192,0))&amp;" | ",""))&amp;IF(M66="","",IFERROR(INDEX('Raw lists'!$A$2:$A$192,MATCH(M66,'Raw lists'!$A$2:$A$192,0))&amp;" | ",""))&amp;IF(N66="","",IFERROR(INDEX('Raw lists'!$A$2:$A$192,MATCH(N66,'Raw lists'!$A$2:$A$192,0))&amp;" | ",""))&amp;IF(O66="","",IFERROR(INDEX('Raw lists'!$A$2:$A$192,MATCH(O66,'Raw lists'!$A$2:$A$192,0))&amp;" | ",""))&amp;IF(P66="","",IFERROR(INDEX('Raw lists'!$A$2:$A$192,MATCH(P66,'Raw lists'!$A$2:$A$192,0))&amp;" | ","")),LEN(IF(K66="","",IFERROR(INDEX('Raw lists'!$A$2:$A$192,MATCH(K66,'Raw lists'!$A$2:$A$192,0))&amp;" | ",""))&amp;IF(L66="","",IFERROR(INDEX('Raw lists'!$A$2:$A$192,MATCH(L66,'Raw lists'!$A$2:$A$192,0))&amp;" | ",""))&amp;IF(M66="","",IFERROR(INDEX('Raw lists'!$A$2:$A$192,MATCH(M66,'Raw lists'!$A$2:$A$192,0))&amp;" | ",""))&amp;IF(N66="","",IFERROR(INDEX('Raw lists'!$A$2:$A$192,MATCH(N66,'Raw lists'!$A$2:$A$192,0))&amp;" | ",""))&amp;IF(O66="","",IFERROR(INDEX('Raw lists'!$A$2:$A$192,MATCH(O66,'Raw lists'!$A$2:$A$192,0))&amp;" | ",""))&amp;IF(P66="","",IFERROR(INDEX('Raw lists'!$A$2:$A$192,MATCH(P66,'Raw lists'!$A$2:$A$192,0))&amp;" | ","")))-3))</f>
        <v/>
      </c>
      <c r="D66" s="30" t="str">
        <f>IF(LEN(IF(K66="","",IFERROR(INDEX('Raw lists'!$B$2:$B$627,MATCH(K66,'Raw lists'!$B$2:$B$627,0))&amp;" | ",""))&amp;IF(L66="","",IFERROR(INDEX('Raw lists'!$B$2:$B$627,MATCH(L66,'Raw lists'!$B$2:$B$627,0))&amp;" | ",""))&amp;IF(M66="","",IFERROR(INDEX('Raw lists'!$B$2:$B$627,MATCH(M66,'Raw lists'!$B$2:$B$627,0))&amp;" | ",""))&amp;IF(N66="","",IFERROR(INDEX('Raw lists'!$B$2:$B$627,MATCH(N66,'Raw lists'!$B$2:$B$627,0))&amp;" | ",""))&amp;IF(O66="","",IFERROR(INDEX('Raw lists'!$B$2:$B$627,MATCH(O66,'Raw lists'!$B$2:$B$627,0))&amp;" | ",""))&amp;IF(P66="","",IFERROR(INDEX('Raw lists'!$B$2:$B$627,MATCH(P66,'Raw lists'!$B$2:$B$627,0))&amp;" | ","")))=0,"",LEFT(IF(K66="","",IFERROR(INDEX('Raw lists'!$B$2:$B$627,MATCH(K66,'Raw lists'!$B$2:$B$627,0))&amp;" | ",""))&amp;IF(L66="","",IFERROR(INDEX('Raw lists'!$B$2:$B$627,MATCH(L66,'Raw lists'!$B$2:$B$627,0))&amp;" | ",""))&amp;IF(M66="","",IFERROR(INDEX('Raw lists'!$B$2:$B$627,MATCH(M66,'Raw lists'!$B$2:$B$627,0))&amp;" | ",""))&amp;IF(N66="","",IFERROR(INDEX('Raw lists'!$B$2:$B$627,MATCH(N66,'Raw lists'!$B$2:$B$627,0))&amp;" | ",""))&amp;IF(O66="","",IFERROR(INDEX('Raw lists'!$B$2:$B$627,MATCH(O66,'Raw lists'!$B$2:$B$627,0))&amp;" | ",""))&amp;IF(P66="","",IFERROR(INDEX('Raw lists'!$B$2:$B$627,MATCH(P66,'Raw lists'!$B$2:$B$627,0))&amp;" | ","")),LEN(IF(K66="","",IFERROR(INDEX('Raw lists'!$B$2:$B$627,MATCH(K66,'Raw lists'!$B$2:$B$627,0))&amp;" | ",""))&amp;IF(L66="","",IFERROR(INDEX('Raw lists'!$B$2:$B$627,MATCH(L66,'Raw lists'!$B$2:$B$627,0))&amp;" | ",""))&amp;IF(M66="","",IFERROR(INDEX('Raw lists'!$B$2:$B$627,MATCH(M66,'Raw lists'!$B$2:$B$627,0))&amp;" | ",""))&amp;IF(N66="","",IFERROR(INDEX('Raw lists'!$B$2:$B$627,MATCH(N66,'Raw lists'!$B$2:$B$627,0))&amp;" | ",""))&amp;IF(O66="","",IFERROR(INDEX('Raw lists'!$B$2:$B$627,MATCH(O66,'Raw lists'!$B$2:$B$627,0))&amp;" | ",""))&amp;IF(P66="","",IFERROR(INDEX('Raw lists'!$B$2:$B$627,MATCH(P66,'Raw lists'!$B$2:$B$627,0))&amp;" | ","")))-3))</f>
        <v>Energy Transfer Agent</v>
      </c>
      <c r="E66" s="30" t="str">
        <f>IF(LEN(IF(K66="","",IFERROR(INDEX('Raw lists'!$C$2:$C$616,MATCH(K66,'Raw lists'!$C$2:$C$616,0))&amp;" | ",""))&amp;IF(L66="","",IFERROR(INDEX('Raw lists'!$C$2:$C$616,MATCH(L66,'Raw lists'!$C$2:$C$616,0))&amp;" | ",""))&amp;IF(M66="","",IFERROR(INDEX('Raw lists'!$C$2:$C$616,MATCH(M66,'Raw lists'!$C$2:$C$616,0))&amp;" | ",""))&amp;IF(N66="","",IFERROR(INDEX('Raw lists'!$C$2:$C$616,MATCH(N66,'Raw lists'!$C$2:$C$616,0))&amp;" | ",""))&amp;IF(O66="","",IFERROR(INDEX('Raw lists'!$C$2:$C$616,MATCH(O66,'Raw lists'!$C$2:$C$616,0))&amp;" | ",""))&amp;IF(P66="","",IFERROR(INDEX('Raw lists'!$C$2:$C$616,MATCH(P66,'Raw lists'!$C$2:$C$616,0))&amp;" | ","")))=0,"",LEFT(IF(K66="","",IFERROR(INDEX('Raw lists'!$C$2:$C$616,MATCH(K66,'Raw lists'!$C$2:$C$616,0))&amp;" | ",""))&amp;IF(L66="","",IFERROR(INDEX('Raw lists'!$C$2:$C$616,MATCH(L66,'Raw lists'!$C$2:$C$616,0))&amp;" | ",""))&amp;IF(M66="","",IFERROR(INDEX('Raw lists'!$C$2:$C$616,MATCH(M66,'Raw lists'!$C$2:$C$616,0))&amp;" | ",""))&amp;IF(N66="","",IFERROR(INDEX('Raw lists'!$C$2:$C$616,MATCH(N66,'Raw lists'!$C$2:$C$616,0))&amp;" | ",""))&amp;IF(O66="","",IFERROR(INDEX('Raw lists'!$C$2:$C$616,MATCH(O66,'Raw lists'!$C$2:$C$616,0))&amp;" | ",""))&amp;IF(P66="","",IFERROR(INDEX('Raw lists'!$C$2:$C$616,MATCH(P66,'Raw lists'!$C$2:$C$616,0))&amp;" | ","")),LEN(IF(K66="","",IFERROR(INDEX('Raw lists'!$C$2:$C$616,MATCH(K66,'Raw lists'!$C$2:$C$616,0))&amp;" | ",""))&amp;IF(L66="","",IFERROR(INDEX('Raw lists'!$C$2:$C$616,MATCH(L66,'Raw lists'!$C$2:$C$616,0))&amp;" | ",""))&amp;IF(M66="","",IFERROR(INDEX('Raw lists'!$C$2:$C$616,MATCH(M66,'Raw lists'!$C$2:$C$616,0))&amp;" | ",""))&amp;IF(N66="","",IFERROR(INDEX('Raw lists'!$C$2:$C$616,MATCH(N66,'Raw lists'!$C$2:$C$616,0))&amp;" | ",""))&amp;IF(O66="","",IFERROR(INDEX('Raw lists'!$C$2:$C$616,MATCH(O66,'Raw lists'!$C$2:$C$616,0))&amp;" | ",""))&amp;IF(P66="","",IFERROR(INDEX('Raw lists'!$C$2:$C$616,MATCH(P66,'Raw lists'!$C$2:$C$616,0))&amp;" | ","")))-3))</f>
        <v/>
      </c>
      <c r="F66" s="28" t="s">
        <v>17</v>
      </c>
      <c r="G66" s="30" t="s">
        <v>269</v>
      </c>
      <c r="H66" s="28">
        <f t="shared" ref="H66:H129" si="2">COUNTIF(C66:E66,"?*")</f>
        <v>1</v>
      </c>
      <c r="I66" s="31" t="str">
        <f t="shared" ref="I66:I129" si="3">IF(H66=0,"None",IF(H66=3,"All three",IF(H66=1,"Only "&amp;TRIM(IF(C66&lt;&gt;"","Gemini ","")&amp;IF(D66&lt;&gt;"","RAKE ","")&amp;IF(E66&lt;&gt;"","YAKE","")),SUBSTITUTE(TRIM(IF(C66&lt;&gt;"","Gemini ","")&amp;IF(D66&lt;&gt;"","RAKE ","")&amp;IF(E66&lt;&gt;"","YAKE",""))," "," + "))))</f>
        <v>Only RAKE</v>
      </c>
      <c r="K66" s="32" t="s">
        <v>270</v>
      </c>
      <c r="L66" s="32"/>
      <c r="M66" s="32"/>
      <c r="N66" s="32"/>
      <c r="O66" s="32"/>
      <c r="P66" s="32"/>
    </row>
    <row r="67" spans="1:16" ht="26.4" x14ac:dyDescent="0.3">
      <c r="A67" s="28">
        <v>66</v>
      </c>
      <c r="B67" s="29" t="s">
        <v>271</v>
      </c>
      <c r="C67" s="30" t="str">
        <f>IF(LEN(IF(K67="","",IFERROR(INDEX('Raw lists'!$A$2:$A$192,MATCH(K67,'Raw lists'!$A$2:$A$192,0))&amp;" | ",""))&amp;IF(L67="","",IFERROR(INDEX('Raw lists'!$A$2:$A$192,MATCH(L67,'Raw lists'!$A$2:$A$192,0))&amp;" | ",""))&amp;IF(M67="","",IFERROR(INDEX('Raw lists'!$A$2:$A$192,MATCH(M67,'Raw lists'!$A$2:$A$192,0))&amp;" | ",""))&amp;IF(N67="","",IFERROR(INDEX('Raw lists'!$A$2:$A$192,MATCH(N67,'Raw lists'!$A$2:$A$192,0))&amp;" | ",""))&amp;IF(O67="","",IFERROR(INDEX('Raw lists'!$A$2:$A$192,MATCH(O67,'Raw lists'!$A$2:$A$192,0))&amp;" | ",""))&amp;IF(P67="","",IFERROR(INDEX('Raw lists'!$A$2:$A$192,MATCH(P67,'Raw lists'!$A$2:$A$192,0))&amp;" | ","")))=0,"",LEFT(IF(K67="","",IFERROR(INDEX('Raw lists'!$A$2:$A$192,MATCH(K67,'Raw lists'!$A$2:$A$192,0))&amp;" | ",""))&amp;IF(L67="","",IFERROR(INDEX('Raw lists'!$A$2:$A$192,MATCH(L67,'Raw lists'!$A$2:$A$192,0))&amp;" | ",""))&amp;IF(M67="","",IFERROR(INDEX('Raw lists'!$A$2:$A$192,MATCH(M67,'Raw lists'!$A$2:$A$192,0))&amp;" | ",""))&amp;IF(N67="","",IFERROR(INDEX('Raw lists'!$A$2:$A$192,MATCH(N67,'Raw lists'!$A$2:$A$192,0))&amp;" | ",""))&amp;IF(O67="","",IFERROR(INDEX('Raw lists'!$A$2:$A$192,MATCH(O67,'Raw lists'!$A$2:$A$192,0))&amp;" | ",""))&amp;IF(P67="","",IFERROR(INDEX('Raw lists'!$A$2:$A$192,MATCH(P67,'Raw lists'!$A$2:$A$192,0))&amp;" | ","")),LEN(IF(K67="","",IFERROR(INDEX('Raw lists'!$A$2:$A$192,MATCH(K67,'Raw lists'!$A$2:$A$192,0))&amp;" | ",""))&amp;IF(L67="","",IFERROR(INDEX('Raw lists'!$A$2:$A$192,MATCH(L67,'Raw lists'!$A$2:$A$192,0))&amp;" | ",""))&amp;IF(M67="","",IFERROR(INDEX('Raw lists'!$A$2:$A$192,MATCH(M67,'Raw lists'!$A$2:$A$192,0))&amp;" | ",""))&amp;IF(N67="","",IFERROR(INDEX('Raw lists'!$A$2:$A$192,MATCH(N67,'Raw lists'!$A$2:$A$192,0))&amp;" | ",""))&amp;IF(O67="","",IFERROR(INDEX('Raw lists'!$A$2:$A$192,MATCH(O67,'Raw lists'!$A$2:$A$192,0))&amp;" | ",""))&amp;IF(P67="","",IFERROR(INDEX('Raw lists'!$A$2:$A$192,MATCH(P67,'Raw lists'!$A$2:$A$192,0))&amp;" | ","")))-3))</f>
        <v/>
      </c>
      <c r="D67" s="30" t="str">
        <f>IF(LEN(IF(K67="","",IFERROR(INDEX('Raw lists'!$B$2:$B$627,MATCH(K67,'Raw lists'!$B$2:$B$627,0))&amp;" | ",""))&amp;IF(L67="","",IFERROR(INDEX('Raw lists'!$B$2:$B$627,MATCH(L67,'Raw lists'!$B$2:$B$627,0))&amp;" | ",""))&amp;IF(M67="","",IFERROR(INDEX('Raw lists'!$B$2:$B$627,MATCH(M67,'Raw lists'!$B$2:$B$627,0))&amp;" | ",""))&amp;IF(N67="","",IFERROR(INDEX('Raw lists'!$B$2:$B$627,MATCH(N67,'Raw lists'!$B$2:$B$627,0))&amp;" | ",""))&amp;IF(O67="","",IFERROR(INDEX('Raw lists'!$B$2:$B$627,MATCH(O67,'Raw lists'!$B$2:$B$627,0))&amp;" | ",""))&amp;IF(P67="","",IFERROR(INDEX('Raw lists'!$B$2:$B$627,MATCH(P67,'Raw lists'!$B$2:$B$627,0))&amp;" | ","")))=0,"",LEFT(IF(K67="","",IFERROR(INDEX('Raw lists'!$B$2:$B$627,MATCH(K67,'Raw lists'!$B$2:$B$627,0))&amp;" | ",""))&amp;IF(L67="","",IFERROR(INDEX('Raw lists'!$B$2:$B$627,MATCH(L67,'Raw lists'!$B$2:$B$627,0))&amp;" | ",""))&amp;IF(M67="","",IFERROR(INDEX('Raw lists'!$B$2:$B$627,MATCH(M67,'Raw lists'!$B$2:$B$627,0))&amp;" | ",""))&amp;IF(N67="","",IFERROR(INDEX('Raw lists'!$B$2:$B$627,MATCH(N67,'Raw lists'!$B$2:$B$627,0))&amp;" | ",""))&amp;IF(O67="","",IFERROR(INDEX('Raw lists'!$B$2:$B$627,MATCH(O67,'Raw lists'!$B$2:$B$627,0))&amp;" | ",""))&amp;IF(P67="","",IFERROR(INDEX('Raw lists'!$B$2:$B$627,MATCH(P67,'Raw lists'!$B$2:$B$627,0))&amp;" | ","")),LEN(IF(K67="","",IFERROR(INDEX('Raw lists'!$B$2:$B$627,MATCH(K67,'Raw lists'!$B$2:$B$627,0))&amp;" | ",""))&amp;IF(L67="","",IFERROR(INDEX('Raw lists'!$B$2:$B$627,MATCH(L67,'Raw lists'!$B$2:$B$627,0))&amp;" | ",""))&amp;IF(M67="","",IFERROR(INDEX('Raw lists'!$B$2:$B$627,MATCH(M67,'Raw lists'!$B$2:$B$627,0))&amp;" | ",""))&amp;IF(N67="","",IFERROR(INDEX('Raw lists'!$B$2:$B$627,MATCH(N67,'Raw lists'!$B$2:$B$627,0))&amp;" | ",""))&amp;IF(O67="","",IFERROR(INDEX('Raw lists'!$B$2:$B$627,MATCH(O67,'Raw lists'!$B$2:$B$627,0))&amp;" | ",""))&amp;IF(P67="","",IFERROR(INDEX('Raw lists'!$B$2:$B$627,MATCH(P67,'Raw lists'!$B$2:$B$627,0))&amp;" | ","")))-3))</f>
        <v/>
      </c>
      <c r="E67" s="30" t="str">
        <f>IF(LEN(IF(K67="","",IFERROR(INDEX('Raw lists'!$C$2:$C$616,MATCH(K67,'Raw lists'!$C$2:$C$616,0))&amp;" | ",""))&amp;IF(L67="","",IFERROR(INDEX('Raw lists'!$C$2:$C$616,MATCH(L67,'Raw lists'!$C$2:$C$616,0))&amp;" | ",""))&amp;IF(M67="","",IFERROR(INDEX('Raw lists'!$C$2:$C$616,MATCH(M67,'Raw lists'!$C$2:$C$616,0))&amp;" | ",""))&amp;IF(N67="","",IFERROR(INDEX('Raw lists'!$C$2:$C$616,MATCH(N67,'Raw lists'!$C$2:$C$616,0))&amp;" | ",""))&amp;IF(O67="","",IFERROR(INDEX('Raw lists'!$C$2:$C$616,MATCH(O67,'Raw lists'!$C$2:$C$616,0))&amp;" | ",""))&amp;IF(P67="","",IFERROR(INDEX('Raw lists'!$C$2:$C$616,MATCH(P67,'Raw lists'!$C$2:$C$616,0))&amp;" | ","")))=0,"",LEFT(IF(K67="","",IFERROR(INDEX('Raw lists'!$C$2:$C$616,MATCH(K67,'Raw lists'!$C$2:$C$616,0))&amp;" | ",""))&amp;IF(L67="","",IFERROR(INDEX('Raw lists'!$C$2:$C$616,MATCH(L67,'Raw lists'!$C$2:$C$616,0))&amp;" | ",""))&amp;IF(M67="","",IFERROR(INDEX('Raw lists'!$C$2:$C$616,MATCH(M67,'Raw lists'!$C$2:$C$616,0))&amp;" | ",""))&amp;IF(N67="","",IFERROR(INDEX('Raw lists'!$C$2:$C$616,MATCH(N67,'Raw lists'!$C$2:$C$616,0))&amp;" | ",""))&amp;IF(O67="","",IFERROR(INDEX('Raw lists'!$C$2:$C$616,MATCH(O67,'Raw lists'!$C$2:$C$616,0))&amp;" | ",""))&amp;IF(P67="","",IFERROR(INDEX('Raw lists'!$C$2:$C$616,MATCH(P67,'Raw lists'!$C$2:$C$616,0))&amp;" | ","")),LEN(IF(K67="","",IFERROR(INDEX('Raw lists'!$C$2:$C$616,MATCH(K67,'Raw lists'!$C$2:$C$616,0))&amp;" | ",""))&amp;IF(L67="","",IFERROR(INDEX('Raw lists'!$C$2:$C$616,MATCH(L67,'Raw lists'!$C$2:$C$616,0))&amp;" | ",""))&amp;IF(M67="","",IFERROR(INDEX('Raw lists'!$C$2:$C$616,MATCH(M67,'Raw lists'!$C$2:$C$616,0))&amp;" | ",""))&amp;IF(N67="","",IFERROR(INDEX('Raw lists'!$C$2:$C$616,MATCH(N67,'Raw lists'!$C$2:$C$616,0))&amp;" | ",""))&amp;IF(O67="","",IFERROR(INDEX('Raw lists'!$C$2:$C$616,MATCH(O67,'Raw lists'!$C$2:$C$616,0))&amp;" | ",""))&amp;IF(P67="","",IFERROR(INDEX('Raw lists'!$C$2:$C$616,MATCH(P67,'Raw lists'!$C$2:$C$616,0))&amp;" | ","")))-3))</f>
        <v>Inelastic Collisions</v>
      </c>
      <c r="F67" s="28" t="s">
        <v>17</v>
      </c>
      <c r="G67" s="30" t="s">
        <v>272</v>
      </c>
      <c r="H67" s="28">
        <f t="shared" si="2"/>
        <v>1</v>
      </c>
      <c r="I67" s="31" t="str">
        <f t="shared" si="3"/>
        <v>Only YAKE</v>
      </c>
      <c r="K67" s="32" t="s">
        <v>273</v>
      </c>
      <c r="L67" s="32"/>
      <c r="M67" s="32"/>
      <c r="N67" s="32"/>
      <c r="O67" s="32"/>
      <c r="P67" s="32"/>
    </row>
    <row r="68" spans="1:16" ht="26.4" x14ac:dyDescent="0.3">
      <c r="A68" s="28">
        <v>67</v>
      </c>
      <c r="B68" s="29" t="s">
        <v>274</v>
      </c>
      <c r="C68" s="30" t="str">
        <f>IF(LEN(IF(K68="","",IFERROR(INDEX('Raw lists'!$A$2:$A$192,MATCH(K68,'Raw lists'!$A$2:$A$192,0))&amp;" | ",""))&amp;IF(L68="","",IFERROR(INDEX('Raw lists'!$A$2:$A$192,MATCH(L68,'Raw lists'!$A$2:$A$192,0))&amp;" | ",""))&amp;IF(M68="","",IFERROR(INDEX('Raw lists'!$A$2:$A$192,MATCH(M68,'Raw lists'!$A$2:$A$192,0))&amp;" | ",""))&amp;IF(N68="","",IFERROR(INDEX('Raw lists'!$A$2:$A$192,MATCH(N68,'Raw lists'!$A$2:$A$192,0))&amp;" | ",""))&amp;IF(O68="","",IFERROR(INDEX('Raw lists'!$A$2:$A$192,MATCH(O68,'Raw lists'!$A$2:$A$192,0))&amp;" | ",""))&amp;IF(P68="","",IFERROR(INDEX('Raw lists'!$A$2:$A$192,MATCH(P68,'Raw lists'!$A$2:$A$192,0))&amp;" | ","")))=0,"",LEFT(IF(K68="","",IFERROR(INDEX('Raw lists'!$A$2:$A$192,MATCH(K68,'Raw lists'!$A$2:$A$192,0))&amp;" | ",""))&amp;IF(L68="","",IFERROR(INDEX('Raw lists'!$A$2:$A$192,MATCH(L68,'Raw lists'!$A$2:$A$192,0))&amp;" | ",""))&amp;IF(M68="","",IFERROR(INDEX('Raw lists'!$A$2:$A$192,MATCH(M68,'Raw lists'!$A$2:$A$192,0))&amp;" | ",""))&amp;IF(N68="","",IFERROR(INDEX('Raw lists'!$A$2:$A$192,MATCH(N68,'Raw lists'!$A$2:$A$192,0))&amp;" | ",""))&amp;IF(O68="","",IFERROR(INDEX('Raw lists'!$A$2:$A$192,MATCH(O68,'Raw lists'!$A$2:$A$192,0))&amp;" | ",""))&amp;IF(P68="","",IFERROR(INDEX('Raw lists'!$A$2:$A$192,MATCH(P68,'Raw lists'!$A$2:$A$192,0))&amp;" | ","")),LEN(IF(K68="","",IFERROR(INDEX('Raw lists'!$A$2:$A$192,MATCH(K68,'Raw lists'!$A$2:$A$192,0))&amp;" | ",""))&amp;IF(L68="","",IFERROR(INDEX('Raw lists'!$A$2:$A$192,MATCH(L68,'Raw lists'!$A$2:$A$192,0))&amp;" | ",""))&amp;IF(M68="","",IFERROR(INDEX('Raw lists'!$A$2:$A$192,MATCH(M68,'Raw lists'!$A$2:$A$192,0))&amp;" | ",""))&amp;IF(N68="","",IFERROR(INDEX('Raw lists'!$A$2:$A$192,MATCH(N68,'Raw lists'!$A$2:$A$192,0))&amp;" | ",""))&amp;IF(O68="","",IFERROR(INDEX('Raw lists'!$A$2:$A$192,MATCH(O68,'Raw lists'!$A$2:$A$192,0))&amp;" | ",""))&amp;IF(P68="","",IFERROR(INDEX('Raw lists'!$A$2:$A$192,MATCH(P68,'Raw lists'!$A$2:$A$192,0))&amp;" | ","")))-3))</f>
        <v/>
      </c>
      <c r="D68" s="30" t="str">
        <f>IF(LEN(IF(K68="","",IFERROR(INDEX('Raw lists'!$B$2:$B$627,MATCH(K68,'Raw lists'!$B$2:$B$627,0))&amp;" | ",""))&amp;IF(L68="","",IFERROR(INDEX('Raw lists'!$B$2:$B$627,MATCH(L68,'Raw lists'!$B$2:$B$627,0))&amp;" | ",""))&amp;IF(M68="","",IFERROR(INDEX('Raw lists'!$B$2:$B$627,MATCH(M68,'Raw lists'!$B$2:$B$627,0))&amp;" | ",""))&amp;IF(N68="","",IFERROR(INDEX('Raw lists'!$B$2:$B$627,MATCH(N68,'Raw lists'!$B$2:$B$627,0))&amp;" | ",""))&amp;IF(O68="","",IFERROR(INDEX('Raw lists'!$B$2:$B$627,MATCH(O68,'Raw lists'!$B$2:$B$627,0))&amp;" | ",""))&amp;IF(P68="","",IFERROR(INDEX('Raw lists'!$B$2:$B$627,MATCH(P68,'Raw lists'!$B$2:$B$627,0))&amp;" | ","")))=0,"",LEFT(IF(K68="","",IFERROR(INDEX('Raw lists'!$B$2:$B$627,MATCH(K68,'Raw lists'!$B$2:$B$627,0))&amp;" | ",""))&amp;IF(L68="","",IFERROR(INDEX('Raw lists'!$B$2:$B$627,MATCH(L68,'Raw lists'!$B$2:$B$627,0))&amp;" | ",""))&amp;IF(M68="","",IFERROR(INDEX('Raw lists'!$B$2:$B$627,MATCH(M68,'Raw lists'!$B$2:$B$627,0))&amp;" | ",""))&amp;IF(N68="","",IFERROR(INDEX('Raw lists'!$B$2:$B$627,MATCH(N68,'Raw lists'!$B$2:$B$627,0))&amp;" | ",""))&amp;IF(O68="","",IFERROR(INDEX('Raw lists'!$B$2:$B$627,MATCH(O68,'Raw lists'!$B$2:$B$627,0))&amp;" | ",""))&amp;IF(P68="","",IFERROR(INDEX('Raw lists'!$B$2:$B$627,MATCH(P68,'Raw lists'!$B$2:$B$627,0))&amp;" | ","")),LEN(IF(K68="","",IFERROR(INDEX('Raw lists'!$B$2:$B$627,MATCH(K68,'Raw lists'!$B$2:$B$627,0))&amp;" | ",""))&amp;IF(L68="","",IFERROR(INDEX('Raw lists'!$B$2:$B$627,MATCH(L68,'Raw lists'!$B$2:$B$627,0))&amp;" | ",""))&amp;IF(M68="","",IFERROR(INDEX('Raw lists'!$B$2:$B$627,MATCH(M68,'Raw lists'!$B$2:$B$627,0))&amp;" | ",""))&amp;IF(N68="","",IFERROR(INDEX('Raw lists'!$B$2:$B$627,MATCH(N68,'Raw lists'!$B$2:$B$627,0))&amp;" | ",""))&amp;IF(O68="","",IFERROR(INDEX('Raw lists'!$B$2:$B$627,MATCH(O68,'Raw lists'!$B$2:$B$627,0))&amp;" | ",""))&amp;IF(P68="","",IFERROR(INDEX('Raw lists'!$B$2:$B$627,MATCH(P68,'Raw lists'!$B$2:$B$627,0))&amp;" | ","")))-3))</f>
        <v/>
      </c>
      <c r="E68" s="30" t="str">
        <f>IF(LEN(IF(K68="","",IFERROR(INDEX('Raw lists'!$C$2:$C$616,MATCH(K68,'Raw lists'!$C$2:$C$616,0))&amp;" | ",""))&amp;IF(L68="","",IFERROR(INDEX('Raw lists'!$C$2:$C$616,MATCH(L68,'Raw lists'!$C$2:$C$616,0))&amp;" | ",""))&amp;IF(M68="","",IFERROR(INDEX('Raw lists'!$C$2:$C$616,MATCH(M68,'Raw lists'!$C$2:$C$616,0))&amp;" | ",""))&amp;IF(N68="","",IFERROR(INDEX('Raw lists'!$C$2:$C$616,MATCH(N68,'Raw lists'!$C$2:$C$616,0))&amp;" | ",""))&amp;IF(O68="","",IFERROR(INDEX('Raw lists'!$C$2:$C$616,MATCH(O68,'Raw lists'!$C$2:$C$616,0))&amp;" | ",""))&amp;IF(P68="","",IFERROR(INDEX('Raw lists'!$C$2:$C$616,MATCH(P68,'Raw lists'!$C$2:$C$616,0))&amp;" | ","")))=0,"",LEFT(IF(K68="","",IFERROR(INDEX('Raw lists'!$C$2:$C$616,MATCH(K68,'Raw lists'!$C$2:$C$616,0))&amp;" | ",""))&amp;IF(L68="","",IFERROR(INDEX('Raw lists'!$C$2:$C$616,MATCH(L68,'Raw lists'!$C$2:$C$616,0))&amp;" | ",""))&amp;IF(M68="","",IFERROR(INDEX('Raw lists'!$C$2:$C$616,MATCH(M68,'Raw lists'!$C$2:$C$616,0))&amp;" | ",""))&amp;IF(N68="","",IFERROR(INDEX('Raw lists'!$C$2:$C$616,MATCH(N68,'Raw lists'!$C$2:$C$616,0))&amp;" | ",""))&amp;IF(O68="","",IFERROR(INDEX('Raw lists'!$C$2:$C$616,MATCH(O68,'Raw lists'!$C$2:$C$616,0))&amp;" | ",""))&amp;IF(P68="","",IFERROR(INDEX('Raw lists'!$C$2:$C$616,MATCH(P68,'Raw lists'!$C$2:$C$616,0))&amp;" | ","")),LEN(IF(K68="","",IFERROR(INDEX('Raw lists'!$C$2:$C$616,MATCH(K68,'Raw lists'!$C$2:$C$616,0))&amp;" | ",""))&amp;IF(L68="","",IFERROR(INDEX('Raw lists'!$C$2:$C$616,MATCH(L68,'Raw lists'!$C$2:$C$616,0))&amp;" | ",""))&amp;IF(M68="","",IFERROR(INDEX('Raw lists'!$C$2:$C$616,MATCH(M68,'Raw lists'!$C$2:$C$616,0))&amp;" | ",""))&amp;IF(N68="","",IFERROR(INDEX('Raw lists'!$C$2:$C$616,MATCH(N68,'Raw lists'!$C$2:$C$616,0))&amp;" | ",""))&amp;IF(O68="","",IFERROR(INDEX('Raw lists'!$C$2:$C$616,MATCH(O68,'Raw lists'!$C$2:$C$616,0))&amp;" | ",""))&amp;IF(P68="","",IFERROR(INDEX('Raw lists'!$C$2:$C$616,MATCH(P68,'Raw lists'!$C$2:$C$616,0))&amp;" | ","")))-3))</f>
        <v/>
      </c>
      <c r="F68" s="28" t="s">
        <v>17</v>
      </c>
      <c r="G68" s="30" t="s">
        <v>275</v>
      </c>
      <c r="H68" s="28">
        <f t="shared" si="2"/>
        <v>0</v>
      </c>
      <c r="I68" s="31" t="str">
        <f t="shared" si="3"/>
        <v>None</v>
      </c>
      <c r="K68" s="32" t="s">
        <v>276</v>
      </c>
      <c r="L68" s="32" t="s">
        <v>277</v>
      </c>
      <c r="M68" s="32"/>
      <c r="N68" s="32"/>
      <c r="O68" s="32"/>
      <c r="P68" s="32"/>
    </row>
    <row r="69" spans="1:16" ht="26.4" x14ac:dyDescent="0.3">
      <c r="A69" s="28">
        <v>68</v>
      </c>
      <c r="B69" s="29" t="s">
        <v>278</v>
      </c>
      <c r="C69" s="30" t="str">
        <f>IF(LEN(IF(K69="","",IFERROR(INDEX('Raw lists'!$A$2:$A$192,MATCH(K69,'Raw lists'!$A$2:$A$192,0))&amp;" | ",""))&amp;IF(L69="","",IFERROR(INDEX('Raw lists'!$A$2:$A$192,MATCH(L69,'Raw lists'!$A$2:$A$192,0))&amp;" | ",""))&amp;IF(M69="","",IFERROR(INDEX('Raw lists'!$A$2:$A$192,MATCH(M69,'Raw lists'!$A$2:$A$192,0))&amp;" | ",""))&amp;IF(N69="","",IFERROR(INDEX('Raw lists'!$A$2:$A$192,MATCH(N69,'Raw lists'!$A$2:$A$192,0))&amp;" | ",""))&amp;IF(O69="","",IFERROR(INDEX('Raw lists'!$A$2:$A$192,MATCH(O69,'Raw lists'!$A$2:$A$192,0))&amp;" | ",""))&amp;IF(P69="","",IFERROR(INDEX('Raw lists'!$A$2:$A$192,MATCH(P69,'Raw lists'!$A$2:$A$192,0))&amp;" | ","")))=0,"",LEFT(IF(K69="","",IFERROR(INDEX('Raw lists'!$A$2:$A$192,MATCH(K69,'Raw lists'!$A$2:$A$192,0))&amp;" | ",""))&amp;IF(L69="","",IFERROR(INDEX('Raw lists'!$A$2:$A$192,MATCH(L69,'Raw lists'!$A$2:$A$192,0))&amp;" | ",""))&amp;IF(M69="","",IFERROR(INDEX('Raw lists'!$A$2:$A$192,MATCH(M69,'Raw lists'!$A$2:$A$192,0))&amp;" | ",""))&amp;IF(N69="","",IFERROR(INDEX('Raw lists'!$A$2:$A$192,MATCH(N69,'Raw lists'!$A$2:$A$192,0))&amp;" | ",""))&amp;IF(O69="","",IFERROR(INDEX('Raw lists'!$A$2:$A$192,MATCH(O69,'Raw lists'!$A$2:$A$192,0))&amp;" | ",""))&amp;IF(P69="","",IFERROR(INDEX('Raw lists'!$A$2:$A$192,MATCH(P69,'Raw lists'!$A$2:$A$192,0))&amp;" | ","")),LEN(IF(K69="","",IFERROR(INDEX('Raw lists'!$A$2:$A$192,MATCH(K69,'Raw lists'!$A$2:$A$192,0))&amp;" | ",""))&amp;IF(L69="","",IFERROR(INDEX('Raw lists'!$A$2:$A$192,MATCH(L69,'Raw lists'!$A$2:$A$192,0))&amp;" | ",""))&amp;IF(M69="","",IFERROR(INDEX('Raw lists'!$A$2:$A$192,MATCH(M69,'Raw lists'!$A$2:$A$192,0))&amp;" | ",""))&amp;IF(N69="","",IFERROR(INDEX('Raw lists'!$A$2:$A$192,MATCH(N69,'Raw lists'!$A$2:$A$192,0))&amp;" | ",""))&amp;IF(O69="","",IFERROR(INDEX('Raw lists'!$A$2:$A$192,MATCH(O69,'Raw lists'!$A$2:$A$192,0))&amp;" | ",""))&amp;IF(P69="","",IFERROR(INDEX('Raw lists'!$A$2:$A$192,MATCH(P69,'Raw lists'!$A$2:$A$192,0))&amp;" | ","")))-3))</f>
        <v/>
      </c>
      <c r="D69" s="30" t="str">
        <f>IF(LEN(IF(K69="","",IFERROR(INDEX('Raw lists'!$B$2:$B$627,MATCH(K69,'Raw lists'!$B$2:$B$627,0))&amp;" | ",""))&amp;IF(L69="","",IFERROR(INDEX('Raw lists'!$B$2:$B$627,MATCH(L69,'Raw lists'!$B$2:$B$627,0))&amp;" | ",""))&amp;IF(M69="","",IFERROR(INDEX('Raw lists'!$B$2:$B$627,MATCH(M69,'Raw lists'!$B$2:$B$627,0))&amp;" | ",""))&amp;IF(N69="","",IFERROR(INDEX('Raw lists'!$B$2:$B$627,MATCH(N69,'Raw lists'!$B$2:$B$627,0))&amp;" | ",""))&amp;IF(O69="","",IFERROR(INDEX('Raw lists'!$B$2:$B$627,MATCH(O69,'Raw lists'!$B$2:$B$627,0))&amp;" | ",""))&amp;IF(P69="","",IFERROR(INDEX('Raw lists'!$B$2:$B$627,MATCH(P69,'Raw lists'!$B$2:$B$627,0))&amp;" | ","")))=0,"",LEFT(IF(K69="","",IFERROR(INDEX('Raw lists'!$B$2:$B$627,MATCH(K69,'Raw lists'!$B$2:$B$627,0))&amp;" | ",""))&amp;IF(L69="","",IFERROR(INDEX('Raw lists'!$B$2:$B$627,MATCH(L69,'Raw lists'!$B$2:$B$627,0))&amp;" | ",""))&amp;IF(M69="","",IFERROR(INDEX('Raw lists'!$B$2:$B$627,MATCH(M69,'Raw lists'!$B$2:$B$627,0))&amp;" | ",""))&amp;IF(N69="","",IFERROR(INDEX('Raw lists'!$B$2:$B$627,MATCH(N69,'Raw lists'!$B$2:$B$627,0))&amp;" | ",""))&amp;IF(O69="","",IFERROR(INDEX('Raw lists'!$B$2:$B$627,MATCH(O69,'Raw lists'!$B$2:$B$627,0))&amp;" | ",""))&amp;IF(P69="","",IFERROR(INDEX('Raw lists'!$B$2:$B$627,MATCH(P69,'Raw lists'!$B$2:$B$627,0))&amp;" | ","")),LEN(IF(K69="","",IFERROR(INDEX('Raw lists'!$B$2:$B$627,MATCH(K69,'Raw lists'!$B$2:$B$627,0))&amp;" | ",""))&amp;IF(L69="","",IFERROR(INDEX('Raw lists'!$B$2:$B$627,MATCH(L69,'Raw lists'!$B$2:$B$627,0))&amp;" | ",""))&amp;IF(M69="","",IFERROR(INDEX('Raw lists'!$B$2:$B$627,MATCH(M69,'Raw lists'!$B$2:$B$627,0))&amp;" | ",""))&amp;IF(N69="","",IFERROR(INDEX('Raw lists'!$B$2:$B$627,MATCH(N69,'Raw lists'!$B$2:$B$627,0))&amp;" | ",""))&amp;IF(O69="","",IFERROR(INDEX('Raw lists'!$B$2:$B$627,MATCH(O69,'Raw lists'!$B$2:$B$627,0))&amp;" | ",""))&amp;IF(P69="","",IFERROR(INDEX('Raw lists'!$B$2:$B$627,MATCH(P69,'Raw lists'!$B$2:$B$627,0))&amp;" | ","")))-3))</f>
        <v/>
      </c>
      <c r="E69" s="30" t="str">
        <f>IF(LEN(IF(K69="","",IFERROR(INDEX('Raw lists'!$C$2:$C$616,MATCH(K69,'Raw lists'!$C$2:$C$616,0))&amp;" | ",""))&amp;IF(L69="","",IFERROR(INDEX('Raw lists'!$C$2:$C$616,MATCH(L69,'Raw lists'!$C$2:$C$616,0))&amp;" | ",""))&amp;IF(M69="","",IFERROR(INDEX('Raw lists'!$C$2:$C$616,MATCH(M69,'Raw lists'!$C$2:$C$616,0))&amp;" | ",""))&amp;IF(N69="","",IFERROR(INDEX('Raw lists'!$C$2:$C$616,MATCH(N69,'Raw lists'!$C$2:$C$616,0))&amp;" | ",""))&amp;IF(O69="","",IFERROR(INDEX('Raw lists'!$C$2:$C$616,MATCH(O69,'Raw lists'!$C$2:$C$616,0))&amp;" | ",""))&amp;IF(P69="","",IFERROR(INDEX('Raw lists'!$C$2:$C$616,MATCH(P69,'Raw lists'!$C$2:$C$616,0))&amp;" | ","")))=0,"",LEFT(IF(K69="","",IFERROR(INDEX('Raw lists'!$C$2:$C$616,MATCH(K69,'Raw lists'!$C$2:$C$616,0))&amp;" | ",""))&amp;IF(L69="","",IFERROR(INDEX('Raw lists'!$C$2:$C$616,MATCH(L69,'Raw lists'!$C$2:$C$616,0))&amp;" | ",""))&amp;IF(M69="","",IFERROR(INDEX('Raw lists'!$C$2:$C$616,MATCH(M69,'Raw lists'!$C$2:$C$616,0))&amp;" | ",""))&amp;IF(N69="","",IFERROR(INDEX('Raw lists'!$C$2:$C$616,MATCH(N69,'Raw lists'!$C$2:$C$616,0))&amp;" | ",""))&amp;IF(O69="","",IFERROR(INDEX('Raw lists'!$C$2:$C$616,MATCH(O69,'Raw lists'!$C$2:$C$616,0))&amp;" | ",""))&amp;IF(P69="","",IFERROR(INDEX('Raw lists'!$C$2:$C$616,MATCH(P69,'Raw lists'!$C$2:$C$616,0))&amp;" | ","")),LEN(IF(K69="","",IFERROR(INDEX('Raw lists'!$C$2:$C$616,MATCH(K69,'Raw lists'!$C$2:$C$616,0))&amp;" | ",""))&amp;IF(L69="","",IFERROR(INDEX('Raw lists'!$C$2:$C$616,MATCH(L69,'Raw lists'!$C$2:$C$616,0))&amp;" | ",""))&amp;IF(M69="","",IFERROR(INDEX('Raw lists'!$C$2:$C$616,MATCH(M69,'Raw lists'!$C$2:$C$616,0))&amp;" | ",""))&amp;IF(N69="","",IFERROR(INDEX('Raw lists'!$C$2:$C$616,MATCH(N69,'Raw lists'!$C$2:$C$616,0))&amp;" | ",""))&amp;IF(O69="","",IFERROR(INDEX('Raw lists'!$C$2:$C$616,MATCH(O69,'Raw lists'!$C$2:$C$616,0))&amp;" | ",""))&amp;IF(P69="","",IFERROR(INDEX('Raw lists'!$C$2:$C$616,MATCH(P69,'Raw lists'!$C$2:$C$616,0))&amp;" | ","")))-3))</f>
        <v>Continuous Laser</v>
      </c>
      <c r="F69" s="28" t="s">
        <v>17</v>
      </c>
      <c r="G69" s="30" t="s">
        <v>279</v>
      </c>
      <c r="H69" s="28">
        <f t="shared" si="2"/>
        <v>1</v>
      </c>
      <c r="I69" s="31" t="str">
        <f t="shared" si="3"/>
        <v>Only YAKE</v>
      </c>
      <c r="K69" s="32" t="s">
        <v>280</v>
      </c>
      <c r="L69" s="32"/>
      <c r="M69" s="32"/>
      <c r="N69" s="32"/>
      <c r="O69" s="32"/>
      <c r="P69" s="32"/>
    </row>
    <row r="70" spans="1:16" x14ac:dyDescent="0.3">
      <c r="A70" s="28">
        <v>69</v>
      </c>
      <c r="B70" s="29" t="s">
        <v>281</v>
      </c>
      <c r="C70" s="30" t="str">
        <f>IF(LEN(IF(K70="","",IFERROR(INDEX('Raw lists'!$A$2:$A$192,MATCH(K70,'Raw lists'!$A$2:$A$192,0))&amp;" | ",""))&amp;IF(L70="","",IFERROR(INDEX('Raw lists'!$A$2:$A$192,MATCH(L70,'Raw lists'!$A$2:$A$192,0))&amp;" | ",""))&amp;IF(M70="","",IFERROR(INDEX('Raw lists'!$A$2:$A$192,MATCH(M70,'Raw lists'!$A$2:$A$192,0))&amp;" | ",""))&amp;IF(N70="","",IFERROR(INDEX('Raw lists'!$A$2:$A$192,MATCH(N70,'Raw lists'!$A$2:$A$192,0))&amp;" | ",""))&amp;IF(O70="","",IFERROR(INDEX('Raw lists'!$A$2:$A$192,MATCH(O70,'Raw lists'!$A$2:$A$192,0))&amp;" | ",""))&amp;IF(P70="","",IFERROR(INDEX('Raw lists'!$A$2:$A$192,MATCH(P70,'Raw lists'!$A$2:$A$192,0))&amp;" | ","")))=0,"",LEFT(IF(K70="","",IFERROR(INDEX('Raw lists'!$A$2:$A$192,MATCH(K70,'Raw lists'!$A$2:$A$192,0))&amp;" | ",""))&amp;IF(L70="","",IFERROR(INDEX('Raw lists'!$A$2:$A$192,MATCH(L70,'Raw lists'!$A$2:$A$192,0))&amp;" | ",""))&amp;IF(M70="","",IFERROR(INDEX('Raw lists'!$A$2:$A$192,MATCH(M70,'Raw lists'!$A$2:$A$192,0))&amp;" | ",""))&amp;IF(N70="","",IFERROR(INDEX('Raw lists'!$A$2:$A$192,MATCH(N70,'Raw lists'!$A$2:$A$192,0))&amp;" | ",""))&amp;IF(O70="","",IFERROR(INDEX('Raw lists'!$A$2:$A$192,MATCH(O70,'Raw lists'!$A$2:$A$192,0))&amp;" | ",""))&amp;IF(P70="","",IFERROR(INDEX('Raw lists'!$A$2:$A$192,MATCH(P70,'Raw lists'!$A$2:$A$192,0))&amp;" | ","")),LEN(IF(K70="","",IFERROR(INDEX('Raw lists'!$A$2:$A$192,MATCH(K70,'Raw lists'!$A$2:$A$192,0))&amp;" | ",""))&amp;IF(L70="","",IFERROR(INDEX('Raw lists'!$A$2:$A$192,MATCH(L70,'Raw lists'!$A$2:$A$192,0))&amp;" | ",""))&amp;IF(M70="","",IFERROR(INDEX('Raw lists'!$A$2:$A$192,MATCH(M70,'Raw lists'!$A$2:$A$192,0))&amp;" | ",""))&amp;IF(N70="","",IFERROR(INDEX('Raw lists'!$A$2:$A$192,MATCH(N70,'Raw lists'!$A$2:$A$192,0))&amp;" | ",""))&amp;IF(O70="","",IFERROR(INDEX('Raw lists'!$A$2:$A$192,MATCH(O70,'Raw lists'!$A$2:$A$192,0))&amp;" | ",""))&amp;IF(P70="","",IFERROR(INDEX('Raw lists'!$A$2:$A$192,MATCH(P70,'Raw lists'!$A$2:$A$192,0))&amp;" | ","")))-3))</f>
        <v/>
      </c>
      <c r="D70" s="30" t="str">
        <f>IF(LEN(IF(K70="","",IFERROR(INDEX('Raw lists'!$B$2:$B$627,MATCH(K70,'Raw lists'!$B$2:$B$627,0))&amp;" | ",""))&amp;IF(L70="","",IFERROR(INDEX('Raw lists'!$B$2:$B$627,MATCH(L70,'Raw lists'!$B$2:$B$627,0))&amp;" | ",""))&amp;IF(M70="","",IFERROR(INDEX('Raw lists'!$B$2:$B$627,MATCH(M70,'Raw lists'!$B$2:$B$627,0))&amp;" | ",""))&amp;IF(N70="","",IFERROR(INDEX('Raw lists'!$B$2:$B$627,MATCH(N70,'Raw lists'!$B$2:$B$627,0))&amp;" | ",""))&amp;IF(O70="","",IFERROR(INDEX('Raw lists'!$B$2:$B$627,MATCH(O70,'Raw lists'!$B$2:$B$627,0))&amp;" | ",""))&amp;IF(P70="","",IFERROR(INDEX('Raw lists'!$B$2:$B$627,MATCH(P70,'Raw lists'!$B$2:$B$627,0))&amp;" | ","")))=0,"",LEFT(IF(K70="","",IFERROR(INDEX('Raw lists'!$B$2:$B$627,MATCH(K70,'Raw lists'!$B$2:$B$627,0))&amp;" | ",""))&amp;IF(L70="","",IFERROR(INDEX('Raw lists'!$B$2:$B$627,MATCH(L70,'Raw lists'!$B$2:$B$627,0))&amp;" | ",""))&amp;IF(M70="","",IFERROR(INDEX('Raw lists'!$B$2:$B$627,MATCH(M70,'Raw lists'!$B$2:$B$627,0))&amp;" | ",""))&amp;IF(N70="","",IFERROR(INDEX('Raw lists'!$B$2:$B$627,MATCH(N70,'Raw lists'!$B$2:$B$627,0))&amp;" | ",""))&amp;IF(O70="","",IFERROR(INDEX('Raw lists'!$B$2:$B$627,MATCH(O70,'Raw lists'!$B$2:$B$627,0))&amp;" | ",""))&amp;IF(P70="","",IFERROR(INDEX('Raw lists'!$B$2:$B$627,MATCH(P70,'Raw lists'!$B$2:$B$627,0))&amp;" | ","")),LEN(IF(K70="","",IFERROR(INDEX('Raw lists'!$B$2:$B$627,MATCH(K70,'Raw lists'!$B$2:$B$627,0))&amp;" | ",""))&amp;IF(L70="","",IFERROR(INDEX('Raw lists'!$B$2:$B$627,MATCH(L70,'Raw lists'!$B$2:$B$627,0))&amp;" | ",""))&amp;IF(M70="","",IFERROR(INDEX('Raw lists'!$B$2:$B$627,MATCH(M70,'Raw lists'!$B$2:$B$627,0))&amp;" | ",""))&amp;IF(N70="","",IFERROR(INDEX('Raw lists'!$B$2:$B$627,MATCH(N70,'Raw lists'!$B$2:$B$627,0))&amp;" | ",""))&amp;IF(O70="","",IFERROR(INDEX('Raw lists'!$B$2:$B$627,MATCH(O70,'Raw lists'!$B$2:$B$627,0))&amp;" | ",""))&amp;IF(P70="","",IFERROR(INDEX('Raw lists'!$B$2:$B$627,MATCH(P70,'Raw lists'!$B$2:$B$627,0))&amp;" | ","")))-3))</f>
        <v/>
      </c>
      <c r="E70" s="30" t="str">
        <f>IF(LEN(IF(K70="","",IFERROR(INDEX('Raw lists'!$C$2:$C$616,MATCH(K70,'Raw lists'!$C$2:$C$616,0))&amp;" | ",""))&amp;IF(L70="","",IFERROR(INDEX('Raw lists'!$C$2:$C$616,MATCH(L70,'Raw lists'!$C$2:$C$616,0))&amp;" | ",""))&amp;IF(M70="","",IFERROR(INDEX('Raw lists'!$C$2:$C$616,MATCH(M70,'Raw lists'!$C$2:$C$616,0))&amp;" | ",""))&amp;IF(N70="","",IFERROR(INDEX('Raw lists'!$C$2:$C$616,MATCH(N70,'Raw lists'!$C$2:$C$616,0))&amp;" | ",""))&amp;IF(O70="","",IFERROR(INDEX('Raw lists'!$C$2:$C$616,MATCH(O70,'Raw lists'!$C$2:$C$616,0))&amp;" | ",""))&amp;IF(P70="","",IFERROR(INDEX('Raw lists'!$C$2:$C$616,MATCH(P70,'Raw lists'!$C$2:$C$616,0))&amp;" | ","")))=0,"",LEFT(IF(K70="","",IFERROR(INDEX('Raw lists'!$C$2:$C$616,MATCH(K70,'Raw lists'!$C$2:$C$616,0))&amp;" | ",""))&amp;IF(L70="","",IFERROR(INDEX('Raw lists'!$C$2:$C$616,MATCH(L70,'Raw lists'!$C$2:$C$616,0))&amp;" | ",""))&amp;IF(M70="","",IFERROR(INDEX('Raw lists'!$C$2:$C$616,MATCH(M70,'Raw lists'!$C$2:$C$616,0))&amp;" | ",""))&amp;IF(N70="","",IFERROR(INDEX('Raw lists'!$C$2:$C$616,MATCH(N70,'Raw lists'!$C$2:$C$616,0))&amp;" | ",""))&amp;IF(O70="","",IFERROR(INDEX('Raw lists'!$C$2:$C$616,MATCH(O70,'Raw lists'!$C$2:$C$616,0))&amp;" | ",""))&amp;IF(P70="","",IFERROR(INDEX('Raw lists'!$C$2:$C$616,MATCH(P70,'Raw lists'!$C$2:$C$616,0))&amp;" | ","")),LEN(IF(K70="","",IFERROR(INDEX('Raw lists'!$C$2:$C$616,MATCH(K70,'Raw lists'!$C$2:$C$616,0))&amp;" | ",""))&amp;IF(L70="","",IFERROR(INDEX('Raw lists'!$C$2:$C$616,MATCH(L70,'Raw lists'!$C$2:$C$616,0))&amp;" | ",""))&amp;IF(M70="","",IFERROR(INDEX('Raw lists'!$C$2:$C$616,MATCH(M70,'Raw lists'!$C$2:$C$616,0))&amp;" | ",""))&amp;IF(N70="","",IFERROR(INDEX('Raw lists'!$C$2:$C$616,MATCH(N70,'Raw lists'!$C$2:$C$616,0))&amp;" | ",""))&amp;IF(O70="","",IFERROR(INDEX('Raw lists'!$C$2:$C$616,MATCH(O70,'Raw lists'!$C$2:$C$616,0))&amp;" | ",""))&amp;IF(P70="","",IFERROR(INDEX('Raw lists'!$C$2:$C$616,MATCH(P70,'Raw lists'!$C$2:$C$616,0))&amp;" | ","")))-3))</f>
        <v>Gas Lasers</v>
      </c>
      <c r="F70" s="28" t="s">
        <v>17</v>
      </c>
      <c r="G70" s="30" t="s">
        <v>282</v>
      </c>
      <c r="H70" s="28">
        <f t="shared" si="2"/>
        <v>1</v>
      </c>
      <c r="I70" s="31" t="str">
        <f t="shared" si="3"/>
        <v>Only YAKE</v>
      </c>
      <c r="K70" s="32" t="s">
        <v>283</v>
      </c>
      <c r="L70" s="32" t="s">
        <v>284</v>
      </c>
      <c r="M70" s="32"/>
      <c r="N70" s="32"/>
      <c r="O70" s="32"/>
      <c r="P70" s="32"/>
    </row>
    <row r="71" spans="1:16" ht="26.4" x14ac:dyDescent="0.3">
      <c r="A71" s="28">
        <v>70</v>
      </c>
      <c r="B71" s="29" t="s">
        <v>285</v>
      </c>
      <c r="C71" s="30" t="str">
        <f>IF(LEN(IF(K71="","",IFERROR(INDEX('Raw lists'!$A$2:$A$192,MATCH(K71,'Raw lists'!$A$2:$A$192,0))&amp;" | ",""))&amp;IF(L71="","",IFERROR(INDEX('Raw lists'!$A$2:$A$192,MATCH(L71,'Raw lists'!$A$2:$A$192,0))&amp;" | ",""))&amp;IF(M71="","",IFERROR(INDEX('Raw lists'!$A$2:$A$192,MATCH(M71,'Raw lists'!$A$2:$A$192,0))&amp;" | ",""))&amp;IF(N71="","",IFERROR(INDEX('Raw lists'!$A$2:$A$192,MATCH(N71,'Raw lists'!$A$2:$A$192,0))&amp;" | ",""))&amp;IF(O71="","",IFERROR(INDEX('Raw lists'!$A$2:$A$192,MATCH(O71,'Raw lists'!$A$2:$A$192,0))&amp;" | ",""))&amp;IF(P71="","",IFERROR(INDEX('Raw lists'!$A$2:$A$192,MATCH(P71,'Raw lists'!$A$2:$A$192,0))&amp;" | ","")))=0,"",LEFT(IF(K71="","",IFERROR(INDEX('Raw lists'!$A$2:$A$192,MATCH(K71,'Raw lists'!$A$2:$A$192,0))&amp;" | ",""))&amp;IF(L71="","",IFERROR(INDEX('Raw lists'!$A$2:$A$192,MATCH(L71,'Raw lists'!$A$2:$A$192,0))&amp;" | ",""))&amp;IF(M71="","",IFERROR(INDEX('Raw lists'!$A$2:$A$192,MATCH(M71,'Raw lists'!$A$2:$A$192,0))&amp;" | ",""))&amp;IF(N71="","",IFERROR(INDEX('Raw lists'!$A$2:$A$192,MATCH(N71,'Raw lists'!$A$2:$A$192,0))&amp;" | ",""))&amp;IF(O71="","",IFERROR(INDEX('Raw lists'!$A$2:$A$192,MATCH(O71,'Raw lists'!$A$2:$A$192,0))&amp;" | ",""))&amp;IF(P71="","",IFERROR(INDEX('Raw lists'!$A$2:$A$192,MATCH(P71,'Raw lists'!$A$2:$A$192,0))&amp;" | ","")),LEN(IF(K71="","",IFERROR(INDEX('Raw lists'!$A$2:$A$192,MATCH(K71,'Raw lists'!$A$2:$A$192,0))&amp;" | ",""))&amp;IF(L71="","",IFERROR(INDEX('Raw lists'!$A$2:$A$192,MATCH(L71,'Raw lists'!$A$2:$A$192,0))&amp;" | ",""))&amp;IF(M71="","",IFERROR(INDEX('Raw lists'!$A$2:$A$192,MATCH(M71,'Raw lists'!$A$2:$A$192,0))&amp;" | ",""))&amp;IF(N71="","",IFERROR(INDEX('Raw lists'!$A$2:$A$192,MATCH(N71,'Raw lists'!$A$2:$A$192,0))&amp;" | ",""))&amp;IF(O71="","",IFERROR(INDEX('Raw lists'!$A$2:$A$192,MATCH(O71,'Raw lists'!$A$2:$A$192,0))&amp;" | ",""))&amp;IF(P71="","",IFERROR(INDEX('Raw lists'!$A$2:$A$192,MATCH(P71,'Raw lists'!$A$2:$A$192,0))&amp;" | ","")))-3))</f>
        <v/>
      </c>
      <c r="D71" s="30" t="str">
        <f>IF(LEN(IF(K71="","",IFERROR(INDEX('Raw lists'!$B$2:$B$627,MATCH(K71,'Raw lists'!$B$2:$B$627,0))&amp;" | ",""))&amp;IF(L71="","",IFERROR(INDEX('Raw lists'!$B$2:$B$627,MATCH(L71,'Raw lists'!$B$2:$B$627,0))&amp;" | ",""))&amp;IF(M71="","",IFERROR(INDEX('Raw lists'!$B$2:$B$627,MATCH(M71,'Raw lists'!$B$2:$B$627,0))&amp;" | ",""))&amp;IF(N71="","",IFERROR(INDEX('Raw lists'!$B$2:$B$627,MATCH(N71,'Raw lists'!$B$2:$B$627,0))&amp;" | ",""))&amp;IF(O71="","",IFERROR(INDEX('Raw lists'!$B$2:$B$627,MATCH(O71,'Raw lists'!$B$2:$B$627,0))&amp;" | ",""))&amp;IF(P71="","",IFERROR(INDEX('Raw lists'!$B$2:$B$627,MATCH(P71,'Raw lists'!$B$2:$B$627,0))&amp;" | ","")))=0,"",LEFT(IF(K71="","",IFERROR(INDEX('Raw lists'!$B$2:$B$627,MATCH(K71,'Raw lists'!$B$2:$B$627,0))&amp;" | ",""))&amp;IF(L71="","",IFERROR(INDEX('Raw lists'!$B$2:$B$627,MATCH(L71,'Raw lists'!$B$2:$B$627,0))&amp;" | ",""))&amp;IF(M71="","",IFERROR(INDEX('Raw lists'!$B$2:$B$627,MATCH(M71,'Raw lists'!$B$2:$B$627,0))&amp;" | ",""))&amp;IF(N71="","",IFERROR(INDEX('Raw lists'!$B$2:$B$627,MATCH(N71,'Raw lists'!$B$2:$B$627,0))&amp;" | ",""))&amp;IF(O71="","",IFERROR(INDEX('Raw lists'!$B$2:$B$627,MATCH(O71,'Raw lists'!$B$2:$B$627,0))&amp;" | ",""))&amp;IF(P71="","",IFERROR(INDEX('Raw lists'!$B$2:$B$627,MATCH(P71,'Raw lists'!$B$2:$B$627,0))&amp;" | ","")),LEN(IF(K71="","",IFERROR(INDEX('Raw lists'!$B$2:$B$627,MATCH(K71,'Raw lists'!$B$2:$B$627,0))&amp;" | ",""))&amp;IF(L71="","",IFERROR(INDEX('Raw lists'!$B$2:$B$627,MATCH(L71,'Raw lists'!$B$2:$B$627,0))&amp;" | ",""))&amp;IF(M71="","",IFERROR(INDEX('Raw lists'!$B$2:$B$627,MATCH(M71,'Raw lists'!$B$2:$B$627,0))&amp;" | ",""))&amp;IF(N71="","",IFERROR(INDEX('Raw lists'!$B$2:$B$627,MATCH(N71,'Raw lists'!$B$2:$B$627,0))&amp;" | ",""))&amp;IF(O71="","",IFERROR(INDEX('Raw lists'!$B$2:$B$627,MATCH(O71,'Raw lists'!$B$2:$B$627,0))&amp;" | ",""))&amp;IF(P71="","",IFERROR(INDEX('Raw lists'!$B$2:$B$627,MATCH(P71,'Raw lists'!$B$2:$B$627,0))&amp;" | ","")))-3))</f>
        <v>Solid State</v>
      </c>
      <c r="E71" s="30" t="str">
        <f>IF(LEN(IF(K71="","",IFERROR(INDEX('Raw lists'!$C$2:$C$616,MATCH(K71,'Raw lists'!$C$2:$C$616,0))&amp;" | ",""))&amp;IF(L71="","",IFERROR(INDEX('Raw lists'!$C$2:$C$616,MATCH(L71,'Raw lists'!$C$2:$C$616,0))&amp;" | ",""))&amp;IF(M71="","",IFERROR(INDEX('Raw lists'!$C$2:$C$616,MATCH(M71,'Raw lists'!$C$2:$C$616,0))&amp;" | ",""))&amp;IF(N71="","",IFERROR(INDEX('Raw lists'!$C$2:$C$616,MATCH(N71,'Raw lists'!$C$2:$C$616,0))&amp;" | ",""))&amp;IF(O71="","",IFERROR(INDEX('Raw lists'!$C$2:$C$616,MATCH(O71,'Raw lists'!$C$2:$C$616,0))&amp;" | ",""))&amp;IF(P71="","",IFERROR(INDEX('Raw lists'!$C$2:$C$616,MATCH(P71,'Raw lists'!$C$2:$C$616,0))&amp;" | ","")))=0,"",LEFT(IF(K71="","",IFERROR(INDEX('Raw lists'!$C$2:$C$616,MATCH(K71,'Raw lists'!$C$2:$C$616,0))&amp;" | ",""))&amp;IF(L71="","",IFERROR(INDEX('Raw lists'!$C$2:$C$616,MATCH(L71,'Raw lists'!$C$2:$C$616,0))&amp;" | ",""))&amp;IF(M71="","",IFERROR(INDEX('Raw lists'!$C$2:$C$616,MATCH(M71,'Raw lists'!$C$2:$C$616,0))&amp;" | ",""))&amp;IF(N71="","",IFERROR(INDEX('Raw lists'!$C$2:$C$616,MATCH(N71,'Raw lists'!$C$2:$C$616,0))&amp;" | ",""))&amp;IF(O71="","",IFERROR(INDEX('Raw lists'!$C$2:$C$616,MATCH(O71,'Raw lists'!$C$2:$C$616,0))&amp;" | ",""))&amp;IF(P71="","",IFERROR(INDEX('Raw lists'!$C$2:$C$616,MATCH(P71,'Raw lists'!$C$2:$C$616,0))&amp;" | ","")),LEN(IF(K71="","",IFERROR(INDEX('Raw lists'!$C$2:$C$616,MATCH(K71,'Raw lists'!$C$2:$C$616,0))&amp;" | ",""))&amp;IF(L71="","",IFERROR(INDEX('Raw lists'!$C$2:$C$616,MATCH(L71,'Raw lists'!$C$2:$C$616,0))&amp;" | ",""))&amp;IF(M71="","",IFERROR(INDEX('Raw lists'!$C$2:$C$616,MATCH(M71,'Raw lists'!$C$2:$C$616,0))&amp;" | ",""))&amp;IF(N71="","",IFERROR(INDEX('Raw lists'!$C$2:$C$616,MATCH(N71,'Raw lists'!$C$2:$C$616,0))&amp;" | ",""))&amp;IF(O71="","",IFERROR(INDEX('Raw lists'!$C$2:$C$616,MATCH(O71,'Raw lists'!$C$2:$C$616,0))&amp;" | ",""))&amp;IF(P71="","",IFERROR(INDEX('Raw lists'!$C$2:$C$616,MATCH(P71,'Raw lists'!$C$2:$C$616,0))&amp;" | ","")))-3))</f>
        <v>Solid State Laser</v>
      </c>
      <c r="F71" s="28" t="s">
        <v>17</v>
      </c>
      <c r="G71" s="30" t="s">
        <v>286</v>
      </c>
      <c r="H71" s="28">
        <f t="shared" si="2"/>
        <v>2</v>
      </c>
      <c r="I71" s="31" t="str">
        <f t="shared" si="3"/>
        <v>RAKE + YAKE</v>
      </c>
      <c r="K71" s="32" t="s">
        <v>287</v>
      </c>
      <c r="L71" s="32" t="s">
        <v>288</v>
      </c>
      <c r="M71" s="32" t="s">
        <v>289</v>
      </c>
      <c r="N71" s="32"/>
      <c r="O71" s="32"/>
      <c r="P71" s="32"/>
    </row>
    <row r="72" spans="1:16" x14ac:dyDescent="0.3">
      <c r="A72" s="28">
        <v>71</v>
      </c>
      <c r="B72" s="29" t="s">
        <v>290</v>
      </c>
      <c r="C72" s="30" t="str">
        <f>IF(LEN(IF(K72="","",IFERROR(INDEX('Raw lists'!$A$2:$A$192,MATCH(K72,'Raw lists'!$A$2:$A$192,0))&amp;" | ",""))&amp;IF(L72="","",IFERROR(INDEX('Raw lists'!$A$2:$A$192,MATCH(L72,'Raw lists'!$A$2:$A$192,0))&amp;" | ",""))&amp;IF(M72="","",IFERROR(INDEX('Raw lists'!$A$2:$A$192,MATCH(M72,'Raw lists'!$A$2:$A$192,0))&amp;" | ",""))&amp;IF(N72="","",IFERROR(INDEX('Raw lists'!$A$2:$A$192,MATCH(N72,'Raw lists'!$A$2:$A$192,0))&amp;" | ",""))&amp;IF(O72="","",IFERROR(INDEX('Raw lists'!$A$2:$A$192,MATCH(O72,'Raw lists'!$A$2:$A$192,0))&amp;" | ",""))&amp;IF(P72="","",IFERROR(INDEX('Raw lists'!$A$2:$A$192,MATCH(P72,'Raw lists'!$A$2:$A$192,0))&amp;" | ","")))=0,"",LEFT(IF(K72="","",IFERROR(INDEX('Raw lists'!$A$2:$A$192,MATCH(K72,'Raw lists'!$A$2:$A$192,0))&amp;" | ",""))&amp;IF(L72="","",IFERROR(INDEX('Raw lists'!$A$2:$A$192,MATCH(L72,'Raw lists'!$A$2:$A$192,0))&amp;" | ",""))&amp;IF(M72="","",IFERROR(INDEX('Raw lists'!$A$2:$A$192,MATCH(M72,'Raw lists'!$A$2:$A$192,0))&amp;" | ",""))&amp;IF(N72="","",IFERROR(INDEX('Raw lists'!$A$2:$A$192,MATCH(N72,'Raw lists'!$A$2:$A$192,0))&amp;" | ",""))&amp;IF(O72="","",IFERROR(INDEX('Raw lists'!$A$2:$A$192,MATCH(O72,'Raw lists'!$A$2:$A$192,0))&amp;" | ",""))&amp;IF(P72="","",IFERROR(INDEX('Raw lists'!$A$2:$A$192,MATCH(P72,'Raw lists'!$A$2:$A$192,0))&amp;" | ","")),LEN(IF(K72="","",IFERROR(INDEX('Raw lists'!$A$2:$A$192,MATCH(K72,'Raw lists'!$A$2:$A$192,0))&amp;" | ",""))&amp;IF(L72="","",IFERROR(INDEX('Raw lists'!$A$2:$A$192,MATCH(L72,'Raw lists'!$A$2:$A$192,0))&amp;" | ",""))&amp;IF(M72="","",IFERROR(INDEX('Raw lists'!$A$2:$A$192,MATCH(M72,'Raw lists'!$A$2:$A$192,0))&amp;" | ",""))&amp;IF(N72="","",IFERROR(INDEX('Raw lists'!$A$2:$A$192,MATCH(N72,'Raw lists'!$A$2:$A$192,0))&amp;" | ",""))&amp;IF(O72="","",IFERROR(INDEX('Raw lists'!$A$2:$A$192,MATCH(O72,'Raw lists'!$A$2:$A$192,0))&amp;" | ",""))&amp;IF(P72="","",IFERROR(INDEX('Raw lists'!$A$2:$A$192,MATCH(P72,'Raw lists'!$A$2:$A$192,0))&amp;" | ","")))-3))</f>
        <v/>
      </c>
      <c r="D72" s="30" t="str">
        <f>IF(LEN(IF(K72="","",IFERROR(INDEX('Raw lists'!$B$2:$B$627,MATCH(K72,'Raw lists'!$B$2:$B$627,0))&amp;" | ",""))&amp;IF(L72="","",IFERROR(INDEX('Raw lists'!$B$2:$B$627,MATCH(L72,'Raw lists'!$B$2:$B$627,0))&amp;" | ",""))&amp;IF(M72="","",IFERROR(INDEX('Raw lists'!$B$2:$B$627,MATCH(M72,'Raw lists'!$B$2:$B$627,0))&amp;" | ",""))&amp;IF(N72="","",IFERROR(INDEX('Raw lists'!$B$2:$B$627,MATCH(N72,'Raw lists'!$B$2:$B$627,0))&amp;" | ",""))&amp;IF(O72="","",IFERROR(INDEX('Raw lists'!$B$2:$B$627,MATCH(O72,'Raw lists'!$B$2:$B$627,0))&amp;" | ",""))&amp;IF(P72="","",IFERROR(INDEX('Raw lists'!$B$2:$B$627,MATCH(P72,'Raw lists'!$B$2:$B$627,0))&amp;" | ","")))=0,"",LEFT(IF(K72="","",IFERROR(INDEX('Raw lists'!$B$2:$B$627,MATCH(K72,'Raw lists'!$B$2:$B$627,0))&amp;" | ",""))&amp;IF(L72="","",IFERROR(INDEX('Raw lists'!$B$2:$B$627,MATCH(L72,'Raw lists'!$B$2:$B$627,0))&amp;" | ",""))&amp;IF(M72="","",IFERROR(INDEX('Raw lists'!$B$2:$B$627,MATCH(M72,'Raw lists'!$B$2:$B$627,0))&amp;" | ",""))&amp;IF(N72="","",IFERROR(INDEX('Raw lists'!$B$2:$B$627,MATCH(N72,'Raw lists'!$B$2:$B$627,0))&amp;" | ",""))&amp;IF(O72="","",IFERROR(INDEX('Raw lists'!$B$2:$B$627,MATCH(O72,'Raw lists'!$B$2:$B$627,0))&amp;" | ",""))&amp;IF(P72="","",IFERROR(INDEX('Raw lists'!$B$2:$B$627,MATCH(P72,'Raw lists'!$B$2:$B$627,0))&amp;" | ","")),LEN(IF(K72="","",IFERROR(INDEX('Raw lists'!$B$2:$B$627,MATCH(K72,'Raw lists'!$B$2:$B$627,0))&amp;" | ",""))&amp;IF(L72="","",IFERROR(INDEX('Raw lists'!$B$2:$B$627,MATCH(L72,'Raw lists'!$B$2:$B$627,0))&amp;" | ",""))&amp;IF(M72="","",IFERROR(INDEX('Raw lists'!$B$2:$B$627,MATCH(M72,'Raw lists'!$B$2:$B$627,0))&amp;" | ",""))&amp;IF(N72="","",IFERROR(INDEX('Raw lists'!$B$2:$B$627,MATCH(N72,'Raw lists'!$B$2:$B$627,0))&amp;" | ",""))&amp;IF(O72="","",IFERROR(INDEX('Raw lists'!$B$2:$B$627,MATCH(O72,'Raw lists'!$B$2:$B$627,0))&amp;" | ",""))&amp;IF(P72="","",IFERROR(INDEX('Raw lists'!$B$2:$B$627,MATCH(P72,'Raw lists'!$B$2:$B$627,0))&amp;" | ","")))-3))</f>
        <v/>
      </c>
      <c r="E72" s="30" t="str">
        <f>IF(LEN(IF(K72="","",IFERROR(INDEX('Raw lists'!$C$2:$C$616,MATCH(K72,'Raw lists'!$C$2:$C$616,0))&amp;" | ",""))&amp;IF(L72="","",IFERROR(INDEX('Raw lists'!$C$2:$C$616,MATCH(L72,'Raw lists'!$C$2:$C$616,0))&amp;" | ",""))&amp;IF(M72="","",IFERROR(INDEX('Raw lists'!$C$2:$C$616,MATCH(M72,'Raw lists'!$C$2:$C$616,0))&amp;" | ",""))&amp;IF(N72="","",IFERROR(INDEX('Raw lists'!$C$2:$C$616,MATCH(N72,'Raw lists'!$C$2:$C$616,0))&amp;" | ",""))&amp;IF(O72="","",IFERROR(INDEX('Raw lists'!$C$2:$C$616,MATCH(O72,'Raw lists'!$C$2:$C$616,0))&amp;" | ",""))&amp;IF(P72="","",IFERROR(INDEX('Raw lists'!$C$2:$C$616,MATCH(P72,'Raw lists'!$C$2:$C$616,0))&amp;" | ","")))=0,"",LEFT(IF(K72="","",IFERROR(INDEX('Raw lists'!$C$2:$C$616,MATCH(K72,'Raw lists'!$C$2:$C$616,0))&amp;" | ",""))&amp;IF(L72="","",IFERROR(INDEX('Raw lists'!$C$2:$C$616,MATCH(L72,'Raw lists'!$C$2:$C$616,0))&amp;" | ",""))&amp;IF(M72="","",IFERROR(INDEX('Raw lists'!$C$2:$C$616,MATCH(M72,'Raw lists'!$C$2:$C$616,0))&amp;" | ",""))&amp;IF(N72="","",IFERROR(INDEX('Raw lists'!$C$2:$C$616,MATCH(N72,'Raw lists'!$C$2:$C$616,0))&amp;" | ",""))&amp;IF(O72="","",IFERROR(INDEX('Raw lists'!$C$2:$C$616,MATCH(O72,'Raw lists'!$C$2:$C$616,0))&amp;" | ",""))&amp;IF(P72="","",IFERROR(INDEX('Raw lists'!$C$2:$C$616,MATCH(P72,'Raw lists'!$C$2:$C$616,0))&amp;" | ","")),LEN(IF(K72="","",IFERROR(INDEX('Raw lists'!$C$2:$C$616,MATCH(K72,'Raw lists'!$C$2:$C$616,0))&amp;" | ",""))&amp;IF(L72="","",IFERROR(INDEX('Raw lists'!$C$2:$C$616,MATCH(L72,'Raw lists'!$C$2:$C$616,0))&amp;" | ",""))&amp;IF(M72="","",IFERROR(INDEX('Raw lists'!$C$2:$C$616,MATCH(M72,'Raw lists'!$C$2:$C$616,0))&amp;" | ",""))&amp;IF(N72="","",IFERROR(INDEX('Raw lists'!$C$2:$C$616,MATCH(N72,'Raw lists'!$C$2:$C$616,0))&amp;" | ",""))&amp;IF(O72="","",IFERROR(INDEX('Raw lists'!$C$2:$C$616,MATCH(O72,'Raw lists'!$C$2:$C$616,0))&amp;" | ",""))&amp;IF(P72="","",IFERROR(INDEX('Raw lists'!$C$2:$C$616,MATCH(P72,'Raw lists'!$C$2:$C$616,0))&amp;" | ","")))-3))</f>
        <v>Four-level Solid-state Laser</v>
      </c>
      <c r="F72" s="28" t="s">
        <v>17</v>
      </c>
      <c r="G72" s="30" t="s">
        <v>291</v>
      </c>
      <c r="H72" s="28">
        <f t="shared" si="2"/>
        <v>1</v>
      </c>
      <c r="I72" s="31" t="str">
        <f t="shared" si="3"/>
        <v>Only YAKE</v>
      </c>
      <c r="K72" s="32" t="s">
        <v>292</v>
      </c>
      <c r="L72" s="32" t="s">
        <v>293</v>
      </c>
      <c r="M72" s="32" t="s">
        <v>294</v>
      </c>
      <c r="N72" s="32"/>
      <c r="O72" s="32"/>
      <c r="P72" s="32"/>
    </row>
    <row r="73" spans="1:16" x14ac:dyDescent="0.3">
      <c r="A73" s="28">
        <v>72</v>
      </c>
      <c r="B73" s="29" t="s">
        <v>295</v>
      </c>
      <c r="C73" s="30" t="str">
        <f>IF(LEN(IF(K73="","",IFERROR(INDEX('Raw lists'!$A$2:$A$192,MATCH(K73,'Raw lists'!$A$2:$A$192,0))&amp;" | ",""))&amp;IF(L73="","",IFERROR(INDEX('Raw lists'!$A$2:$A$192,MATCH(L73,'Raw lists'!$A$2:$A$192,0))&amp;" | ",""))&amp;IF(M73="","",IFERROR(INDEX('Raw lists'!$A$2:$A$192,MATCH(M73,'Raw lists'!$A$2:$A$192,0))&amp;" | ",""))&amp;IF(N73="","",IFERROR(INDEX('Raw lists'!$A$2:$A$192,MATCH(N73,'Raw lists'!$A$2:$A$192,0))&amp;" | ",""))&amp;IF(O73="","",IFERROR(INDEX('Raw lists'!$A$2:$A$192,MATCH(O73,'Raw lists'!$A$2:$A$192,0))&amp;" | ",""))&amp;IF(P73="","",IFERROR(INDEX('Raw lists'!$A$2:$A$192,MATCH(P73,'Raw lists'!$A$2:$A$192,0))&amp;" | ","")))=0,"",LEFT(IF(K73="","",IFERROR(INDEX('Raw lists'!$A$2:$A$192,MATCH(K73,'Raw lists'!$A$2:$A$192,0))&amp;" | ",""))&amp;IF(L73="","",IFERROR(INDEX('Raw lists'!$A$2:$A$192,MATCH(L73,'Raw lists'!$A$2:$A$192,0))&amp;" | ",""))&amp;IF(M73="","",IFERROR(INDEX('Raw lists'!$A$2:$A$192,MATCH(M73,'Raw lists'!$A$2:$A$192,0))&amp;" | ",""))&amp;IF(N73="","",IFERROR(INDEX('Raw lists'!$A$2:$A$192,MATCH(N73,'Raw lists'!$A$2:$A$192,0))&amp;" | ",""))&amp;IF(O73="","",IFERROR(INDEX('Raw lists'!$A$2:$A$192,MATCH(O73,'Raw lists'!$A$2:$A$192,0))&amp;" | ",""))&amp;IF(P73="","",IFERROR(INDEX('Raw lists'!$A$2:$A$192,MATCH(P73,'Raw lists'!$A$2:$A$192,0))&amp;" | ","")),LEN(IF(K73="","",IFERROR(INDEX('Raw lists'!$A$2:$A$192,MATCH(K73,'Raw lists'!$A$2:$A$192,0))&amp;" | ",""))&amp;IF(L73="","",IFERROR(INDEX('Raw lists'!$A$2:$A$192,MATCH(L73,'Raw lists'!$A$2:$A$192,0))&amp;" | ",""))&amp;IF(M73="","",IFERROR(INDEX('Raw lists'!$A$2:$A$192,MATCH(M73,'Raw lists'!$A$2:$A$192,0))&amp;" | ",""))&amp;IF(N73="","",IFERROR(INDEX('Raw lists'!$A$2:$A$192,MATCH(N73,'Raw lists'!$A$2:$A$192,0))&amp;" | ",""))&amp;IF(O73="","",IFERROR(INDEX('Raw lists'!$A$2:$A$192,MATCH(O73,'Raw lists'!$A$2:$A$192,0))&amp;" | ",""))&amp;IF(P73="","",IFERROR(INDEX('Raw lists'!$A$2:$A$192,MATCH(P73,'Raw lists'!$A$2:$A$192,0))&amp;" | ","")))-3))</f>
        <v>Ruby Laser</v>
      </c>
      <c r="D73" s="30" t="str">
        <f>IF(LEN(IF(K73="","",IFERROR(INDEX('Raw lists'!$B$2:$B$627,MATCH(K73,'Raw lists'!$B$2:$B$627,0))&amp;" | ",""))&amp;IF(L73="","",IFERROR(INDEX('Raw lists'!$B$2:$B$627,MATCH(L73,'Raw lists'!$B$2:$B$627,0))&amp;" | ",""))&amp;IF(M73="","",IFERROR(INDEX('Raw lists'!$B$2:$B$627,MATCH(M73,'Raw lists'!$B$2:$B$627,0))&amp;" | ",""))&amp;IF(N73="","",IFERROR(INDEX('Raw lists'!$B$2:$B$627,MATCH(N73,'Raw lists'!$B$2:$B$627,0))&amp;" | ",""))&amp;IF(O73="","",IFERROR(INDEX('Raw lists'!$B$2:$B$627,MATCH(O73,'Raw lists'!$B$2:$B$627,0))&amp;" | ",""))&amp;IF(P73="","",IFERROR(INDEX('Raw lists'!$B$2:$B$627,MATCH(P73,'Raw lists'!$B$2:$B$627,0))&amp;" | ","")))=0,"",LEFT(IF(K73="","",IFERROR(INDEX('Raw lists'!$B$2:$B$627,MATCH(K73,'Raw lists'!$B$2:$B$627,0))&amp;" | ",""))&amp;IF(L73="","",IFERROR(INDEX('Raw lists'!$B$2:$B$627,MATCH(L73,'Raw lists'!$B$2:$B$627,0))&amp;" | ",""))&amp;IF(M73="","",IFERROR(INDEX('Raw lists'!$B$2:$B$627,MATCH(M73,'Raw lists'!$B$2:$B$627,0))&amp;" | ",""))&amp;IF(N73="","",IFERROR(INDEX('Raw lists'!$B$2:$B$627,MATCH(N73,'Raw lists'!$B$2:$B$627,0))&amp;" | ",""))&amp;IF(O73="","",IFERROR(INDEX('Raw lists'!$B$2:$B$627,MATCH(O73,'Raw lists'!$B$2:$B$627,0))&amp;" | ",""))&amp;IF(P73="","",IFERROR(INDEX('Raw lists'!$B$2:$B$627,MATCH(P73,'Raw lists'!$B$2:$B$627,0))&amp;" | ","")),LEN(IF(K73="","",IFERROR(INDEX('Raw lists'!$B$2:$B$627,MATCH(K73,'Raw lists'!$B$2:$B$627,0))&amp;" | ",""))&amp;IF(L73="","",IFERROR(INDEX('Raw lists'!$B$2:$B$627,MATCH(L73,'Raw lists'!$B$2:$B$627,0))&amp;" | ",""))&amp;IF(M73="","",IFERROR(INDEX('Raw lists'!$B$2:$B$627,MATCH(M73,'Raw lists'!$B$2:$B$627,0))&amp;" | ",""))&amp;IF(N73="","",IFERROR(INDEX('Raw lists'!$B$2:$B$627,MATCH(N73,'Raw lists'!$B$2:$B$627,0))&amp;" | ",""))&amp;IF(O73="","",IFERROR(INDEX('Raw lists'!$B$2:$B$627,MATCH(O73,'Raw lists'!$B$2:$B$627,0))&amp;" | ",""))&amp;IF(P73="","",IFERROR(INDEX('Raw lists'!$B$2:$B$627,MATCH(P73,'Raw lists'!$B$2:$B$627,0))&amp;" | ","")))-3))</f>
        <v>Ruby Laser</v>
      </c>
      <c r="E73" s="30" t="str">
        <f>IF(LEN(IF(K73="","",IFERROR(INDEX('Raw lists'!$C$2:$C$616,MATCH(K73,'Raw lists'!$C$2:$C$616,0))&amp;" | ",""))&amp;IF(L73="","",IFERROR(INDEX('Raw lists'!$C$2:$C$616,MATCH(L73,'Raw lists'!$C$2:$C$616,0))&amp;" | ",""))&amp;IF(M73="","",IFERROR(INDEX('Raw lists'!$C$2:$C$616,MATCH(M73,'Raw lists'!$C$2:$C$616,0))&amp;" | ",""))&amp;IF(N73="","",IFERROR(INDEX('Raw lists'!$C$2:$C$616,MATCH(N73,'Raw lists'!$C$2:$C$616,0))&amp;" | ",""))&amp;IF(O73="","",IFERROR(INDEX('Raw lists'!$C$2:$C$616,MATCH(O73,'Raw lists'!$C$2:$C$616,0))&amp;" | ",""))&amp;IF(P73="","",IFERROR(INDEX('Raw lists'!$C$2:$C$616,MATCH(P73,'Raw lists'!$C$2:$C$616,0))&amp;" | ","")))=0,"",LEFT(IF(K73="","",IFERROR(INDEX('Raw lists'!$C$2:$C$616,MATCH(K73,'Raw lists'!$C$2:$C$616,0))&amp;" | ",""))&amp;IF(L73="","",IFERROR(INDEX('Raw lists'!$C$2:$C$616,MATCH(L73,'Raw lists'!$C$2:$C$616,0))&amp;" | ",""))&amp;IF(M73="","",IFERROR(INDEX('Raw lists'!$C$2:$C$616,MATCH(M73,'Raw lists'!$C$2:$C$616,0))&amp;" | ",""))&amp;IF(N73="","",IFERROR(INDEX('Raw lists'!$C$2:$C$616,MATCH(N73,'Raw lists'!$C$2:$C$616,0))&amp;" | ",""))&amp;IF(O73="","",IFERROR(INDEX('Raw lists'!$C$2:$C$616,MATCH(O73,'Raw lists'!$C$2:$C$616,0))&amp;" | ",""))&amp;IF(P73="","",IFERROR(INDEX('Raw lists'!$C$2:$C$616,MATCH(P73,'Raw lists'!$C$2:$C$616,0))&amp;" | ","")),LEN(IF(K73="","",IFERROR(INDEX('Raw lists'!$C$2:$C$616,MATCH(K73,'Raw lists'!$C$2:$C$616,0))&amp;" | ",""))&amp;IF(L73="","",IFERROR(INDEX('Raw lists'!$C$2:$C$616,MATCH(L73,'Raw lists'!$C$2:$C$616,0))&amp;" | ",""))&amp;IF(M73="","",IFERROR(INDEX('Raw lists'!$C$2:$C$616,MATCH(M73,'Raw lists'!$C$2:$C$616,0))&amp;" | ",""))&amp;IF(N73="","",IFERROR(INDEX('Raw lists'!$C$2:$C$616,MATCH(N73,'Raw lists'!$C$2:$C$616,0))&amp;" | ",""))&amp;IF(O73="","",IFERROR(INDEX('Raw lists'!$C$2:$C$616,MATCH(O73,'Raw lists'!$C$2:$C$616,0))&amp;" | ",""))&amp;IF(P73="","",IFERROR(INDEX('Raw lists'!$C$2:$C$616,MATCH(P73,'Raw lists'!$C$2:$C$616,0))&amp;" | ","")))-3))</f>
        <v>Ruby Laser</v>
      </c>
      <c r="F73" s="28" t="s">
        <v>54</v>
      </c>
      <c r="G73" s="30" t="s">
        <v>296</v>
      </c>
      <c r="H73" s="28">
        <f t="shared" si="2"/>
        <v>3</v>
      </c>
      <c r="I73" s="31" t="str">
        <f t="shared" si="3"/>
        <v>All three</v>
      </c>
      <c r="K73" s="32" t="s">
        <v>297</v>
      </c>
      <c r="L73" s="32"/>
      <c r="M73" s="32"/>
      <c r="N73" s="32"/>
      <c r="O73" s="32"/>
      <c r="P73" s="32"/>
    </row>
    <row r="74" spans="1:16" ht="26.4" x14ac:dyDescent="0.3">
      <c r="A74" s="28">
        <v>73</v>
      </c>
      <c r="B74" s="29" t="s">
        <v>298</v>
      </c>
      <c r="C74" s="30" t="str">
        <f>IF(LEN(IF(K74="","",IFERROR(INDEX('Raw lists'!$A$2:$A$192,MATCH(K74,'Raw lists'!$A$2:$A$192,0))&amp;" | ",""))&amp;IF(L74="","",IFERROR(INDEX('Raw lists'!$A$2:$A$192,MATCH(L74,'Raw lists'!$A$2:$A$192,0))&amp;" | ",""))&amp;IF(M74="","",IFERROR(INDEX('Raw lists'!$A$2:$A$192,MATCH(M74,'Raw lists'!$A$2:$A$192,0))&amp;" | ",""))&amp;IF(N74="","",IFERROR(INDEX('Raw lists'!$A$2:$A$192,MATCH(N74,'Raw lists'!$A$2:$A$192,0))&amp;" | ",""))&amp;IF(O74="","",IFERROR(INDEX('Raw lists'!$A$2:$A$192,MATCH(O74,'Raw lists'!$A$2:$A$192,0))&amp;" | ",""))&amp;IF(P74="","",IFERROR(INDEX('Raw lists'!$A$2:$A$192,MATCH(P74,'Raw lists'!$A$2:$A$192,0))&amp;" | ","")))=0,"",LEFT(IF(K74="","",IFERROR(INDEX('Raw lists'!$A$2:$A$192,MATCH(K74,'Raw lists'!$A$2:$A$192,0))&amp;" | ",""))&amp;IF(L74="","",IFERROR(INDEX('Raw lists'!$A$2:$A$192,MATCH(L74,'Raw lists'!$A$2:$A$192,0))&amp;" | ",""))&amp;IF(M74="","",IFERROR(INDEX('Raw lists'!$A$2:$A$192,MATCH(M74,'Raw lists'!$A$2:$A$192,0))&amp;" | ",""))&amp;IF(N74="","",IFERROR(INDEX('Raw lists'!$A$2:$A$192,MATCH(N74,'Raw lists'!$A$2:$A$192,0))&amp;" | ",""))&amp;IF(O74="","",IFERROR(INDEX('Raw lists'!$A$2:$A$192,MATCH(O74,'Raw lists'!$A$2:$A$192,0))&amp;" | ",""))&amp;IF(P74="","",IFERROR(INDEX('Raw lists'!$A$2:$A$192,MATCH(P74,'Raw lists'!$A$2:$A$192,0))&amp;" | ","")),LEN(IF(K74="","",IFERROR(INDEX('Raw lists'!$A$2:$A$192,MATCH(K74,'Raw lists'!$A$2:$A$192,0))&amp;" | ",""))&amp;IF(L74="","",IFERROR(INDEX('Raw lists'!$A$2:$A$192,MATCH(L74,'Raw lists'!$A$2:$A$192,0))&amp;" | ",""))&amp;IF(M74="","",IFERROR(INDEX('Raw lists'!$A$2:$A$192,MATCH(M74,'Raw lists'!$A$2:$A$192,0))&amp;" | ",""))&amp;IF(N74="","",IFERROR(INDEX('Raw lists'!$A$2:$A$192,MATCH(N74,'Raw lists'!$A$2:$A$192,0))&amp;" | ",""))&amp;IF(O74="","",IFERROR(INDEX('Raw lists'!$A$2:$A$192,MATCH(O74,'Raw lists'!$A$2:$A$192,0))&amp;" | ",""))&amp;IF(P74="","",IFERROR(INDEX('Raw lists'!$A$2:$A$192,MATCH(P74,'Raw lists'!$A$2:$A$192,0))&amp;" | ","")))-3))</f>
        <v>Nd Yag Laser | Yag Laser</v>
      </c>
      <c r="D74" s="30" t="str">
        <f>IF(LEN(IF(K74="","",IFERROR(INDEX('Raw lists'!$B$2:$B$627,MATCH(K74,'Raw lists'!$B$2:$B$627,0))&amp;" | ",""))&amp;IF(L74="","",IFERROR(INDEX('Raw lists'!$B$2:$B$627,MATCH(L74,'Raw lists'!$B$2:$B$627,0))&amp;" | ",""))&amp;IF(M74="","",IFERROR(INDEX('Raw lists'!$B$2:$B$627,MATCH(M74,'Raw lists'!$B$2:$B$627,0))&amp;" | ",""))&amp;IF(N74="","",IFERROR(INDEX('Raw lists'!$B$2:$B$627,MATCH(N74,'Raw lists'!$B$2:$B$627,0))&amp;" | ",""))&amp;IF(O74="","",IFERROR(INDEX('Raw lists'!$B$2:$B$627,MATCH(O74,'Raw lists'!$B$2:$B$627,0))&amp;" | ",""))&amp;IF(P74="","",IFERROR(INDEX('Raw lists'!$B$2:$B$627,MATCH(P74,'Raw lists'!$B$2:$B$627,0))&amp;" | ","")))=0,"",LEFT(IF(K74="","",IFERROR(INDEX('Raw lists'!$B$2:$B$627,MATCH(K74,'Raw lists'!$B$2:$B$627,0))&amp;" | ",""))&amp;IF(L74="","",IFERROR(INDEX('Raw lists'!$B$2:$B$627,MATCH(L74,'Raw lists'!$B$2:$B$627,0))&amp;" | ",""))&amp;IF(M74="","",IFERROR(INDEX('Raw lists'!$B$2:$B$627,MATCH(M74,'Raw lists'!$B$2:$B$627,0))&amp;" | ",""))&amp;IF(N74="","",IFERROR(INDEX('Raw lists'!$B$2:$B$627,MATCH(N74,'Raw lists'!$B$2:$B$627,0))&amp;" | ",""))&amp;IF(O74="","",IFERROR(INDEX('Raw lists'!$B$2:$B$627,MATCH(O74,'Raw lists'!$B$2:$B$627,0))&amp;" | ",""))&amp;IF(P74="","",IFERROR(INDEX('Raw lists'!$B$2:$B$627,MATCH(P74,'Raw lists'!$B$2:$B$627,0))&amp;" | ","")),LEN(IF(K74="","",IFERROR(INDEX('Raw lists'!$B$2:$B$627,MATCH(K74,'Raw lists'!$B$2:$B$627,0))&amp;" | ",""))&amp;IF(L74="","",IFERROR(INDEX('Raw lists'!$B$2:$B$627,MATCH(L74,'Raw lists'!$B$2:$B$627,0))&amp;" | ",""))&amp;IF(M74="","",IFERROR(INDEX('Raw lists'!$B$2:$B$627,MATCH(M74,'Raw lists'!$B$2:$B$627,0))&amp;" | ",""))&amp;IF(N74="","",IFERROR(INDEX('Raw lists'!$B$2:$B$627,MATCH(N74,'Raw lists'!$B$2:$B$627,0))&amp;" | ",""))&amp;IF(O74="","",IFERROR(INDEX('Raw lists'!$B$2:$B$627,MATCH(O74,'Raw lists'!$B$2:$B$627,0))&amp;" | ",""))&amp;IF(P74="","",IFERROR(INDEX('Raw lists'!$B$2:$B$627,MATCH(P74,'Raw lists'!$B$2:$B$627,0))&amp;" | ","")))-3))</f>
        <v>Nd Yag Laser | Yag Laser</v>
      </c>
      <c r="E74" s="30" t="str">
        <f>IF(LEN(IF(K74="","",IFERROR(INDEX('Raw lists'!$C$2:$C$616,MATCH(K74,'Raw lists'!$C$2:$C$616,0))&amp;" | ",""))&amp;IF(L74="","",IFERROR(INDEX('Raw lists'!$C$2:$C$616,MATCH(L74,'Raw lists'!$C$2:$C$616,0))&amp;" | ",""))&amp;IF(M74="","",IFERROR(INDEX('Raw lists'!$C$2:$C$616,MATCH(M74,'Raw lists'!$C$2:$C$616,0))&amp;" | ",""))&amp;IF(N74="","",IFERROR(INDEX('Raw lists'!$C$2:$C$616,MATCH(N74,'Raw lists'!$C$2:$C$616,0))&amp;" | ",""))&amp;IF(O74="","",IFERROR(INDEX('Raw lists'!$C$2:$C$616,MATCH(O74,'Raw lists'!$C$2:$C$616,0))&amp;" | ",""))&amp;IF(P74="","",IFERROR(INDEX('Raw lists'!$C$2:$C$616,MATCH(P74,'Raw lists'!$C$2:$C$616,0))&amp;" | ","")))=0,"",LEFT(IF(K74="","",IFERROR(INDEX('Raw lists'!$C$2:$C$616,MATCH(K74,'Raw lists'!$C$2:$C$616,0))&amp;" | ",""))&amp;IF(L74="","",IFERROR(INDEX('Raw lists'!$C$2:$C$616,MATCH(L74,'Raw lists'!$C$2:$C$616,0))&amp;" | ",""))&amp;IF(M74="","",IFERROR(INDEX('Raw lists'!$C$2:$C$616,MATCH(M74,'Raw lists'!$C$2:$C$616,0))&amp;" | ",""))&amp;IF(N74="","",IFERROR(INDEX('Raw lists'!$C$2:$C$616,MATCH(N74,'Raw lists'!$C$2:$C$616,0))&amp;" | ",""))&amp;IF(O74="","",IFERROR(INDEX('Raw lists'!$C$2:$C$616,MATCH(O74,'Raw lists'!$C$2:$C$616,0))&amp;" | ",""))&amp;IF(P74="","",IFERROR(INDEX('Raw lists'!$C$2:$C$616,MATCH(P74,'Raw lists'!$C$2:$C$616,0))&amp;" | ","")),LEN(IF(K74="","",IFERROR(INDEX('Raw lists'!$C$2:$C$616,MATCH(K74,'Raw lists'!$C$2:$C$616,0))&amp;" | ",""))&amp;IF(L74="","",IFERROR(INDEX('Raw lists'!$C$2:$C$616,MATCH(L74,'Raw lists'!$C$2:$C$616,0))&amp;" | ",""))&amp;IF(M74="","",IFERROR(INDEX('Raw lists'!$C$2:$C$616,MATCH(M74,'Raw lists'!$C$2:$C$616,0))&amp;" | ",""))&amp;IF(N74="","",IFERROR(INDEX('Raw lists'!$C$2:$C$616,MATCH(N74,'Raw lists'!$C$2:$C$616,0))&amp;" | ",""))&amp;IF(O74="","",IFERROR(INDEX('Raw lists'!$C$2:$C$616,MATCH(O74,'Raw lists'!$C$2:$C$616,0))&amp;" | ",""))&amp;IF(P74="","",IFERROR(INDEX('Raw lists'!$C$2:$C$616,MATCH(P74,'Raw lists'!$C$2:$C$616,0))&amp;" | ","")))-3))</f>
        <v>Yag Laser | Neodymium-based Laser</v>
      </c>
      <c r="F74" s="28" t="s">
        <v>17</v>
      </c>
      <c r="G74" s="30" t="s">
        <v>299</v>
      </c>
      <c r="H74" s="28">
        <f t="shared" si="2"/>
        <v>3</v>
      </c>
      <c r="I74" s="31" t="str">
        <f t="shared" si="3"/>
        <v>All three</v>
      </c>
      <c r="K74" s="32" t="s">
        <v>300</v>
      </c>
      <c r="L74" s="32" t="s">
        <v>301</v>
      </c>
      <c r="M74" s="32" t="s">
        <v>302</v>
      </c>
      <c r="N74" s="32" t="s">
        <v>303</v>
      </c>
      <c r="O74" s="32"/>
      <c r="P74" s="32"/>
    </row>
    <row r="75" spans="1:16" ht="26.4" x14ac:dyDescent="0.3">
      <c r="A75" s="28">
        <v>74</v>
      </c>
      <c r="B75" s="29" t="s">
        <v>304</v>
      </c>
      <c r="C75" s="30" t="str">
        <f>IF(LEN(IF(K75="","",IFERROR(INDEX('Raw lists'!$A$2:$A$192,MATCH(K75,'Raw lists'!$A$2:$A$192,0))&amp;" | ",""))&amp;IF(L75="","",IFERROR(INDEX('Raw lists'!$A$2:$A$192,MATCH(L75,'Raw lists'!$A$2:$A$192,0))&amp;" | ",""))&amp;IF(M75="","",IFERROR(INDEX('Raw lists'!$A$2:$A$192,MATCH(M75,'Raw lists'!$A$2:$A$192,0))&amp;" | ",""))&amp;IF(N75="","",IFERROR(INDEX('Raw lists'!$A$2:$A$192,MATCH(N75,'Raw lists'!$A$2:$A$192,0))&amp;" | ",""))&amp;IF(O75="","",IFERROR(INDEX('Raw lists'!$A$2:$A$192,MATCH(O75,'Raw lists'!$A$2:$A$192,0))&amp;" | ",""))&amp;IF(P75="","",IFERROR(INDEX('Raw lists'!$A$2:$A$192,MATCH(P75,'Raw lists'!$A$2:$A$192,0))&amp;" | ","")))=0,"",LEFT(IF(K75="","",IFERROR(INDEX('Raw lists'!$A$2:$A$192,MATCH(K75,'Raw lists'!$A$2:$A$192,0))&amp;" | ",""))&amp;IF(L75="","",IFERROR(INDEX('Raw lists'!$A$2:$A$192,MATCH(L75,'Raw lists'!$A$2:$A$192,0))&amp;" | ",""))&amp;IF(M75="","",IFERROR(INDEX('Raw lists'!$A$2:$A$192,MATCH(M75,'Raw lists'!$A$2:$A$192,0))&amp;" | ",""))&amp;IF(N75="","",IFERROR(INDEX('Raw lists'!$A$2:$A$192,MATCH(N75,'Raw lists'!$A$2:$A$192,0))&amp;" | ",""))&amp;IF(O75="","",IFERROR(INDEX('Raw lists'!$A$2:$A$192,MATCH(O75,'Raw lists'!$A$2:$A$192,0))&amp;" | ",""))&amp;IF(P75="","",IFERROR(INDEX('Raw lists'!$A$2:$A$192,MATCH(P75,'Raw lists'!$A$2:$A$192,0))&amp;" | ","")),LEN(IF(K75="","",IFERROR(INDEX('Raw lists'!$A$2:$A$192,MATCH(K75,'Raw lists'!$A$2:$A$192,0))&amp;" | ",""))&amp;IF(L75="","",IFERROR(INDEX('Raw lists'!$A$2:$A$192,MATCH(L75,'Raw lists'!$A$2:$A$192,0))&amp;" | ",""))&amp;IF(M75="","",IFERROR(INDEX('Raw lists'!$A$2:$A$192,MATCH(M75,'Raw lists'!$A$2:$A$192,0))&amp;" | ",""))&amp;IF(N75="","",IFERROR(INDEX('Raw lists'!$A$2:$A$192,MATCH(N75,'Raw lists'!$A$2:$A$192,0))&amp;" | ",""))&amp;IF(O75="","",IFERROR(INDEX('Raw lists'!$A$2:$A$192,MATCH(O75,'Raw lists'!$A$2:$A$192,0))&amp;" | ",""))&amp;IF(P75="","",IFERROR(INDEX('Raw lists'!$A$2:$A$192,MATCH(P75,'Raw lists'!$A$2:$A$192,0))&amp;" | ","")))-3))</f>
        <v>Neodymium | Neodymium Ions</v>
      </c>
      <c r="D75" s="30" t="str">
        <f>IF(LEN(IF(K75="","",IFERROR(INDEX('Raw lists'!$B$2:$B$627,MATCH(K75,'Raw lists'!$B$2:$B$627,0))&amp;" | ",""))&amp;IF(L75="","",IFERROR(INDEX('Raw lists'!$B$2:$B$627,MATCH(L75,'Raw lists'!$B$2:$B$627,0))&amp;" | ",""))&amp;IF(M75="","",IFERROR(INDEX('Raw lists'!$B$2:$B$627,MATCH(M75,'Raw lists'!$B$2:$B$627,0))&amp;" | ",""))&amp;IF(N75="","",IFERROR(INDEX('Raw lists'!$B$2:$B$627,MATCH(N75,'Raw lists'!$B$2:$B$627,0))&amp;" | ",""))&amp;IF(O75="","",IFERROR(INDEX('Raw lists'!$B$2:$B$627,MATCH(O75,'Raw lists'!$B$2:$B$627,0))&amp;" | ",""))&amp;IF(P75="","",IFERROR(INDEX('Raw lists'!$B$2:$B$627,MATCH(P75,'Raw lists'!$B$2:$B$627,0))&amp;" | ","")))=0,"",LEFT(IF(K75="","",IFERROR(INDEX('Raw lists'!$B$2:$B$627,MATCH(K75,'Raw lists'!$B$2:$B$627,0))&amp;" | ",""))&amp;IF(L75="","",IFERROR(INDEX('Raw lists'!$B$2:$B$627,MATCH(L75,'Raw lists'!$B$2:$B$627,0))&amp;" | ",""))&amp;IF(M75="","",IFERROR(INDEX('Raw lists'!$B$2:$B$627,MATCH(M75,'Raw lists'!$B$2:$B$627,0))&amp;" | ",""))&amp;IF(N75="","",IFERROR(INDEX('Raw lists'!$B$2:$B$627,MATCH(N75,'Raw lists'!$B$2:$B$627,0))&amp;" | ",""))&amp;IF(O75="","",IFERROR(INDEX('Raw lists'!$B$2:$B$627,MATCH(O75,'Raw lists'!$B$2:$B$627,0))&amp;" | ",""))&amp;IF(P75="","",IFERROR(INDEX('Raw lists'!$B$2:$B$627,MATCH(P75,'Raw lists'!$B$2:$B$627,0))&amp;" | ","")),LEN(IF(K75="","",IFERROR(INDEX('Raw lists'!$B$2:$B$627,MATCH(K75,'Raw lists'!$B$2:$B$627,0))&amp;" | ",""))&amp;IF(L75="","",IFERROR(INDEX('Raw lists'!$B$2:$B$627,MATCH(L75,'Raw lists'!$B$2:$B$627,0))&amp;" | ",""))&amp;IF(M75="","",IFERROR(INDEX('Raw lists'!$B$2:$B$627,MATCH(M75,'Raw lists'!$B$2:$B$627,0))&amp;" | ",""))&amp;IF(N75="","",IFERROR(INDEX('Raw lists'!$B$2:$B$627,MATCH(N75,'Raw lists'!$B$2:$B$627,0))&amp;" | ",""))&amp;IF(O75="","",IFERROR(INDEX('Raw lists'!$B$2:$B$627,MATCH(O75,'Raw lists'!$B$2:$B$627,0))&amp;" | ",""))&amp;IF(P75="","",IFERROR(INDEX('Raw lists'!$B$2:$B$627,MATCH(P75,'Raw lists'!$B$2:$B$627,0))&amp;" | ","")))-3))</f>
        <v>Neodymium | Nd | Nd3 +) Ions | Nd3 +) Atoms</v>
      </c>
      <c r="E75" s="30" t="str">
        <f>IF(LEN(IF(K75="","",IFERROR(INDEX('Raw lists'!$C$2:$C$616,MATCH(K75,'Raw lists'!$C$2:$C$616,0))&amp;" | ",""))&amp;IF(L75="","",IFERROR(INDEX('Raw lists'!$C$2:$C$616,MATCH(L75,'Raw lists'!$C$2:$C$616,0))&amp;" | ",""))&amp;IF(M75="","",IFERROR(INDEX('Raw lists'!$C$2:$C$616,MATCH(M75,'Raw lists'!$C$2:$C$616,0))&amp;" | ",""))&amp;IF(N75="","",IFERROR(INDEX('Raw lists'!$C$2:$C$616,MATCH(N75,'Raw lists'!$C$2:$C$616,0))&amp;" | ",""))&amp;IF(O75="","",IFERROR(INDEX('Raw lists'!$C$2:$C$616,MATCH(O75,'Raw lists'!$C$2:$C$616,0))&amp;" | ",""))&amp;IF(P75="","",IFERROR(INDEX('Raw lists'!$C$2:$C$616,MATCH(P75,'Raw lists'!$C$2:$C$616,0))&amp;" | ","")))=0,"",LEFT(IF(K75="","",IFERROR(INDEX('Raw lists'!$C$2:$C$616,MATCH(K75,'Raw lists'!$C$2:$C$616,0))&amp;" | ",""))&amp;IF(L75="","",IFERROR(INDEX('Raw lists'!$C$2:$C$616,MATCH(L75,'Raw lists'!$C$2:$C$616,0))&amp;" | ",""))&amp;IF(M75="","",IFERROR(INDEX('Raw lists'!$C$2:$C$616,MATCH(M75,'Raw lists'!$C$2:$C$616,0))&amp;" | ",""))&amp;IF(N75="","",IFERROR(INDEX('Raw lists'!$C$2:$C$616,MATCH(N75,'Raw lists'!$C$2:$C$616,0))&amp;" | ",""))&amp;IF(O75="","",IFERROR(INDEX('Raw lists'!$C$2:$C$616,MATCH(O75,'Raw lists'!$C$2:$C$616,0))&amp;" | ",""))&amp;IF(P75="","",IFERROR(INDEX('Raw lists'!$C$2:$C$616,MATCH(P75,'Raw lists'!$C$2:$C$616,0))&amp;" | ","")),LEN(IF(K75="","",IFERROR(INDEX('Raw lists'!$C$2:$C$616,MATCH(K75,'Raw lists'!$C$2:$C$616,0))&amp;" | ",""))&amp;IF(L75="","",IFERROR(INDEX('Raw lists'!$C$2:$C$616,MATCH(L75,'Raw lists'!$C$2:$C$616,0))&amp;" | ",""))&amp;IF(M75="","",IFERROR(INDEX('Raw lists'!$C$2:$C$616,MATCH(M75,'Raw lists'!$C$2:$C$616,0))&amp;" | ",""))&amp;IF(N75="","",IFERROR(INDEX('Raw lists'!$C$2:$C$616,MATCH(N75,'Raw lists'!$C$2:$C$616,0))&amp;" | ",""))&amp;IF(O75="","",IFERROR(INDEX('Raw lists'!$C$2:$C$616,MATCH(O75,'Raw lists'!$C$2:$C$616,0))&amp;" | ",""))&amp;IF(P75="","",IFERROR(INDEX('Raw lists'!$C$2:$C$616,MATCH(P75,'Raw lists'!$C$2:$C$616,0))&amp;" | ","")))-3))</f>
        <v>Neodymium | Neodymium Ions</v>
      </c>
      <c r="F75" s="28" t="s">
        <v>17</v>
      </c>
      <c r="G75" s="30" t="s">
        <v>305</v>
      </c>
      <c r="H75" s="28">
        <f t="shared" si="2"/>
        <v>3</v>
      </c>
      <c r="I75" s="31" t="str">
        <f t="shared" si="3"/>
        <v>All three</v>
      </c>
      <c r="K75" s="32" t="s">
        <v>306</v>
      </c>
      <c r="L75" s="32" t="s">
        <v>307</v>
      </c>
      <c r="M75" s="32" t="s">
        <v>308</v>
      </c>
      <c r="N75" s="32" t="s">
        <v>309</v>
      </c>
      <c r="O75" s="32" t="s">
        <v>310</v>
      </c>
      <c r="P75" s="32"/>
    </row>
    <row r="76" spans="1:16" ht="26.4" x14ac:dyDescent="0.3">
      <c r="A76" s="28">
        <v>75</v>
      </c>
      <c r="B76" s="29" t="s">
        <v>311</v>
      </c>
      <c r="C76" s="30" t="str">
        <f>IF(LEN(IF(K76="","",IFERROR(INDEX('Raw lists'!$A$2:$A$192,MATCH(K76,'Raw lists'!$A$2:$A$192,0))&amp;" | ",""))&amp;IF(L76="","",IFERROR(INDEX('Raw lists'!$A$2:$A$192,MATCH(L76,'Raw lists'!$A$2:$A$192,0))&amp;" | ",""))&amp;IF(M76="","",IFERROR(INDEX('Raw lists'!$A$2:$A$192,MATCH(M76,'Raw lists'!$A$2:$A$192,0))&amp;" | ",""))&amp;IF(N76="","",IFERROR(INDEX('Raw lists'!$A$2:$A$192,MATCH(N76,'Raw lists'!$A$2:$A$192,0))&amp;" | ",""))&amp;IF(O76="","",IFERROR(INDEX('Raw lists'!$A$2:$A$192,MATCH(O76,'Raw lists'!$A$2:$A$192,0))&amp;" | ",""))&amp;IF(P76="","",IFERROR(INDEX('Raw lists'!$A$2:$A$192,MATCH(P76,'Raw lists'!$A$2:$A$192,0))&amp;" | ","")))=0,"",LEFT(IF(K76="","",IFERROR(INDEX('Raw lists'!$A$2:$A$192,MATCH(K76,'Raw lists'!$A$2:$A$192,0))&amp;" | ",""))&amp;IF(L76="","",IFERROR(INDEX('Raw lists'!$A$2:$A$192,MATCH(L76,'Raw lists'!$A$2:$A$192,0))&amp;" | ",""))&amp;IF(M76="","",IFERROR(INDEX('Raw lists'!$A$2:$A$192,MATCH(M76,'Raw lists'!$A$2:$A$192,0))&amp;" | ",""))&amp;IF(N76="","",IFERROR(INDEX('Raw lists'!$A$2:$A$192,MATCH(N76,'Raw lists'!$A$2:$A$192,0))&amp;" | ",""))&amp;IF(O76="","",IFERROR(INDEX('Raw lists'!$A$2:$A$192,MATCH(O76,'Raw lists'!$A$2:$A$192,0))&amp;" | ",""))&amp;IF(P76="","",IFERROR(INDEX('Raw lists'!$A$2:$A$192,MATCH(P76,'Raw lists'!$A$2:$A$192,0))&amp;" | ","")),LEN(IF(K76="","",IFERROR(INDEX('Raw lists'!$A$2:$A$192,MATCH(K76,'Raw lists'!$A$2:$A$192,0))&amp;" | ",""))&amp;IF(L76="","",IFERROR(INDEX('Raw lists'!$A$2:$A$192,MATCH(L76,'Raw lists'!$A$2:$A$192,0))&amp;" | ",""))&amp;IF(M76="","",IFERROR(INDEX('Raw lists'!$A$2:$A$192,MATCH(M76,'Raw lists'!$A$2:$A$192,0))&amp;" | ",""))&amp;IF(N76="","",IFERROR(INDEX('Raw lists'!$A$2:$A$192,MATCH(N76,'Raw lists'!$A$2:$A$192,0))&amp;" | ",""))&amp;IF(O76="","",IFERROR(INDEX('Raw lists'!$A$2:$A$192,MATCH(O76,'Raw lists'!$A$2:$A$192,0))&amp;" | ",""))&amp;IF(P76="","",IFERROR(INDEX('Raw lists'!$A$2:$A$192,MATCH(P76,'Raw lists'!$A$2:$A$192,0))&amp;" | ","")))-3))</f>
        <v>Yttrium Aluminum Garnet | Yag</v>
      </c>
      <c r="D76" s="30" t="str">
        <f>IF(LEN(IF(K76="","",IFERROR(INDEX('Raw lists'!$B$2:$B$627,MATCH(K76,'Raw lists'!$B$2:$B$627,0))&amp;" | ",""))&amp;IF(L76="","",IFERROR(INDEX('Raw lists'!$B$2:$B$627,MATCH(L76,'Raw lists'!$B$2:$B$627,0))&amp;" | ",""))&amp;IF(M76="","",IFERROR(INDEX('Raw lists'!$B$2:$B$627,MATCH(M76,'Raw lists'!$B$2:$B$627,0))&amp;" | ",""))&amp;IF(N76="","",IFERROR(INDEX('Raw lists'!$B$2:$B$627,MATCH(N76,'Raw lists'!$B$2:$B$627,0))&amp;" | ",""))&amp;IF(O76="","",IFERROR(INDEX('Raw lists'!$B$2:$B$627,MATCH(O76,'Raw lists'!$B$2:$B$627,0))&amp;" | ",""))&amp;IF(P76="","",IFERROR(INDEX('Raw lists'!$B$2:$B$627,MATCH(P76,'Raw lists'!$B$2:$B$627,0))&amp;" | ","")))=0,"",LEFT(IF(K76="","",IFERROR(INDEX('Raw lists'!$B$2:$B$627,MATCH(K76,'Raw lists'!$B$2:$B$627,0))&amp;" | ",""))&amp;IF(L76="","",IFERROR(INDEX('Raw lists'!$B$2:$B$627,MATCH(L76,'Raw lists'!$B$2:$B$627,0))&amp;" | ",""))&amp;IF(M76="","",IFERROR(INDEX('Raw lists'!$B$2:$B$627,MATCH(M76,'Raw lists'!$B$2:$B$627,0))&amp;" | ",""))&amp;IF(N76="","",IFERROR(INDEX('Raw lists'!$B$2:$B$627,MATCH(N76,'Raw lists'!$B$2:$B$627,0))&amp;" | ",""))&amp;IF(O76="","",IFERROR(INDEX('Raw lists'!$B$2:$B$627,MATCH(O76,'Raw lists'!$B$2:$B$627,0))&amp;" | ",""))&amp;IF(P76="","",IFERROR(INDEX('Raw lists'!$B$2:$B$627,MATCH(P76,'Raw lists'!$B$2:$B$627,0))&amp;" | ","")),LEN(IF(K76="","",IFERROR(INDEX('Raw lists'!$B$2:$B$627,MATCH(K76,'Raw lists'!$B$2:$B$627,0))&amp;" | ",""))&amp;IF(L76="","",IFERROR(INDEX('Raw lists'!$B$2:$B$627,MATCH(L76,'Raw lists'!$B$2:$B$627,0))&amp;" | ",""))&amp;IF(M76="","",IFERROR(INDEX('Raw lists'!$B$2:$B$627,MATCH(M76,'Raw lists'!$B$2:$B$627,0))&amp;" | ",""))&amp;IF(N76="","",IFERROR(INDEX('Raw lists'!$B$2:$B$627,MATCH(N76,'Raw lists'!$B$2:$B$627,0))&amp;" | ",""))&amp;IF(O76="","",IFERROR(INDEX('Raw lists'!$B$2:$B$627,MATCH(O76,'Raw lists'!$B$2:$B$627,0))&amp;" | ",""))&amp;IF(P76="","",IFERROR(INDEX('Raw lists'!$B$2:$B$627,MATCH(P76,'Raw lists'!$B$2:$B$627,0))&amp;" | ","")))-3))</f>
        <v>Yttrium Aluminum Garnet | Yag | Yag Crystal</v>
      </c>
      <c r="E76" s="30" t="str">
        <f>IF(LEN(IF(K76="","",IFERROR(INDEX('Raw lists'!$C$2:$C$616,MATCH(K76,'Raw lists'!$C$2:$C$616,0))&amp;" | ",""))&amp;IF(L76="","",IFERROR(INDEX('Raw lists'!$C$2:$C$616,MATCH(L76,'Raw lists'!$C$2:$C$616,0))&amp;" | ",""))&amp;IF(M76="","",IFERROR(INDEX('Raw lists'!$C$2:$C$616,MATCH(M76,'Raw lists'!$C$2:$C$616,0))&amp;" | ",""))&amp;IF(N76="","",IFERROR(INDEX('Raw lists'!$C$2:$C$616,MATCH(N76,'Raw lists'!$C$2:$C$616,0))&amp;" | ",""))&amp;IF(O76="","",IFERROR(INDEX('Raw lists'!$C$2:$C$616,MATCH(O76,'Raw lists'!$C$2:$C$616,0))&amp;" | ",""))&amp;IF(P76="","",IFERROR(INDEX('Raw lists'!$C$2:$C$616,MATCH(P76,'Raw lists'!$C$2:$C$616,0))&amp;" | ","")))=0,"",LEFT(IF(K76="","",IFERROR(INDEX('Raw lists'!$C$2:$C$616,MATCH(K76,'Raw lists'!$C$2:$C$616,0))&amp;" | ",""))&amp;IF(L76="","",IFERROR(INDEX('Raw lists'!$C$2:$C$616,MATCH(L76,'Raw lists'!$C$2:$C$616,0))&amp;" | ",""))&amp;IF(M76="","",IFERROR(INDEX('Raw lists'!$C$2:$C$616,MATCH(M76,'Raw lists'!$C$2:$C$616,0))&amp;" | ",""))&amp;IF(N76="","",IFERROR(INDEX('Raw lists'!$C$2:$C$616,MATCH(N76,'Raw lists'!$C$2:$C$616,0))&amp;" | ",""))&amp;IF(O76="","",IFERROR(INDEX('Raw lists'!$C$2:$C$616,MATCH(O76,'Raw lists'!$C$2:$C$616,0))&amp;" | ",""))&amp;IF(P76="","",IFERROR(INDEX('Raw lists'!$C$2:$C$616,MATCH(P76,'Raw lists'!$C$2:$C$616,0))&amp;" | ","")),LEN(IF(K76="","",IFERROR(INDEX('Raw lists'!$C$2:$C$616,MATCH(K76,'Raw lists'!$C$2:$C$616,0))&amp;" | ",""))&amp;IF(L76="","",IFERROR(INDEX('Raw lists'!$C$2:$C$616,MATCH(L76,'Raw lists'!$C$2:$C$616,0))&amp;" | ",""))&amp;IF(M76="","",IFERROR(INDEX('Raw lists'!$C$2:$C$616,MATCH(M76,'Raw lists'!$C$2:$C$616,0))&amp;" | ",""))&amp;IF(N76="","",IFERROR(INDEX('Raw lists'!$C$2:$C$616,MATCH(N76,'Raw lists'!$C$2:$C$616,0))&amp;" | ",""))&amp;IF(O76="","",IFERROR(INDEX('Raw lists'!$C$2:$C$616,MATCH(O76,'Raw lists'!$C$2:$C$616,0))&amp;" | ",""))&amp;IF(P76="","",IFERROR(INDEX('Raw lists'!$C$2:$C$616,MATCH(P76,'Raw lists'!$C$2:$C$616,0))&amp;" | ","")))-3))</f>
        <v>Yttrium Aluminum Garnet | Yag | Yag Crystal</v>
      </c>
      <c r="F76" s="28" t="s">
        <v>17</v>
      </c>
      <c r="G76" s="30" t="s">
        <v>312</v>
      </c>
      <c r="H76" s="28">
        <f t="shared" si="2"/>
        <v>3</v>
      </c>
      <c r="I76" s="31" t="str">
        <f t="shared" si="3"/>
        <v>All three</v>
      </c>
      <c r="K76" s="32" t="s">
        <v>313</v>
      </c>
      <c r="L76" s="32" t="s">
        <v>314</v>
      </c>
      <c r="M76" s="32" t="s">
        <v>315</v>
      </c>
      <c r="N76" s="32"/>
      <c r="O76" s="32"/>
      <c r="P76" s="32"/>
    </row>
    <row r="77" spans="1:16" x14ac:dyDescent="0.3">
      <c r="A77" s="28">
        <v>76</v>
      </c>
      <c r="B77" s="29" t="s">
        <v>316</v>
      </c>
      <c r="C77" s="30" t="str">
        <f>IF(LEN(IF(K77="","",IFERROR(INDEX('Raw lists'!$A$2:$A$192,MATCH(K77,'Raw lists'!$A$2:$A$192,0))&amp;" | ",""))&amp;IF(L77="","",IFERROR(INDEX('Raw lists'!$A$2:$A$192,MATCH(L77,'Raw lists'!$A$2:$A$192,0))&amp;" | ",""))&amp;IF(M77="","",IFERROR(INDEX('Raw lists'!$A$2:$A$192,MATCH(M77,'Raw lists'!$A$2:$A$192,0))&amp;" | ",""))&amp;IF(N77="","",IFERROR(INDEX('Raw lists'!$A$2:$A$192,MATCH(N77,'Raw lists'!$A$2:$A$192,0))&amp;" | ",""))&amp;IF(O77="","",IFERROR(INDEX('Raw lists'!$A$2:$A$192,MATCH(O77,'Raw lists'!$A$2:$A$192,0))&amp;" | ",""))&amp;IF(P77="","",IFERROR(INDEX('Raw lists'!$A$2:$A$192,MATCH(P77,'Raw lists'!$A$2:$A$192,0))&amp;" | ","")))=0,"",LEFT(IF(K77="","",IFERROR(INDEX('Raw lists'!$A$2:$A$192,MATCH(K77,'Raw lists'!$A$2:$A$192,0))&amp;" | ",""))&amp;IF(L77="","",IFERROR(INDEX('Raw lists'!$A$2:$A$192,MATCH(L77,'Raw lists'!$A$2:$A$192,0))&amp;" | ",""))&amp;IF(M77="","",IFERROR(INDEX('Raw lists'!$A$2:$A$192,MATCH(M77,'Raw lists'!$A$2:$A$192,0))&amp;" | ",""))&amp;IF(N77="","",IFERROR(INDEX('Raw lists'!$A$2:$A$192,MATCH(N77,'Raw lists'!$A$2:$A$192,0))&amp;" | ",""))&amp;IF(O77="","",IFERROR(INDEX('Raw lists'!$A$2:$A$192,MATCH(O77,'Raw lists'!$A$2:$A$192,0))&amp;" | ",""))&amp;IF(P77="","",IFERROR(INDEX('Raw lists'!$A$2:$A$192,MATCH(P77,'Raw lists'!$A$2:$A$192,0))&amp;" | ","")),LEN(IF(K77="","",IFERROR(INDEX('Raw lists'!$A$2:$A$192,MATCH(K77,'Raw lists'!$A$2:$A$192,0))&amp;" | ",""))&amp;IF(L77="","",IFERROR(INDEX('Raw lists'!$A$2:$A$192,MATCH(L77,'Raw lists'!$A$2:$A$192,0))&amp;" | ",""))&amp;IF(M77="","",IFERROR(INDEX('Raw lists'!$A$2:$A$192,MATCH(M77,'Raw lists'!$A$2:$A$192,0))&amp;" | ",""))&amp;IF(N77="","",IFERROR(INDEX('Raw lists'!$A$2:$A$192,MATCH(N77,'Raw lists'!$A$2:$A$192,0))&amp;" | ",""))&amp;IF(O77="","",IFERROR(INDEX('Raw lists'!$A$2:$A$192,MATCH(O77,'Raw lists'!$A$2:$A$192,0))&amp;" | ",""))&amp;IF(P77="","",IFERROR(INDEX('Raw lists'!$A$2:$A$192,MATCH(P77,'Raw lists'!$A$2:$A$192,0))&amp;" | ","")))-3))</f>
        <v/>
      </c>
      <c r="D77" s="30" t="str">
        <f>IF(LEN(IF(K77="","",IFERROR(INDEX('Raw lists'!$B$2:$B$627,MATCH(K77,'Raw lists'!$B$2:$B$627,0))&amp;" | ",""))&amp;IF(L77="","",IFERROR(INDEX('Raw lists'!$B$2:$B$627,MATCH(L77,'Raw lists'!$B$2:$B$627,0))&amp;" | ",""))&amp;IF(M77="","",IFERROR(INDEX('Raw lists'!$B$2:$B$627,MATCH(M77,'Raw lists'!$B$2:$B$627,0))&amp;" | ",""))&amp;IF(N77="","",IFERROR(INDEX('Raw lists'!$B$2:$B$627,MATCH(N77,'Raw lists'!$B$2:$B$627,0))&amp;" | ",""))&amp;IF(O77="","",IFERROR(INDEX('Raw lists'!$B$2:$B$627,MATCH(O77,'Raw lists'!$B$2:$B$627,0))&amp;" | ",""))&amp;IF(P77="","",IFERROR(INDEX('Raw lists'!$B$2:$B$627,MATCH(P77,'Raw lists'!$B$2:$B$627,0))&amp;" | ","")))=0,"",LEFT(IF(K77="","",IFERROR(INDEX('Raw lists'!$B$2:$B$627,MATCH(K77,'Raw lists'!$B$2:$B$627,0))&amp;" | ",""))&amp;IF(L77="","",IFERROR(INDEX('Raw lists'!$B$2:$B$627,MATCH(L77,'Raw lists'!$B$2:$B$627,0))&amp;" | ",""))&amp;IF(M77="","",IFERROR(INDEX('Raw lists'!$B$2:$B$627,MATCH(M77,'Raw lists'!$B$2:$B$627,0))&amp;" | ",""))&amp;IF(N77="","",IFERROR(INDEX('Raw lists'!$B$2:$B$627,MATCH(N77,'Raw lists'!$B$2:$B$627,0))&amp;" | ",""))&amp;IF(O77="","",IFERROR(INDEX('Raw lists'!$B$2:$B$627,MATCH(O77,'Raw lists'!$B$2:$B$627,0))&amp;" | ",""))&amp;IF(P77="","",IFERROR(INDEX('Raw lists'!$B$2:$B$627,MATCH(P77,'Raw lists'!$B$2:$B$627,0))&amp;" | ","")),LEN(IF(K77="","",IFERROR(INDEX('Raw lists'!$B$2:$B$627,MATCH(K77,'Raw lists'!$B$2:$B$627,0))&amp;" | ",""))&amp;IF(L77="","",IFERROR(INDEX('Raw lists'!$B$2:$B$627,MATCH(L77,'Raw lists'!$B$2:$B$627,0))&amp;" | ",""))&amp;IF(M77="","",IFERROR(INDEX('Raw lists'!$B$2:$B$627,MATCH(M77,'Raw lists'!$B$2:$B$627,0))&amp;" | ",""))&amp;IF(N77="","",IFERROR(INDEX('Raw lists'!$B$2:$B$627,MATCH(N77,'Raw lists'!$B$2:$B$627,0))&amp;" | ",""))&amp;IF(O77="","",IFERROR(INDEX('Raw lists'!$B$2:$B$627,MATCH(O77,'Raw lists'!$B$2:$B$627,0))&amp;" | ",""))&amp;IF(P77="","",IFERROR(INDEX('Raw lists'!$B$2:$B$627,MATCH(P77,'Raw lists'!$B$2:$B$627,0))&amp;" | ","")))-3))</f>
        <v>Rare Earth Element | Rare Earth</v>
      </c>
      <c r="E77" s="30" t="str">
        <f>IF(LEN(IF(K77="","",IFERROR(INDEX('Raw lists'!$C$2:$C$616,MATCH(K77,'Raw lists'!$C$2:$C$616,0))&amp;" | ",""))&amp;IF(L77="","",IFERROR(INDEX('Raw lists'!$C$2:$C$616,MATCH(L77,'Raw lists'!$C$2:$C$616,0))&amp;" | ",""))&amp;IF(M77="","",IFERROR(INDEX('Raw lists'!$C$2:$C$616,MATCH(M77,'Raw lists'!$C$2:$C$616,0))&amp;" | ",""))&amp;IF(N77="","",IFERROR(INDEX('Raw lists'!$C$2:$C$616,MATCH(N77,'Raw lists'!$C$2:$C$616,0))&amp;" | ",""))&amp;IF(O77="","",IFERROR(INDEX('Raw lists'!$C$2:$C$616,MATCH(O77,'Raw lists'!$C$2:$C$616,0))&amp;" | ",""))&amp;IF(P77="","",IFERROR(INDEX('Raw lists'!$C$2:$C$616,MATCH(P77,'Raw lists'!$C$2:$C$616,0))&amp;" | ","")))=0,"",LEFT(IF(K77="","",IFERROR(INDEX('Raw lists'!$C$2:$C$616,MATCH(K77,'Raw lists'!$C$2:$C$616,0))&amp;" | ",""))&amp;IF(L77="","",IFERROR(INDEX('Raw lists'!$C$2:$C$616,MATCH(L77,'Raw lists'!$C$2:$C$616,0))&amp;" | ",""))&amp;IF(M77="","",IFERROR(INDEX('Raw lists'!$C$2:$C$616,MATCH(M77,'Raw lists'!$C$2:$C$616,0))&amp;" | ",""))&amp;IF(N77="","",IFERROR(INDEX('Raw lists'!$C$2:$C$616,MATCH(N77,'Raw lists'!$C$2:$C$616,0))&amp;" | ",""))&amp;IF(O77="","",IFERROR(INDEX('Raw lists'!$C$2:$C$616,MATCH(O77,'Raw lists'!$C$2:$C$616,0))&amp;" | ",""))&amp;IF(P77="","",IFERROR(INDEX('Raw lists'!$C$2:$C$616,MATCH(P77,'Raw lists'!$C$2:$C$616,0))&amp;" | ","")),LEN(IF(K77="","",IFERROR(INDEX('Raw lists'!$C$2:$C$616,MATCH(K77,'Raw lists'!$C$2:$C$616,0))&amp;" | ",""))&amp;IF(L77="","",IFERROR(INDEX('Raw lists'!$C$2:$C$616,MATCH(L77,'Raw lists'!$C$2:$C$616,0))&amp;" | ",""))&amp;IF(M77="","",IFERROR(INDEX('Raw lists'!$C$2:$C$616,MATCH(M77,'Raw lists'!$C$2:$C$616,0))&amp;" | ",""))&amp;IF(N77="","",IFERROR(INDEX('Raw lists'!$C$2:$C$616,MATCH(N77,'Raw lists'!$C$2:$C$616,0))&amp;" | ",""))&amp;IF(O77="","",IFERROR(INDEX('Raw lists'!$C$2:$C$616,MATCH(O77,'Raw lists'!$C$2:$C$616,0))&amp;" | ",""))&amp;IF(P77="","",IFERROR(INDEX('Raw lists'!$C$2:$C$616,MATCH(P77,'Raw lists'!$C$2:$C$616,0))&amp;" | ","")))-3))</f>
        <v>Rare Earth Element</v>
      </c>
      <c r="F77" s="28" t="s">
        <v>17</v>
      </c>
      <c r="G77" s="30" t="s">
        <v>317</v>
      </c>
      <c r="H77" s="28">
        <f t="shared" si="2"/>
        <v>2</v>
      </c>
      <c r="I77" s="31" t="str">
        <f t="shared" si="3"/>
        <v>RAKE + YAKE</v>
      </c>
      <c r="K77" s="32" t="s">
        <v>318</v>
      </c>
      <c r="L77" s="32" t="s">
        <v>319</v>
      </c>
      <c r="M77" s="32"/>
      <c r="N77" s="32"/>
      <c r="O77" s="32"/>
      <c r="P77" s="32"/>
    </row>
    <row r="78" spans="1:16" ht="52.8" x14ac:dyDescent="0.3">
      <c r="A78" s="28">
        <v>77</v>
      </c>
      <c r="B78" s="29" t="s">
        <v>320</v>
      </c>
      <c r="C78" s="30" t="str">
        <f>IF(LEN(IF(K78="","",IFERROR(INDEX('Raw lists'!$A$2:$A$192,MATCH(K78,'Raw lists'!$A$2:$A$192,0))&amp;" | ",""))&amp;IF(L78="","",IFERROR(INDEX('Raw lists'!$A$2:$A$192,MATCH(L78,'Raw lists'!$A$2:$A$192,0))&amp;" | ",""))&amp;IF(M78="","",IFERROR(INDEX('Raw lists'!$A$2:$A$192,MATCH(M78,'Raw lists'!$A$2:$A$192,0))&amp;" | ",""))&amp;IF(N78="","",IFERROR(INDEX('Raw lists'!$A$2:$A$192,MATCH(N78,'Raw lists'!$A$2:$A$192,0))&amp;" | ",""))&amp;IF(O78="","",IFERROR(INDEX('Raw lists'!$A$2:$A$192,MATCH(O78,'Raw lists'!$A$2:$A$192,0))&amp;" | ",""))&amp;IF(P78="","",IFERROR(INDEX('Raw lists'!$A$2:$A$192,MATCH(P78,'Raw lists'!$A$2:$A$192,0))&amp;" | ","")))=0,"",LEFT(IF(K78="","",IFERROR(INDEX('Raw lists'!$A$2:$A$192,MATCH(K78,'Raw lists'!$A$2:$A$192,0))&amp;" | ",""))&amp;IF(L78="","",IFERROR(INDEX('Raw lists'!$A$2:$A$192,MATCH(L78,'Raw lists'!$A$2:$A$192,0))&amp;" | ",""))&amp;IF(M78="","",IFERROR(INDEX('Raw lists'!$A$2:$A$192,MATCH(M78,'Raw lists'!$A$2:$A$192,0))&amp;" | ",""))&amp;IF(N78="","",IFERROR(INDEX('Raw lists'!$A$2:$A$192,MATCH(N78,'Raw lists'!$A$2:$A$192,0))&amp;" | ",""))&amp;IF(O78="","",IFERROR(INDEX('Raw lists'!$A$2:$A$192,MATCH(O78,'Raw lists'!$A$2:$A$192,0))&amp;" | ",""))&amp;IF(P78="","",IFERROR(INDEX('Raw lists'!$A$2:$A$192,MATCH(P78,'Raw lists'!$A$2:$A$192,0))&amp;" | ","")),LEN(IF(K78="","",IFERROR(INDEX('Raw lists'!$A$2:$A$192,MATCH(K78,'Raw lists'!$A$2:$A$192,0))&amp;" | ",""))&amp;IF(L78="","",IFERROR(INDEX('Raw lists'!$A$2:$A$192,MATCH(L78,'Raw lists'!$A$2:$A$192,0))&amp;" | ",""))&amp;IF(M78="","",IFERROR(INDEX('Raw lists'!$A$2:$A$192,MATCH(M78,'Raw lists'!$A$2:$A$192,0))&amp;" | ",""))&amp;IF(N78="","",IFERROR(INDEX('Raw lists'!$A$2:$A$192,MATCH(N78,'Raw lists'!$A$2:$A$192,0))&amp;" | ",""))&amp;IF(O78="","",IFERROR(INDEX('Raw lists'!$A$2:$A$192,MATCH(O78,'Raw lists'!$A$2:$A$192,0))&amp;" | ",""))&amp;IF(P78="","",IFERROR(INDEX('Raw lists'!$A$2:$A$192,MATCH(P78,'Raw lists'!$A$2:$A$192,0))&amp;" | ","")))-3))</f>
        <v>Pumping Source</v>
      </c>
      <c r="D78" s="30" t="str">
        <f>IF(LEN(IF(K78="","",IFERROR(INDEX('Raw lists'!$B$2:$B$627,MATCH(K78,'Raw lists'!$B$2:$B$627,0))&amp;" | ",""))&amp;IF(L78="","",IFERROR(INDEX('Raw lists'!$B$2:$B$627,MATCH(L78,'Raw lists'!$B$2:$B$627,0))&amp;" | ",""))&amp;IF(M78="","",IFERROR(INDEX('Raw lists'!$B$2:$B$627,MATCH(M78,'Raw lists'!$B$2:$B$627,0))&amp;" | ",""))&amp;IF(N78="","",IFERROR(INDEX('Raw lists'!$B$2:$B$627,MATCH(N78,'Raw lists'!$B$2:$B$627,0))&amp;" | ",""))&amp;IF(O78="","",IFERROR(INDEX('Raw lists'!$B$2:$B$627,MATCH(O78,'Raw lists'!$B$2:$B$627,0))&amp;" | ",""))&amp;IF(P78="","",IFERROR(INDEX('Raw lists'!$B$2:$B$627,MATCH(P78,'Raw lists'!$B$2:$B$627,0))&amp;" | ","")))=0,"",LEFT(IF(K78="","",IFERROR(INDEX('Raw lists'!$B$2:$B$627,MATCH(K78,'Raw lists'!$B$2:$B$627,0))&amp;" | ",""))&amp;IF(L78="","",IFERROR(INDEX('Raw lists'!$B$2:$B$627,MATCH(L78,'Raw lists'!$B$2:$B$627,0))&amp;" | ",""))&amp;IF(M78="","",IFERROR(INDEX('Raw lists'!$B$2:$B$627,MATCH(M78,'Raw lists'!$B$2:$B$627,0))&amp;" | ",""))&amp;IF(N78="","",IFERROR(INDEX('Raw lists'!$B$2:$B$627,MATCH(N78,'Raw lists'!$B$2:$B$627,0))&amp;" | ",""))&amp;IF(O78="","",IFERROR(INDEX('Raw lists'!$B$2:$B$627,MATCH(O78,'Raw lists'!$B$2:$B$627,0))&amp;" | ",""))&amp;IF(P78="","",IFERROR(INDEX('Raw lists'!$B$2:$B$627,MATCH(P78,'Raw lists'!$B$2:$B$627,0))&amp;" | ","")),LEN(IF(K78="","",IFERROR(INDEX('Raw lists'!$B$2:$B$627,MATCH(K78,'Raw lists'!$B$2:$B$627,0))&amp;" | ",""))&amp;IF(L78="","",IFERROR(INDEX('Raw lists'!$B$2:$B$627,MATCH(L78,'Raw lists'!$B$2:$B$627,0))&amp;" | ",""))&amp;IF(M78="","",IFERROR(INDEX('Raw lists'!$B$2:$B$627,MATCH(M78,'Raw lists'!$B$2:$B$627,0))&amp;" | ",""))&amp;IF(N78="","",IFERROR(INDEX('Raw lists'!$B$2:$B$627,MATCH(N78,'Raw lists'!$B$2:$B$627,0))&amp;" | ",""))&amp;IF(O78="","",IFERROR(INDEX('Raw lists'!$B$2:$B$627,MATCH(O78,'Raw lists'!$B$2:$B$627,0))&amp;" | ",""))&amp;IF(P78="","",IFERROR(INDEX('Raw lists'!$B$2:$B$627,MATCH(P78,'Raw lists'!$B$2:$B$627,0))&amp;" | ","")))-3))</f>
        <v>Pumping Source | Flash Lamp | Krypton Flash Tube | Krypton Flash Tubes | Krypton Flash Lamp</v>
      </c>
      <c r="E78" s="30" t="str">
        <f>IF(LEN(IF(K78="","",IFERROR(INDEX('Raw lists'!$C$2:$C$616,MATCH(K78,'Raw lists'!$C$2:$C$616,0))&amp;" | ",""))&amp;IF(L78="","",IFERROR(INDEX('Raw lists'!$C$2:$C$616,MATCH(L78,'Raw lists'!$C$2:$C$616,0))&amp;" | ",""))&amp;IF(M78="","",IFERROR(INDEX('Raw lists'!$C$2:$C$616,MATCH(M78,'Raw lists'!$C$2:$C$616,0))&amp;" | ",""))&amp;IF(N78="","",IFERROR(INDEX('Raw lists'!$C$2:$C$616,MATCH(N78,'Raw lists'!$C$2:$C$616,0))&amp;" | ",""))&amp;IF(O78="","",IFERROR(INDEX('Raw lists'!$C$2:$C$616,MATCH(O78,'Raw lists'!$C$2:$C$616,0))&amp;" | ",""))&amp;IF(P78="","",IFERROR(INDEX('Raw lists'!$C$2:$C$616,MATCH(P78,'Raw lists'!$C$2:$C$616,0))&amp;" | ","")))=0,"",LEFT(IF(K78="","",IFERROR(INDEX('Raw lists'!$C$2:$C$616,MATCH(K78,'Raw lists'!$C$2:$C$616,0))&amp;" | ",""))&amp;IF(L78="","",IFERROR(INDEX('Raw lists'!$C$2:$C$616,MATCH(L78,'Raw lists'!$C$2:$C$616,0))&amp;" | ",""))&amp;IF(M78="","",IFERROR(INDEX('Raw lists'!$C$2:$C$616,MATCH(M78,'Raw lists'!$C$2:$C$616,0))&amp;" | ",""))&amp;IF(N78="","",IFERROR(INDEX('Raw lists'!$C$2:$C$616,MATCH(N78,'Raw lists'!$C$2:$C$616,0))&amp;" | ",""))&amp;IF(O78="","",IFERROR(INDEX('Raw lists'!$C$2:$C$616,MATCH(O78,'Raw lists'!$C$2:$C$616,0))&amp;" | ",""))&amp;IF(P78="","",IFERROR(INDEX('Raw lists'!$C$2:$C$616,MATCH(P78,'Raw lists'!$C$2:$C$616,0))&amp;" | ","")),LEN(IF(K78="","",IFERROR(INDEX('Raw lists'!$C$2:$C$616,MATCH(K78,'Raw lists'!$C$2:$C$616,0))&amp;" | ",""))&amp;IF(L78="","",IFERROR(INDEX('Raw lists'!$C$2:$C$616,MATCH(L78,'Raw lists'!$C$2:$C$616,0))&amp;" | ",""))&amp;IF(M78="","",IFERROR(INDEX('Raw lists'!$C$2:$C$616,MATCH(M78,'Raw lists'!$C$2:$C$616,0))&amp;" | ",""))&amp;IF(N78="","",IFERROR(INDEX('Raw lists'!$C$2:$C$616,MATCH(N78,'Raw lists'!$C$2:$C$616,0))&amp;" | ",""))&amp;IF(O78="","",IFERROR(INDEX('Raw lists'!$C$2:$C$616,MATCH(O78,'Raw lists'!$C$2:$C$616,0))&amp;" | ",""))&amp;IF(P78="","",IFERROR(INDEX('Raw lists'!$C$2:$C$616,MATCH(P78,'Raw lists'!$C$2:$C$616,0))&amp;" | ","")))-3))</f>
        <v>Pumping Source | Krypton Flash Tubes</v>
      </c>
      <c r="F78" s="28" t="s">
        <v>17</v>
      </c>
      <c r="G78" s="30" t="s">
        <v>321</v>
      </c>
      <c r="H78" s="28">
        <f t="shared" si="2"/>
        <v>3</v>
      </c>
      <c r="I78" s="31" t="str">
        <f t="shared" si="3"/>
        <v>All three</v>
      </c>
      <c r="K78" s="32" t="s">
        <v>322</v>
      </c>
      <c r="L78" s="32" t="s">
        <v>323</v>
      </c>
      <c r="M78" s="32" t="s">
        <v>324</v>
      </c>
      <c r="N78" s="32" t="s">
        <v>325</v>
      </c>
      <c r="O78" s="32" t="s">
        <v>326</v>
      </c>
      <c r="P78" s="32" t="s">
        <v>327</v>
      </c>
    </row>
    <row r="79" spans="1:16" x14ac:dyDescent="0.3">
      <c r="A79" s="28">
        <v>78</v>
      </c>
      <c r="B79" s="29" t="s">
        <v>328</v>
      </c>
      <c r="C79" s="30" t="str">
        <f>IF(LEN(IF(K79="","",IFERROR(INDEX('Raw lists'!$A$2:$A$192,MATCH(K79,'Raw lists'!$A$2:$A$192,0))&amp;" | ",""))&amp;IF(L79="","",IFERROR(INDEX('Raw lists'!$A$2:$A$192,MATCH(L79,'Raw lists'!$A$2:$A$192,0))&amp;" | ",""))&amp;IF(M79="","",IFERROR(INDEX('Raw lists'!$A$2:$A$192,MATCH(M79,'Raw lists'!$A$2:$A$192,0))&amp;" | ",""))&amp;IF(N79="","",IFERROR(INDEX('Raw lists'!$A$2:$A$192,MATCH(N79,'Raw lists'!$A$2:$A$192,0))&amp;" | ",""))&amp;IF(O79="","",IFERROR(INDEX('Raw lists'!$A$2:$A$192,MATCH(O79,'Raw lists'!$A$2:$A$192,0))&amp;" | ",""))&amp;IF(P79="","",IFERROR(INDEX('Raw lists'!$A$2:$A$192,MATCH(P79,'Raw lists'!$A$2:$A$192,0))&amp;" | ","")))=0,"",LEFT(IF(K79="","",IFERROR(INDEX('Raw lists'!$A$2:$A$192,MATCH(K79,'Raw lists'!$A$2:$A$192,0))&amp;" | ",""))&amp;IF(L79="","",IFERROR(INDEX('Raw lists'!$A$2:$A$192,MATCH(L79,'Raw lists'!$A$2:$A$192,0))&amp;" | ",""))&amp;IF(M79="","",IFERROR(INDEX('Raw lists'!$A$2:$A$192,MATCH(M79,'Raw lists'!$A$2:$A$192,0))&amp;" | ",""))&amp;IF(N79="","",IFERROR(INDEX('Raw lists'!$A$2:$A$192,MATCH(N79,'Raw lists'!$A$2:$A$192,0))&amp;" | ",""))&amp;IF(O79="","",IFERROR(INDEX('Raw lists'!$A$2:$A$192,MATCH(O79,'Raw lists'!$A$2:$A$192,0))&amp;" | ",""))&amp;IF(P79="","",IFERROR(INDEX('Raw lists'!$A$2:$A$192,MATCH(P79,'Raw lists'!$A$2:$A$192,0))&amp;" | ","")),LEN(IF(K79="","",IFERROR(INDEX('Raw lists'!$A$2:$A$192,MATCH(K79,'Raw lists'!$A$2:$A$192,0))&amp;" | ",""))&amp;IF(L79="","",IFERROR(INDEX('Raw lists'!$A$2:$A$192,MATCH(L79,'Raw lists'!$A$2:$A$192,0))&amp;" | ",""))&amp;IF(M79="","",IFERROR(INDEX('Raw lists'!$A$2:$A$192,MATCH(M79,'Raw lists'!$A$2:$A$192,0))&amp;" | ",""))&amp;IF(N79="","",IFERROR(INDEX('Raw lists'!$A$2:$A$192,MATCH(N79,'Raw lists'!$A$2:$A$192,0))&amp;" | ",""))&amp;IF(O79="","",IFERROR(INDEX('Raw lists'!$A$2:$A$192,MATCH(O79,'Raw lists'!$A$2:$A$192,0))&amp;" | ",""))&amp;IF(P79="","",IFERROR(INDEX('Raw lists'!$A$2:$A$192,MATCH(P79,'Raw lists'!$A$2:$A$192,0))&amp;" | ","")))-3))</f>
        <v/>
      </c>
      <c r="D79" s="30" t="str">
        <f>IF(LEN(IF(K79="","",IFERROR(INDEX('Raw lists'!$B$2:$B$627,MATCH(K79,'Raw lists'!$B$2:$B$627,0))&amp;" | ",""))&amp;IF(L79="","",IFERROR(INDEX('Raw lists'!$B$2:$B$627,MATCH(L79,'Raw lists'!$B$2:$B$627,0))&amp;" | ",""))&amp;IF(M79="","",IFERROR(INDEX('Raw lists'!$B$2:$B$627,MATCH(M79,'Raw lists'!$B$2:$B$627,0))&amp;" | ",""))&amp;IF(N79="","",IFERROR(INDEX('Raw lists'!$B$2:$B$627,MATCH(N79,'Raw lists'!$B$2:$B$627,0))&amp;" | ",""))&amp;IF(O79="","",IFERROR(INDEX('Raw lists'!$B$2:$B$627,MATCH(O79,'Raw lists'!$B$2:$B$627,0))&amp;" | ",""))&amp;IF(P79="","",IFERROR(INDEX('Raw lists'!$B$2:$B$627,MATCH(P79,'Raw lists'!$B$2:$B$627,0))&amp;" | ","")))=0,"",LEFT(IF(K79="","",IFERROR(INDEX('Raw lists'!$B$2:$B$627,MATCH(K79,'Raw lists'!$B$2:$B$627,0))&amp;" | ",""))&amp;IF(L79="","",IFERROR(INDEX('Raw lists'!$B$2:$B$627,MATCH(L79,'Raw lists'!$B$2:$B$627,0))&amp;" | ",""))&amp;IF(M79="","",IFERROR(INDEX('Raw lists'!$B$2:$B$627,MATCH(M79,'Raw lists'!$B$2:$B$627,0))&amp;" | ",""))&amp;IF(N79="","",IFERROR(INDEX('Raw lists'!$B$2:$B$627,MATCH(N79,'Raw lists'!$B$2:$B$627,0))&amp;" | ",""))&amp;IF(O79="","",IFERROR(INDEX('Raw lists'!$B$2:$B$627,MATCH(O79,'Raw lists'!$B$2:$B$627,0))&amp;" | ",""))&amp;IF(P79="","",IFERROR(INDEX('Raw lists'!$B$2:$B$627,MATCH(P79,'Raw lists'!$B$2:$B$627,0))&amp;" | ","")),LEN(IF(K79="","",IFERROR(INDEX('Raw lists'!$B$2:$B$627,MATCH(K79,'Raw lists'!$B$2:$B$627,0))&amp;" | ",""))&amp;IF(L79="","",IFERROR(INDEX('Raw lists'!$B$2:$B$627,MATCH(L79,'Raw lists'!$B$2:$B$627,0))&amp;" | ",""))&amp;IF(M79="","",IFERROR(INDEX('Raw lists'!$B$2:$B$627,MATCH(M79,'Raw lists'!$B$2:$B$627,0))&amp;" | ",""))&amp;IF(N79="","",IFERROR(INDEX('Raw lists'!$B$2:$B$627,MATCH(N79,'Raw lists'!$B$2:$B$627,0))&amp;" | ",""))&amp;IF(O79="","",IFERROR(INDEX('Raw lists'!$B$2:$B$627,MATCH(O79,'Raw lists'!$B$2:$B$627,0))&amp;" | ",""))&amp;IF(P79="","",IFERROR(INDEX('Raw lists'!$B$2:$B$627,MATCH(P79,'Raw lists'!$B$2:$B$627,0))&amp;" | ","")))-3))</f>
        <v>Elliptical Reflector Cavity</v>
      </c>
      <c r="E79" s="30" t="str">
        <f>IF(LEN(IF(K79="","",IFERROR(INDEX('Raw lists'!$C$2:$C$616,MATCH(K79,'Raw lists'!$C$2:$C$616,0))&amp;" | ",""))&amp;IF(L79="","",IFERROR(INDEX('Raw lists'!$C$2:$C$616,MATCH(L79,'Raw lists'!$C$2:$C$616,0))&amp;" | ",""))&amp;IF(M79="","",IFERROR(INDEX('Raw lists'!$C$2:$C$616,MATCH(M79,'Raw lists'!$C$2:$C$616,0))&amp;" | ",""))&amp;IF(N79="","",IFERROR(INDEX('Raw lists'!$C$2:$C$616,MATCH(N79,'Raw lists'!$C$2:$C$616,0))&amp;" | ",""))&amp;IF(O79="","",IFERROR(INDEX('Raw lists'!$C$2:$C$616,MATCH(O79,'Raw lists'!$C$2:$C$616,0))&amp;" | ",""))&amp;IF(P79="","",IFERROR(INDEX('Raw lists'!$C$2:$C$616,MATCH(P79,'Raw lists'!$C$2:$C$616,0))&amp;" | ","")))=0,"",LEFT(IF(K79="","",IFERROR(INDEX('Raw lists'!$C$2:$C$616,MATCH(K79,'Raw lists'!$C$2:$C$616,0))&amp;" | ",""))&amp;IF(L79="","",IFERROR(INDEX('Raw lists'!$C$2:$C$616,MATCH(L79,'Raw lists'!$C$2:$C$616,0))&amp;" | ",""))&amp;IF(M79="","",IFERROR(INDEX('Raw lists'!$C$2:$C$616,MATCH(M79,'Raw lists'!$C$2:$C$616,0))&amp;" | ",""))&amp;IF(N79="","",IFERROR(INDEX('Raw lists'!$C$2:$C$616,MATCH(N79,'Raw lists'!$C$2:$C$616,0))&amp;" | ",""))&amp;IF(O79="","",IFERROR(INDEX('Raw lists'!$C$2:$C$616,MATCH(O79,'Raw lists'!$C$2:$C$616,0))&amp;" | ",""))&amp;IF(P79="","",IFERROR(INDEX('Raw lists'!$C$2:$C$616,MATCH(P79,'Raw lists'!$C$2:$C$616,0))&amp;" | ","")),LEN(IF(K79="","",IFERROR(INDEX('Raw lists'!$C$2:$C$616,MATCH(K79,'Raw lists'!$C$2:$C$616,0))&amp;" | ",""))&amp;IF(L79="","",IFERROR(INDEX('Raw lists'!$C$2:$C$616,MATCH(L79,'Raw lists'!$C$2:$C$616,0))&amp;" | ",""))&amp;IF(M79="","",IFERROR(INDEX('Raw lists'!$C$2:$C$616,MATCH(M79,'Raw lists'!$C$2:$C$616,0))&amp;" | ",""))&amp;IF(N79="","",IFERROR(INDEX('Raw lists'!$C$2:$C$616,MATCH(N79,'Raw lists'!$C$2:$C$616,0))&amp;" | ",""))&amp;IF(O79="","",IFERROR(INDEX('Raw lists'!$C$2:$C$616,MATCH(O79,'Raw lists'!$C$2:$C$616,0))&amp;" | ",""))&amp;IF(P79="","",IFERROR(INDEX('Raw lists'!$C$2:$C$616,MATCH(P79,'Raw lists'!$C$2:$C$616,0))&amp;" | ","")))-3))</f>
        <v/>
      </c>
      <c r="F79" s="28" t="s">
        <v>17</v>
      </c>
      <c r="G79" s="30" t="s">
        <v>329</v>
      </c>
      <c r="H79" s="28">
        <f t="shared" si="2"/>
        <v>1</v>
      </c>
      <c r="I79" s="31" t="str">
        <f t="shared" si="3"/>
        <v>Only RAKE</v>
      </c>
      <c r="K79" s="32" t="s">
        <v>330</v>
      </c>
      <c r="L79" s="32" t="s">
        <v>331</v>
      </c>
      <c r="M79" s="32"/>
      <c r="N79" s="32"/>
      <c r="O79" s="32"/>
      <c r="P79" s="32"/>
    </row>
    <row r="80" spans="1:16" x14ac:dyDescent="0.3">
      <c r="A80" s="28">
        <v>79</v>
      </c>
      <c r="B80" s="29" t="s">
        <v>332</v>
      </c>
      <c r="C80" s="30" t="str">
        <f>IF(LEN(IF(K80="","",IFERROR(INDEX('Raw lists'!$A$2:$A$192,MATCH(K80,'Raw lists'!$A$2:$A$192,0))&amp;" | ",""))&amp;IF(L80="","",IFERROR(INDEX('Raw lists'!$A$2:$A$192,MATCH(L80,'Raw lists'!$A$2:$A$192,0))&amp;" | ",""))&amp;IF(M80="","",IFERROR(INDEX('Raw lists'!$A$2:$A$192,MATCH(M80,'Raw lists'!$A$2:$A$192,0))&amp;" | ",""))&amp;IF(N80="","",IFERROR(INDEX('Raw lists'!$A$2:$A$192,MATCH(N80,'Raw lists'!$A$2:$A$192,0))&amp;" | ",""))&amp;IF(O80="","",IFERROR(INDEX('Raw lists'!$A$2:$A$192,MATCH(O80,'Raw lists'!$A$2:$A$192,0))&amp;" | ",""))&amp;IF(P80="","",IFERROR(INDEX('Raw lists'!$A$2:$A$192,MATCH(P80,'Raw lists'!$A$2:$A$192,0))&amp;" | ","")))=0,"",LEFT(IF(K80="","",IFERROR(INDEX('Raw lists'!$A$2:$A$192,MATCH(K80,'Raw lists'!$A$2:$A$192,0))&amp;" | ",""))&amp;IF(L80="","",IFERROR(INDEX('Raw lists'!$A$2:$A$192,MATCH(L80,'Raw lists'!$A$2:$A$192,0))&amp;" | ",""))&amp;IF(M80="","",IFERROR(INDEX('Raw lists'!$A$2:$A$192,MATCH(M80,'Raw lists'!$A$2:$A$192,0))&amp;" | ",""))&amp;IF(N80="","",IFERROR(INDEX('Raw lists'!$A$2:$A$192,MATCH(N80,'Raw lists'!$A$2:$A$192,0))&amp;" | ",""))&amp;IF(O80="","",IFERROR(INDEX('Raw lists'!$A$2:$A$192,MATCH(O80,'Raw lists'!$A$2:$A$192,0))&amp;" | ",""))&amp;IF(P80="","",IFERROR(INDEX('Raw lists'!$A$2:$A$192,MATCH(P80,'Raw lists'!$A$2:$A$192,0))&amp;" | ","")),LEN(IF(K80="","",IFERROR(INDEX('Raw lists'!$A$2:$A$192,MATCH(K80,'Raw lists'!$A$2:$A$192,0))&amp;" | ",""))&amp;IF(L80="","",IFERROR(INDEX('Raw lists'!$A$2:$A$192,MATCH(L80,'Raw lists'!$A$2:$A$192,0))&amp;" | ",""))&amp;IF(M80="","",IFERROR(INDEX('Raw lists'!$A$2:$A$192,MATCH(M80,'Raw lists'!$A$2:$A$192,0))&amp;" | ",""))&amp;IF(N80="","",IFERROR(INDEX('Raw lists'!$A$2:$A$192,MATCH(N80,'Raw lists'!$A$2:$A$192,0))&amp;" | ",""))&amp;IF(O80="","",IFERROR(INDEX('Raw lists'!$A$2:$A$192,MATCH(O80,'Raw lists'!$A$2:$A$192,0))&amp;" | ",""))&amp;IF(P80="","",IFERROR(INDEX('Raw lists'!$A$2:$A$192,MATCH(P80,'Raw lists'!$A$2:$A$192,0))&amp;" | ","")))-3))</f>
        <v/>
      </c>
      <c r="D80" s="30" t="str">
        <f>IF(LEN(IF(K80="","",IFERROR(INDEX('Raw lists'!$B$2:$B$627,MATCH(K80,'Raw lists'!$B$2:$B$627,0))&amp;" | ",""))&amp;IF(L80="","",IFERROR(INDEX('Raw lists'!$B$2:$B$627,MATCH(L80,'Raw lists'!$B$2:$B$627,0))&amp;" | ",""))&amp;IF(M80="","",IFERROR(INDEX('Raw lists'!$B$2:$B$627,MATCH(M80,'Raw lists'!$B$2:$B$627,0))&amp;" | ",""))&amp;IF(N80="","",IFERROR(INDEX('Raw lists'!$B$2:$B$627,MATCH(N80,'Raw lists'!$B$2:$B$627,0))&amp;" | ",""))&amp;IF(O80="","",IFERROR(INDEX('Raw lists'!$B$2:$B$627,MATCH(O80,'Raw lists'!$B$2:$B$627,0))&amp;" | ",""))&amp;IF(P80="","",IFERROR(INDEX('Raw lists'!$B$2:$B$627,MATCH(P80,'Raw lists'!$B$2:$B$627,0))&amp;" | ","")))=0,"",LEFT(IF(K80="","",IFERROR(INDEX('Raw lists'!$B$2:$B$627,MATCH(K80,'Raw lists'!$B$2:$B$627,0))&amp;" | ",""))&amp;IF(L80="","",IFERROR(INDEX('Raw lists'!$B$2:$B$627,MATCH(L80,'Raw lists'!$B$2:$B$627,0))&amp;" | ",""))&amp;IF(M80="","",IFERROR(INDEX('Raw lists'!$B$2:$B$627,MATCH(M80,'Raw lists'!$B$2:$B$627,0))&amp;" | ",""))&amp;IF(N80="","",IFERROR(INDEX('Raw lists'!$B$2:$B$627,MATCH(N80,'Raw lists'!$B$2:$B$627,0))&amp;" | ",""))&amp;IF(O80="","",IFERROR(INDEX('Raw lists'!$B$2:$B$627,MATCH(O80,'Raw lists'!$B$2:$B$627,0))&amp;" | ",""))&amp;IF(P80="","",IFERROR(INDEX('Raw lists'!$B$2:$B$627,MATCH(P80,'Raw lists'!$B$2:$B$627,0))&amp;" | ","")),LEN(IF(K80="","",IFERROR(INDEX('Raw lists'!$B$2:$B$627,MATCH(K80,'Raw lists'!$B$2:$B$627,0))&amp;" | ",""))&amp;IF(L80="","",IFERROR(INDEX('Raw lists'!$B$2:$B$627,MATCH(L80,'Raw lists'!$B$2:$B$627,0))&amp;" | ",""))&amp;IF(M80="","",IFERROR(INDEX('Raw lists'!$B$2:$B$627,MATCH(M80,'Raw lists'!$B$2:$B$627,0))&amp;" | ",""))&amp;IF(N80="","",IFERROR(INDEX('Raw lists'!$B$2:$B$627,MATCH(N80,'Raw lists'!$B$2:$B$627,0))&amp;" | ",""))&amp;IF(O80="","",IFERROR(INDEX('Raw lists'!$B$2:$B$627,MATCH(O80,'Raw lists'!$B$2:$B$627,0))&amp;" | ",""))&amp;IF(P80="","",IFERROR(INDEX('Raw lists'!$B$2:$B$627,MATCH(P80,'Raw lists'!$B$2:$B$627,0))&amp;" | ","")))-3))</f>
        <v>Pump Bands</v>
      </c>
      <c r="E80" s="30" t="str">
        <f>IF(LEN(IF(K80="","",IFERROR(INDEX('Raw lists'!$C$2:$C$616,MATCH(K80,'Raw lists'!$C$2:$C$616,0))&amp;" | ",""))&amp;IF(L80="","",IFERROR(INDEX('Raw lists'!$C$2:$C$616,MATCH(L80,'Raw lists'!$C$2:$C$616,0))&amp;" | ",""))&amp;IF(M80="","",IFERROR(INDEX('Raw lists'!$C$2:$C$616,MATCH(M80,'Raw lists'!$C$2:$C$616,0))&amp;" | ",""))&amp;IF(N80="","",IFERROR(INDEX('Raw lists'!$C$2:$C$616,MATCH(N80,'Raw lists'!$C$2:$C$616,0))&amp;" | ",""))&amp;IF(O80="","",IFERROR(INDEX('Raw lists'!$C$2:$C$616,MATCH(O80,'Raw lists'!$C$2:$C$616,0))&amp;" | ",""))&amp;IF(P80="","",IFERROR(INDEX('Raw lists'!$C$2:$C$616,MATCH(P80,'Raw lists'!$C$2:$C$616,0))&amp;" | ","")))=0,"",LEFT(IF(K80="","",IFERROR(INDEX('Raw lists'!$C$2:$C$616,MATCH(K80,'Raw lists'!$C$2:$C$616,0))&amp;" | ",""))&amp;IF(L80="","",IFERROR(INDEX('Raw lists'!$C$2:$C$616,MATCH(L80,'Raw lists'!$C$2:$C$616,0))&amp;" | ",""))&amp;IF(M80="","",IFERROR(INDEX('Raw lists'!$C$2:$C$616,MATCH(M80,'Raw lists'!$C$2:$C$616,0))&amp;" | ",""))&amp;IF(N80="","",IFERROR(INDEX('Raw lists'!$C$2:$C$616,MATCH(N80,'Raw lists'!$C$2:$C$616,0))&amp;" | ",""))&amp;IF(O80="","",IFERROR(INDEX('Raw lists'!$C$2:$C$616,MATCH(O80,'Raw lists'!$C$2:$C$616,0))&amp;" | ",""))&amp;IF(P80="","",IFERROR(INDEX('Raw lists'!$C$2:$C$616,MATCH(P80,'Raw lists'!$C$2:$C$616,0))&amp;" | ","")),LEN(IF(K80="","",IFERROR(INDEX('Raw lists'!$C$2:$C$616,MATCH(K80,'Raw lists'!$C$2:$C$616,0))&amp;" | ",""))&amp;IF(L80="","",IFERROR(INDEX('Raw lists'!$C$2:$C$616,MATCH(L80,'Raw lists'!$C$2:$C$616,0))&amp;" | ",""))&amp;IF(M80="","",IFERROR(INDEX('Raw lists'!$C$2:$C$616,MATCH(M80,'Raw lists'!$C$2:$C$616,0))&amp;" | ",""))&amp;IF(N80="","",IFERROR(INDEX('Raw lists'!$C$2:$C$616,MATCH(N80,'Raw lists'!$C$2:$C$616,0))&amp;" | ",""))&amp;IF(O80="","",IFERROR(INDEX('Raw lists'!$C$2:$C$616,MATCH(O80,'Raw lists'!$C$2:$C$616,0))&amp;" | ",""))&amp;IF(P80="","",IFERROR(INDEX('Raw lists'!$C$2:$C$616,MATCH(P80,'Raw lists'!$C$2:$C$616,0))&amp;" | ","")))-3))</f>
        <v/>
      </c>
      <c r="F80" s="28" t="s">
        <v>17</v>
      </c>
      <c r="G80" s="30" t="s">
        <v>333</v>
      </c>
      <c r="H80" s="28">
        <f t="shared" si="2"/>
        <v>1</v>
      </c>
      <c r="I80" s="31" t="str">
        <f t="shared" si="3"/>
        <v>Only RAKE</v>
      </c>
      <c r="K80" s="32" t="s">
        <v>334</v>
      </c>
      <c r="L80" s="32"/>
      <c r="M80" s="32"/>
      <c r="N80" s="32"/>
      <c r="O80" s="32"/>
      <c r="P80" s="32"/>
    </row>
    <row r="81" spans="1:16" ht="26.4" x14ac:dyDescent="0.3">
      <c r="A81" s="28">
        <v>80</v>
      </c>
      <c r="B81" s="29" t="s">
        <v>335</v>
      </c>
      <c r="C81" s="30" t="str">
        <f>IF(LEN(IF(K81="","",IFERROR(INDEX('Raw lists'!$A$2:$A$192,MATCH(K81,'Raw lists'!$A$2:$A$192,0))&amp;" | ",""))&amp;IF(L81="","",IFERROR(INDEX('Raw lists'!$A$2:$A$192,MATCH(L81,'Raw lists'!$A$2:$A$192,0))&amp;" | ",""))&amp;IF(M81="","",IFERROR(INDEX('Raw lists'!$A$2:$A$192,MATCH(M81,'Raw lists'!$A$2:$A$192,0))&amp;" | ",""))&amp;IF(N81="","",IFERROR(INDEX('Raw lists'!$A$2:$A$192,MATCH(N81,'Raw lists'!$A$2:$A$192,0))&amp;" | ",""))&amp;IF(O81="","",IFERROR(INDEX('Raw lists'!$A$2:$A$192,MATCH(O81,'Raw lists'!$A$2:$A$192,0))&amp;" | ",""))&amp;IF(P81="","",IFERROR(INDEX('Raw lists'!$A$2:$A$192,MATCH(P81,'Raw lists'!$A$2:$A$192,0))&amp;" | ","")))=0,"",LEFT(IF(K81="","",IFERROR(INDEX('Raw lists'!$A$2:$A$192,MATCH(K81,'Raw lists'!$A$2:$A$192,0))&amp;" | ",""))&amp;IF(L81="","",IFERROR(INDEX('Raw lists'!$A$2:$A$192,MATCH(L81,'Raw lists'!$A$2:$A$192,0))&amp;" | ",""))&amp;IF(M81="","",IFERROR(INDEX('Raw lists'!$A$2:$A$192,MATCH(M81,'Raw lists'!$A$2:$A$192,0))&amp;" | ",""))&amp;IF(N81="","",IFERROR(INDEX('Raw lists'!$A$2:$A$192,MATCH(N81,'Raw lists'!$A$2:$A$192,0))&amp;" | ",""))&amp;IF(O81="","",IFERROR(INDEX('Raw lists'!$A$2:$A$192,MATCH(O81,'Raw lists'!$A$2:$A$192,0))&amp;" | ",""))&amp;IF(P81="","",IFERROR(INDEX('Raw lists'!$A$2:$A$192,MATCH(P81,'Raw lists'!$A$2:$A$192,0))&amp;" | ","")),LEN(IF(K81="","",IFERROR(INDEX('Raw lists'!$A$2:$A$192,MATCH(K81,'Raw lists'!$A$2:$A$192,0))&amp;" | ",""))&amp;IF(L81="","",IFERROR(INDEX('Raw lists'!$A$2:$A$192,MATCH(L81,'Raw lists'!$A$2:$A$192,0))&amp;" | ",""))&amp;IF(M81="","",IFERROR(INDEX('Raw lists'!$A$2:$A$192,MATCH(M81,'Raw lists'!$A$2:$A$192,0))&amp;" | ",""))&amp;IF(N81="","",IFERROR(INDEX('Raw lists'!$A$2:$A$192,MATCH(N81,'Raw lists'!$A$2:$A$192,0))&amp;" | ",""))&amp;IF(O81="","",IFERROR(INDEX('Raw lists'!$A$2:$A$192,MATCH(O81,'Raw lists'!$A$2:$A$192,0))&amp;" | ",""))&amp;IF(P81="","",IFERROR(INDEX('Raw lists'!$A$2:$A$192,MATCH(P81,'Raw lists'!$A$2:$A$192,0))&amp;" | ","")))-3))</f>
        <v/>
      </c>
      <c r="D81" s="30" t="str">
        <f>IF(LEN(IF(K81="","",IFERROR(INDEX('Raw lists'!$B$2:$B$627,MATCH(K81,'Raw lists'!$B$2:$B$627,0))&amp;" | ",""))&amp;IF(L81="","",IFERROR(INDEX('Raw lists'!$B$2:$B$627,MATCH(L81,'Raw lists'!$B$2:$B$627,0))&amp;" | ",""))&amp;IF(M81="","",IFERROR(INDEX('Raw lists'!$B$2:$B$627,MATCH(M81,'Raw lists'!$B$2:$B$627,0))&amp;" | ",""))&amp;IF(N81="","",IFERROR(INDEX('Raw lists'!$B$2:$B$627,MATCH(N81,'Raw lists'!$B$2:$B$627,0))&amp;" | ",""))&amp;IF(O81="","",IFERROR(INDEX('Raw lists'!$B$2:$B$627,MATCH(O81,'Raw lists'!$B$2:$B$627,0))&amp;" | ",""))&amp;IF(P81="","",IFERROR(INDEX('Raw lists'!$B$2:$B$627,MATCH(P81,'Raw lists'!$B$2:$B$627,0))&amp;" | ","")))=0,"",LEFT(IF(K81="","",IFERROR(INDEX('Raw lists'!$B$2:$B$627,MATCH(K81,'Raw lists'!$B$2:$B$627,0))&amp;" | ",""))&amp;IF(L81="","",IFERROR(INDEX('Raw lists'!$B$2:$B$627,MATCH(L81,'Raw lists'!$B$2:$B$627,0))&amp;" | ",""))&amp;IF(M81="","",IFERROR(INDEX('Raw lists'!$B$2:$B$627,MATCH(M81,'Raw lists'!$B$2:$B$627,0))&amp;" | ",""))&amp;IF(N81="","",IFERROR(INDEX('Raw lists'!$B$2:$B$627,MATCH(N81,'Raw lists'!$B$2:$B$627,0))&amp;" | ",""))&amp;IF(O81="","",IFERROR(INDEX('Raw lists'!$B$2:$B$627,MATCH(O81,'Raw lists'!$B$2:$B$627,0))&amp;" | ",""))&amp;IF(P81="","",IFERROR(INDEX('Raw lists'!$B$2:$B$627,MATCH(P81,'Raw lists'!$B$2:$B$627,0))&amp;" | ","")),LEN(IF(K81="","",IFERROR(INDEX('Raw lists'!$B$2:$B$627,MATCH(K81,'Raw lists'!$B$2:$B$627,0))&amp;" | ",""))&amp;IF(L81="","",IFERROR(INDEX('Raw lists'!$B$2:$B$627,MATCH(L81,'Raw lists'!$B$2:$B$627,0))&amp;" | ",""))&amp;IF(M81="","",IFERROR(INDEX('Raw lists'!$B$2:$B$627,MATCH(M81,'Raw lists'!$B$2:$B$627,0))&amp;" | ",""))&amp;IF(N81="","",IFERROR(INDEX('Raw lists'!$B$2:$B$627,MATCH(N81,'Raw lists'!$B$2:$B$627,0))&amp;" | ",""))&amp;IF(O81="","",IFERROR(INDEX('Raw lists'!$B$2:$B$627,MATCH(O81,'Raw lists'!$B$2:$B$627,0))&amp;" | ",""))&amp;IF(P81="","",IFERROR(INDEX('Raw lists'!$B$2:$B$627,MATCH(P81,'Raw lists'!$B$2:$B$627,0))&amp;" | ","")))-3))</f>
        <v/>
      </c>
      <c r="E81" s="30" t="str">
        <f>IF(LEN(IF(K81="","",IFERROR(INDEX('Raw lists'!$C$2:$C$616,MATCH(K81,'Raw lists'!$C$2:$C$616,0))&amp;" | ",""))&amp;IF(L81="","",IFERROR(INDEX('Raw lists'!$C$2:$C$616,MATCH(L81,'Raw lists'!$C$2:$C$616,0))&amp;" | ",""))&amp;IF(M81="","",IFERROR(INDEX('Raw lists'!$C$2:$C$616,MATCH(M81,'Raw lists'!$C$2:$C$616,0))&amp;" | ",""))&amp;IF(N81="","",IFERROR(INDEX('Raw lists'!$C$2:$C$616,MATCH(N81,'Raw lists'!$C$2:$C$616,0))&amp;" | ",""))&amp;IF(O81="","",IFERROR(INDEX('Raw lists'!$C$2:$C$616,MATCH(O81,'Raw lists'!$C$2:$C$616,0))&amp;" | ",""))&amp;IF(P81="","",IFERROR(INDEX('Raw lists'!$C$2:$C$616,MATCH(P81,'Raw lists'!$C$2:$C$616,0))&amp;" | ","")))=0,"",LEFT(IF(K81="","",IFERROR(INDEX('Raw lists'!$C$2:$C$616,MATCH(K81,'Raw lists'!$C$2:$C$616,0))&amp;" | ",""))&amp;IF(L81="","",IFERROR(INDEX('Raw lists'!$C$2:$C$616,MATCH(L81,'Raw lists'!$C$2:$C$616,0))&amp;" | ",""))&amp;IF(M81="","",IFERROR(INDEX('Raw lists'!$C$2:$C$616,MATCH(M81,'Raw lists'!$C$2:$C$616,0))&amp;" | ",""))&amp;IF(N81="","",IFERROR(INDEX('Raw lists'!$C$2:$C$616,MATCH(N81,'Raw lists'!$C$2:$C$616,0))&amp;" | ",""))&amp;IF(O81="","",IFERROR(INDEX('Raw lists'!$C$2:$C$616,MATCH(O81,'Raw lists'!$C$2:$C$616,0))&amp;" | ",""))&amp;IF(P81="","",IFERROR(INDEX('Raw lists'!$C$2:$C$616,MATCH(P81,'Raw lists'!$C$2:$C$616,0))&amp;" | ","")),LEN(IF(K81="","",IFERROR(INDEX('Raw lists'!$C$2:$C$616,MATCH(K81,'Raw lists'!$C$2:$C$616,0))&amp;" | ",""))&amp;IF(L81="","",IFERROR(INDEX('Raw lists'!$C$2:$C$616,MATCH(L81,'Raw lists'!$C$2:$C$616,0))&amp;" | ",""))&amp;IF(M81="","",IFERROR(INDEX('Raw lists'!$C$2:$C$616,MATCH(M81,'Raw lists'!$C$2:$C$616,0))&amp;" | ",""))&amp;IF(N81="","",IFERROR(INDEX('Raw lists'!$C$2:$C$616,MATCH(N81,'Raw lists'!$C$2:$C$616,0))&amp;" | ",""))&amp;IF(O81="","",IFERROR(INDEX('Raw lists'!$C$2:$C$616,MATCH(O81,'Raw lists'!$C$2:$C$616,0))&amp;" | ",""))&amp;IF(P81="","",IFERROR(INDEX('Raw lists'!$C$2:$C$616,MATCH(P81,'Raw lists'!$C$2:$C$616,0))&amp;" | ","")))-3))</f>
        <v/>
      </c>
      <c r="F81" s="28" t="s">
        <v>17</v>
      </c>
      <c r="G81" s="30" t="s">
        <v>336</v>
      </c>
      <c r="H81" s="28">
        <f t="shared" si="2"/>
        <v>0</v>
      </c>
      <c r="I81" s="31" t="str">
        <f t="shared" si="3"/>
        <v>None</v>
      </c>
      <c r="K81" s="32" t="s">
        <v>337</v>
      </c>
      <c r="L81" s="32" t="s">
        <v>338</v>
      </c>
      <c r="M81" s="32"/>
      <c r="N81" s="32"/>
      <c r="O81" s="32"/>
      <c r="P81" s="32"/>
    </row>
    <row r="82" spans="1:16" ht="39.6" x14ac:dyDescent="0.3">
      <c r="A82" s="28">
        <v>81</v>
      </c>
      <c r="B82" s="29" t="s">
        <v>339</v>
      </c>
      <c r="C82" s="30" t="str">
        <f>IF(LEN(IF(K82="","",IFERROR(INDEX('Raw lists'!$A$2:$A$192,MATCH(K82,'Raw lists'!$A$2:$A$192,0))&amp;" | ",""))&amp;IF(L82="","",IFERROR(INDEX('Raw lists'!$A$2:$A$192,MATCH(L82,'Raw lists'!$A$2:$A$192,0))&amp;" | ",""))&amp;IF(M82="","",IFERROR(INDEX('Raw lists'!$A$2:$A$192,MATCH(M82,'Raw lists'!$A$2:$A$192,0))&amp;" | ",""))&amp;IF(N82="","",IFERROR(INDEX('Raw lists'!$A$2:$A$192,MATCH(N82,'Raw lists'!$A$2:$A$192,0))&amp;" | ",""))&amp;IF(O82="","",IFERROR(INDEX('Raw lists'!$A$2:$A$192,MATCH(O82,'Raw lists'!$A$2:$A$192,0))&amp;" | ",""))&amp;IF(P82="","",IFERROR(INDEX('Raw lists'!$A$2:$A$192,MATCH(P82,'Raw lists'!$A$2:$A$192,0))&amp;" | ","")))=0,"",LEFT(IF(K82="","",IFERROR(INDEX('Raw lists'!$A$2:$A$192,MATCH(K82,'Raw lists'!$A$2:$A$192,0))&amp;" | ",""))&amp;IF(L82="","",IFERROR(INDEX('Raw lists'!$A$2:$A$192,MATCH(L82,'Raw lists'!$A$2:$A$192,0))&amp;" | ",""))&amp;IF(M82="","",IFERROR(INDEX('Raw lists'!$A$2:$A$192,MATCH(M82,'Raw lists'!$A$2:$A$192,0))&amp;" | ",""))&amp;IF(N82="","",IFERROR(INDEX('Raw lists'!$A$2:$A$192,MATCH(N82,'Raw lists'!$A$2:$A$192,0))&amp;" | ",""))&amp;IF(O82="","",IFERROR(INDEX('Raw lists'!$A$2:$A$192,MATCH(O82,'Raw lists'!$A$2:$A$192,0))&amp;" | ",""))&amp;IF(P82="","",IFERROR(INDEX('Raw lists'!$A$2:$A$192,MATCH(P82,'Raw lists'!$A$2:$A$192,0))&amp;" | ","")),LEN(IF(K82="","",IFERROR(INDEX('Raw lists'!$A$2:$A$192,MATCH(K82,'Raw lists'!$A$2:$A$192,0))&amp;" | ",""))&amp;IF(L82="","",IFERROR(INDEX('Raw lists'!$A$2:$A$192,MATCH(L82,'Raw lists'!$A$2:$A$192,0))&amp;" | ",""))&amp;IF(M82="","",IFERROR(INDEX('Raw lists'!$A$2:$A$192,MATCH(M82,'Raw lists'!$A$2:$A$192,0))&amp;" | ",""))&amp;IF(N82="","",IFERROR(INDEX('Raw lists'!$A$2:$A$192,MATCH(N82,'Raw lists'!$A$2:$A$192,0))&amp;" | ",""))&amp;IF(O82="","",IFERROR(INDEX('Raw lists'!$A$2:$A$192,MATCH(O82,'Raw lists'!$A$2:$A$192,0))&amp;" | ",""))&amp;IF(P82="","",IFERROR(INDEX('Raw lists'!$A$2:$A$192,MATCH(P82,'Raw lists'!$A$2:$A$192,0))&amp;" | ","")))-3))</f>
        <v>Semiconductor Laser | Semiconductor Diode Laser | A Semiconductor Diode Laser</v>
      </c>
      <c r="D82" s="30" t="str">
        <f>IF(LEN(IF(K82="","",IFERROR(INDEX('Raw lists'!$B$2:$B$627,MATCH(K82,'Raw lists'!$B$2:$B$627,0))&amp;" | ",""))&amp;IF(L82="","",IFERROR(INDEX('Raw lists'!$B$2:$B$627,MATCH(L82,'Raw lists'!$B$2:$B$627,0))&amp;" | ",""))&amp;IF(M82="","",IFERROR(INDEX('Raw lists'!$B$2:$B$627,MATCH(M82,'Raw lists'!$B$2:$B$627,0))&amp;" | ",""))&amp;IF(N82="","",IFERROR(INDEX('Raw lists'!$B$2:$B$627,MATCH(N82,'Raw lists'!$B$2:$B$627,0))&amp;" | ",""))&amp;IF(O82="","",IFERROR(INDEX('Raw lists'!$B$2:$B$627,MATCH(O82,'Raw lists'!$B$2:$B$627,0))&amp;" | ",""))&amp;IF(P82="","",IFERROR(INDEX('Raw lists'!$B$2:$B$627,MATCH(P82,'Raw lists'!$B$2:$B$627,0))&amp;" | ","")))=0,"",LEFT(IF(K82="","",IFERROR(INDEX('Raw lists'!$B$2:$B$627,MATCH(K82,'Raw lists'!$B$2:$B$627,0))&amp;" | ",""))&amp;IF(L82="","",IFERROR(INDEX('Raw lists'!$B$2:$B$627,MATCH(L82,'Raw lists'!$B$2:$B$627,0))&amp;" | ",""))&amp;IF(M82="","",IFERROR(INDEX('Raw lists'!$B$2:$B$627,MATCH(M82,'Raw lists'!$B$2:$B$627,0))&amp;" | ",""))&amp;IF(N82="","",IFERROR(INDEX('Raw lists'!$B$2:$B$627,MATCH(N82,'Raw lists'!$B$2:$B$627,0))&amp;" | ",""))&amp;IF(O82="","",IFERROR(INDEX('Raw lists'!$B$2:$B$627,MATCH(O82,'Raw lists'!$B$2:$B$627,0))&amp;" | ",""))&amp;IF(P82="","",IFERROR(INDEX('Raw lists'!$B$2:$B$627,MATCH(P82,'Raw lists'!$B$2:$B$627,0))&amp;" | ","")),LEN(IF(K82="","",IFERROR(INDEX('Raw lists'!$B$2:$B$627,MATCH(K82,'Raw lists'!$B$2:$B$627,0))&amp;" | ",""))&amp;IF(L82="","",IFERROR(INDEX('Raw lists'!$B$2:$B$627,MATCH(L82,'Raw lists'!$B$2:$B$627,0))&amp;" | ",""))&amp;IF(M82="","",IFERROR(INDEX('Raw lists'!$B$2:$B$627,MATCH(M82,'Raw lists'!$B$2:$B$627,0))&amp;" | ",""))&amp;IF(N82="","",IFERROR(INDEX('Raw lists'!$B$2:$B$627,MATCH(N82,'Raw lists'!$B$2:$B$627,0))&amp;" | ",""))&amp;IF(O82="","",IFERROR(INDEX('Raw lists'!$B$2:$B$627,MATCH(O82,'Raw lists'!$B$2:$B$627,0))&amp;" | ",""))&amp;IF(P82="","",IFERROR(INDEX('Raw lists'!$B$2:$B$627,MATCH(P82,'Raw lists'!$B$2:$B$627,0))&amp;" | ","")))-3))</f>
        <v>Semiconductor Laser | Semiconductor Diode Laser | Diode Laser | Laser Diode</v>
      </c>
      <c r="E82" s="30" t="str">
        <f>IF(LEN(IF(K82="","",IFERROR(INDEX('Raw lists'!$C$2:$C$616,MATCH(K82,'Raw lists'!$C$2:$C$616,0))&amp;" | ",""))&amp;IF(L82="","",IFERROR(INDEX('Raw lists'!$C$2:$C$616,MATCH(L82,'Raw lists'!$C$2:$C$616,0))&amp;" | ",""))&amp;IF(M82="","",IFERROR(INDEX('Raw lists'!$C$2:$C$616,MATCH(M82,'Raw lists'!$C$2:$C$616,0))&amp;" | ",""))&amp;IF(N82="","",IFERROR(INDEX('Raw lists'!$C$2:$C$616,MATCH(N82,'Raw lists'!$C$2:$C$616,0))&amp;" | ",""))&amp;IF(O82="","",IFERROR(INDEX('Raw lists'!$C$2:$C$616,MATCH(O82,'Raw lists'!$C$2:$C$616,0))&amp;" | ",""))&amp;IF(P82="","",IFERROR(INDEX('Raw lists'!$C$2:$C$616,MATCH(P82,'Raw lists'!$C$2:$C$616,0))&amp;" | ","")))=0,"",LEFT(IF(K82="","",IFERROR(INDEX('Raw lists'!$C$2:$C$616,MATCH(K82,'Raw lists'!$C$2:$C$616,0))&amp;" | ",""))&amp;IF(L82="","",IFERROR(INDEX('Raw lists'!$C$2:$C$616,MATCH(L82,'Raw lists'!$C$2:$C$616,0))&amp;" | ",""))&amp;IF(M82="","",IFERROR(INDEX('Raw lists'!$C$2:$C$616,MATCH(M82,'Raw lists'!$C$2:$C$616,0))&amp;" | ",""))&amp;IF(N82="","",IFERROR(INDEX('Raw lists'!$C$2:$C$616,MATCH(N82,'Raw lists'!$C$2:$C$616,0))&amp;" | ",""))&amp;IF(O82="","",IFERROR(INDEX('Raw lists'!$C$2:$C$616,MATCH(O82,'Raw lists'!$C$2:$C$616,0))&amp;" | ",""))&amp;IF(P82="","",IFERROR(INDEX('Raw lists'!$C$2:$C$616,MATCH(P82,'Raw lists'!$C$2:$C$616,0))&amp;" | ","")),LEN(IF(K82="","",IFERROR(INDEX('Raw lists'!$C$2:$C$616,MATCH(K82,'Raw lists'!$C$2:$C$616,0))&amp;" | ",""))&amp;IF(L82="","",IFERROR(INDEX('Raw lists'!$C$2:$C$616,MATCH(L82,'Raw lists'!$C$2:$C$616,0))&amp;" | ",""))&amp;IF(M82="","",IFERROR(INDEX('Raw lists'!$C$2:$C$616,MATCH(M82,'Raw lists'!$C$2:$C$616,0))&amp;" | ",""))&amp;IF(N82="","",IFERROR(INDEX('Raw lists'!$C$2:$C$616,MATCH(N82,'Raw lists'!$C$2:$C$616,0))&amp;" | ",""))&amp;IF(O82="","",IFERROR(INDEX('Raw lists'!$C$2:$C$616,MATCH(O82,'Raw lists'!$C$2:$C$616,0))&amp;" | ",""))&amp;IF(P82="","",IFERROR(INDEX('Raw lists'!$C$2:$C$616,MATCH(P82,'Raw lists'!$C$2:$C$616,0))&amp;" | ","")))-3))</f>
        <v>Semiconductor Laser | Semiconductor Diode Laser | Diode Laser | Laser Diode</v>
      </c>
      <c r="F82" s="28" t="s">
        <v>17</v>
      </c>
      <c r="G82" s="30" t="s">
        <v>340</v>
      </c>
      <c r="H82" s="28">
        <f t="shared" si="2"/>
        <v>3</v>
      </c>
      <c r="I82" s="31" t="str">
        <f t="shared" si="3"/>
        <v>All three</v>
      </c>
      <c r="K82" s="32" t="s">
        <v>341</v>
      </c>
      <c r="L82" s="32" t="s">
        <v>342</v>
      </c>
      <c r="M82" s="32" t="s">
        <v>343</v>
      </c>
      <c r="N82" s="32" t="s">
        <v>344</v>
      </c>
      <c r="O82" s="32" t="s">
        <v>345</v>
      </c>
      <c r="P82" s="32" t="s">
        <v>346</v>
      </c>
    </row>
    <row r="83" spans="1:16" x14ac:dyDescent="0.3">
      <c r="A83" s="28">
        <v>82</v>
      </c>
      <c r="B83" s="29" t="s">
        <v>347</v>
      </c>
      <c r="C83" s="30" t="str">
        <f>IF(LEN(IF(K83="","",IFERROR(INDEX('Raw lists'!$A$2:$A$192,MATCH(K83,'Raw lists'!$A$2:$A$192,0))&amp;" | ",""))&amp;IF(L83="","",IFERROR(INDEX('Raw lists'!$A$2:$A$192,MATCH(L83,'Raw lists'!$A$2:$A$192,0))&amp;" | ",""))&amp;IF(M83="","",IFERROR(INDEX('Raw lists'!$A$2:$A$192,MATCH(M83,'Raw lists'!$A$2:$A$192,0))&amp;" | ",""))&amp;IF(N83="","",IFERROR(INDEX('Raw lists'!$A$2:$A$192,MATCH(N83,'Raw lists'!$A$2:$A$192,0))&amp;" | ",""))&amp;IF(O83="","",IFERROR(INDEX('Raw lists'!$A$2:$A$192,MATCH(O83,'Raw lists'!$A$2:$A$192,0))&amp;" | ",""))&amp;IF(P83="","",IFERROR(INDEX('Raw lists'!$A$2:$A$192,MATCH(P83,'Raw lists'!$A$2:$A$192,0))&amp;" | ","")))=0,"",LEFT(IF(K83="","",IFERROR(INDEX('Raw lists'!$A$2:$A$192,MATCH(K83,'Raw lists'!$A$2:$A$192,0))&amp;" | ",""))&amp;IF(L83="","",IFERROR(INDEX('Raw lists'!$A$2:$A$192,MATCH(L83,'Raw lists'!$A$2:$A$192,0))&amp;" | ",""))&amp;IF(M83="","",IFERROR(INDEX('Raw lists'!$A$2:$A$192,MATCH(M83,'Raw lists'!$A$2:$A$192,0))&amp;" | ",""))&amp;IF(N83="","",IFERROR(INDEX('Raw lists'!$A$2:$A$192,MATCH(N83,'Raw lists'!$A$2:$A$192,0))&amp;" | ",""))&amp;IF(O83="","",IFERROR(INDEX('Raw lists'!$A$2:$A$192,MATCH(O83,'Raw lists'!$A$2:$A$192,0))&amp;" | ",""))&amp;IF(P83="","",IFERROR(INDEX('Raw lists'!$A$2:$A$192,MATCH(P83,'Raw lists'!$A$2:$A$192,0))&amp;" | ","")),LEN(IF(K83="","",IFERROR(INDEX('Raw lists'!$A$2:$A$192,MATCH(K83,'Raw lists'!$A$2:$A$192,0))&amp;" | ",""))&amp;IF(L83="","",IFERROR(INDEX('Raw lists'!$A$2:$A$192,MATCH(L83,'Raw lists'!$A$2:$A$192,0))&amp;" | ",""))&amp;IF(M83="","",IFERROR(INDEX('Raw lists'!$A$2:$A$192,MATCH(M83,'Raw lists'!$A$2:$A$192,0))&amp;" | ",""))&amp;IF(N83="","",IFERROR(INDEX('Raw lists'!$A$2:$A$192,MATCH(N83,'Raw lists'!$A$2:$A$192,0))&amp;" | ",""))&amp;IF(O83="","",IFERROR(INDEX('Raw lists'!$A$2:$A$192,MATCH(O83,'Raw lists'!$A$2:$A$192,0))&amp;" | ",""))&amp;IF(P83="","",IFERROR(INDEX('Raw lists'!$A$2:$A$192,MATCH(P83,'Raw lists'!$A$2:$A$192,0))&amp;" | ","")))-3))</f>
        <v/>
      </c>
      <c r="D83" s="30" t="str">
        <f>IF(LEN(IF(K83="","",IFERROR(INDEX('Raw lists'!$B$2:$B$627,MATCH(K83,'Raw lists'!$B$2:$B$627,0))&amp;" | ",""))&amp;IF(L83="","",IFERROR(INDEX('Raw lists'!$B$2:$B$627,MATCH(L83,'Raw lists'!$B$2:$B$627,0))&amp;" | ",""))&amp;IF(M83="","",IFERROR(INDEX('Raw lists'!$B$2:$B$627,MATCH(M83,'Raw lists'!$B$2:$B$627,0))&amp;" | ",""))&amp;IF(N83="","",IFERROR(INDEX('Raw lists'!$B$2:$B$627,MATCH(N83,'Raw lists'!$B$2:$B$627,0))&amp;" | ",""))&amp;IF(O83="","",IFERROR(INDEX('Raw lists'!$B$2:$B$627,MATCH(O83,'Raw lists'!$B$2:$B$627,0))&amp;" | ",""))&amp;IF(P83="","",IFERROR(INDEX('Raw lists'!$B$2:$B$627,MATCH(P83,'Raw lists'!$B$2:$B$627,0))&amp;" | ","")))=0,"",LEFT(IF(K83="","",IFERROR(INDEX('Raw lists'!$B$2:$B$627,MATCH(K83,'Raw lists'!$B$2:$B$627,0))&amp;" | ",""))&amp;IF(L83="","",IFERROR(INDEX('Raw lists'!$B$2:$B$627,MATCH(L83,'Raw lists'!$B$2:$B$627,0))&amp;" | ",""))&amp;IF(M83="","",IFERROR(INDEX('Raw lists'!$B$2:$B$627,MATCH(M83,'Raw lists'!$B$2:$B$627,0))&amp;" | ",""))&amp;IF(N83="","",IFERROR(INDEX('Raw lists'!$B$2:$B$627,MATCH(N83,'Raw lists'!$B$2:$B$627,0))&amp;" | ",""))&amp;IF(O83="","",IFERROR(INDEX('Raw lists'!$B$2:$B$627,MATCH(O83,'Raw lists'!$B$2:$B$627,0))&amp;" | ",""))&amp;IF(P83="","",IFERROR(INDEX('Raw lists'!$B$2:$B$627,MATCH(P83,'Raw lists'!$B$2:$B$627,0))&amp;" | ","")),LEN(IF(K83="","",IFERROR(INDEX('Raw lists'!$B$2:$B$627,MATCH(K83,'Raw lists'!$B$2:$B$627,0))&amp;" | ",""))&amp;IF(L83="","",IFERROR(INDEX('Raw lists'!$B$2:$B$627,MATCH(L83,'Raw lists'!$B$2:$B$627,0))&amp;" | ",""))&amp;IF(M83="","",IFERROR(INDEX('Raw lists'!$B$2:$B$627,MATCH(M83,'Raw lists'!$B$2:$B$627,0))&amp;" | ",""))&amp;IF(N83="","",IFERROR(INDEX('Raw lists'!$B$2:$B$627,MATCH(N83,'Raw lists'!$B$2:$B$627,0))&amp;" | ",""))&amp;IF(O83="","",IFERROR(INDEX('Raw lists'!$B$2:$B$627,MATCH(O83,'Raw lists'!$B$2:$B$627,0))&amp;" | ",""))&amp;IF(P83="","",IFERROR(INDEX('Raw lists'!$B$2:$B$627,MATCH(P83,'Raw lists'!$B$2:$B$627,0))&amp;" | ","")))-3))</f>
        <v/>
      </c>
      <c r="E83" s="30" t="str">
        <f>IF(LEN(IF(K83="","",IFERROR(INDEX('Raw lists'!$C$2:$C$616,MATCH(K83,'Raw lists'!$C$2:$C$616,0))&amp;" | ",""))&amp;IF(L83="","",IFERROR(INDEX('Raw lists'!$C$2:$C$616,MATCH(L83,'Raw lists'!$C$2:$C$616,0))&amp;" | ",""))&amp;IF(M83="","",IFERROR(INDEX('Raw lists'!$C$2:$C$616,MATCH(M83,'Raw lists'!$C$2:$C$616,0))&amp;" | ",""))&amp;IF(N83="","",IFERROR(INDEX('Raw lists'!$C$2:$C$616,MATCH(N83,'Raw lists'!$C$2:$C$616,0))&amp;" | ",""))&amp;IF(O83="","",IFERROR(INDEX('Raw lists'!$C$2:$C$616,MATCH(O83,'Raw lists'!$C$2:$C$616,0))&amp;" | ",""))&amp;IF(P83="","",IFERROR(INDEX('Raw lists'!$C$2:$C$616,MATCH(P83,'Raw lists'!$C$2:$C$616,0))&amp;" | ","")))=0,"",LEFT(IF(K83="","",IFERROR(INDEX('Raw lists'!$C$2:$C$616,MATCH(K83,'Raw lists'!$C$2:$C$616,0))&amp;" | ",""))&amp;IF(L83="","",IFERROR(INDEX('Raw lists'!$C$2:$C$616,MATCH(L83,'Raw lists'!$C$2:$C$616,0))&amp;" | ",""))&amp;IF(M83="","",IFERROR(INDEX('Raw lists'!$C$2:$C$616,MATCH(M83,'Raw lists'!$C$2:$C$616,0))&amp;" | ",""))&amp;IF(N83="","",IFERROR(INDEX('Raw lists'!$C$2:$C$616,MATCH(N83,'Raw lists'!$C$2:$C$616,0))&amp;" | ",""))&amp;IF(O83="","",IFERROR(INDEX('Raw lists'!$C$2:$C$616,MATCH(O83,'Raw lists'!$C$2:$C$616,0))&amp;" | ",""))&amp;IF(P83="","",IFERROR(INDEX('Raw lists'!$C$2:$C$616,MATCH(P83,'Raw lists'!$C$2:$C$616,0))&amp;" | ","")),LEN(IF(K83="","",IFERROR(INDEX('Raw lists'!$C$2:$C$616,MATCH(K83,'Raw lists'!$C$2:$C$616,0))&amp;" | ",""))&amp;IF(L83="","",IFERROR(INDEX('Raw lists'!$C$2:$C$616,MATCH(L83,'Raw lists'!$C$2:$C$616,0))&amp;" | ",""))&amp;IF(M83="","",IFERROR(INDEX('Raw lists'!$C$2:$C$616,MATCH(M83,'Raw lists'!$C$2:$C$616,0))&amp;" | ",""))&amp;IF(N83="","",IFERROR(INDEX('Raw lists'!$C$2:$C$616,MATCH(N83,'Raw lists'!$C$2:$C$616,0))&amp;" | ",""))&amp;IF(O83="","",IFERROR(INDEX('Raw lists'!$C$2:$C$616,MATCH(O83,'Raw lists'!$C$2:$C$616,0))&amp;" | ",""))&amp;IF(P83="","",IFERROR(INDEX('Raw lists'!$C$2:$C$616,MATCH(P83,'Raw lists'!$C$2:$C$616,0))&amp;" | ","")))-3))</f>
        <v/>
      </c>
      <c r="F83" s="28" t="s">
        <v>17</v>
      </c>
      <c r="G83" s="30" t="s">
        <v>348</v>
      </c>
      <c r="H83" s="28">
        <f t="shared" si="2"/>
        <v>0</v>
      </c>
      <c r="I83" s="31" t="str">
        <f t="shared" si="3"/>
        <v>None</v>
      </c>
      <c r="K83" s="32" t="s">
        <v>349</v>
      </c>
      <c r="L83" s="32" t="s">
        <v>350</v>
      </c>
      <c r="M83" s="32"/>
      <c r="N83" s="32"/>
      <c r="O83" s="32"/>
      <c r="P83" s="32"/>
    </row>
    <row r="84" spans="1:16" x14ac:dyDescent="0.3">
      <c r="A84" s="28">
        <v>83</v>
      </c>
      <c r="B84" s="29" t="s">
        <v>351</v>
      </c>
      <c r="C84" s="30" t="str">
        <f>IF(LEN(IF(K84="","",IFERROR(INDEX('Raw lists'!$A$2:$A$192,MATCH(K84,'Raw lists'!$A$2:$A$192,0))&amp;" | ",""))&amp;IF(L84="","",IFERROR(INDEX('Raw lists'!$A$2:$A$192,MATCH(L84,'Raw lists'!$A$2:$A$192,0))&amp;" | ",""))&amp;IF(M84="","",IFERROR(INDEX('Raw lists'!$A$2:$A$192,MATCH(M84,'Raw lists'!$A$2:$A$192,0))&amp;" | ",""))&amp;IF(N84="","",IFERROR(INDEX('Raw lists'!$A$2:$A$192,MATCH(N84,'Raw lists'!$A$2:$A$192,0))&amp;" | ",""))&amp;IF(O84="","",IFERROR(INDEX('Raw lists'!$A$2:$A$192,MATCH(O84,'Raw lists'!$A$2:$A$192,0))&amp;" | ",""))&amp;IF(P84="","",IFERROR(INDEX('Raw lists'!$A$2:$A$192,MATCH(P84,'Raw lists'!$A$2:$A$192,0))&amp;" | ","")))=0,"",LEFT(IF(K84="","",IFERROR(INDEX('Raw lists'!$A$2:$A$192,MATCH(K84,'Raw lists'!$A$2:$A$192,0))&amp;" | ",""))&amp;IF(L84="","",IFERROR(INDEX('Raw lists'!$A$2:$A$192,MATCH(L84,'Raw lists'!$A$2:$A$192,0))&amp;" | ",""))&amp;IF(M84="","",IFERROR(INDEX('Raw lists'!$A$2:$A$192,MATCH(M84,'Raw lists'!$A$2:$A$192,0))&amp;" | ",""))&amp;IF(N84="","",IFERROR(INDEX('Raw lists'!$A$2:$A$192,MATCH(N84,'Raw lists'!$A$2:$A$192,0))&amp;" | ",""))&amp;IF(O84="","",IFERROR(INDEX('Raw lists'!$A$2:$A$192,MATCH(O84,'Raw lists'!$A$2:$A$192,0))&amp;" | ",""))&amp;IF(P84="","",IFERROR(INDEX('Raw lists'!$A$2:$A$192,MATCH(P84,'Raw lists'!$A$2:$A$192,0))&amp;" | ","")),LEN(IF(K84="","",IFERROR(INDEX('Raw lists'!$A$2:$A$192,MATCH(K84,'Raw lists'!$A$2:$A$192,0))&amp;" | ",""))&amp;IF(L84="","",IFERROR(INDEX('Raw lists'!$A$2:$A$192,MATCH(L84,'Raw lists'!$A$2:$A$192,0))&amp;" | ",""))&amp;IF(M84="","",IFERROR(INDEX('Raw lists'!$A$2:$A$192,MATCH(M84,'Raw lists'!$A$2:$A$192,0))&amp;" | ",""))&amp;IF(N84="","",IFERROR(INDEX('Raw lists'!$A$2:$A$192,MATCH(N84,'Raw lists'!$A$2:$A$192,0))&amp;" | ",""))&amp;IF(O84="","",IFERROR(INDEX('Raw lists'!$A$2:$A$192,MATCH(O84,'Raw lists'!$A$2:$A$192,0))&amp;" | ",""))&amp;IF(P84="","",IFERROR(INDEX('Raw lists'!$A$2:$A$192,MATCH(P84,'Raw lists'!$A$2:$A$192,0))&amp;" | ","")))-3))</f>
        <v/>
      </c>
      <c r="D84" s="30" t="str">
        <f>IF(LEN(IF(K84="","",IFERROR(INDEX('Raw lists'!$B$2:$B$627,MATCH(K84,'Raw lists'!$B$2:$B$627,0))&amp;" | ",""))&amp;IF(L84="","",IFERROR(INDEX('Raw lists'!$B$2:$B$627,MATCH(L84,'Raw lists'!$B$2:$B$627,0))&amp;" | ",""))&amp;IF(M84="","",IFERROR(INDEX('Raw lists'!$B$2:$B$627,MATCH(M84,'Raw lists'!$B$2:$B$627,0))&amp;" | ",""))&amp;IF(N84="","",IFERROR(INDEX('Raw lists'!$B$2:$B$627,MATCH(N84,'Raw lists'!$B$2:$B$627,0))&amp;" | ",""))&amp;IF(O84="","",IFERROR(INDEX('Raw lists'!$B$2:$B$627,MATCH(O84,'Raw lists'!$B$2:$B$627,0))&amp;" | ",""))&amp;IF(P84="","",IFERROR(INDEX('Raw lists'!$B$2:$B$627,MATCH(P84,'Raw lists'!$B$2:$B$627,0))&amp;" | ","")))=0,"",LEFT(IF(K84="","",IFERROR(INDEX('Raw lists'!$B$2:$B$627,MATCH(K84,'Raw lists'!$B$2:$B$627,0))&amp;" | ",""))&amp;IF(L84="","",IFERROR(INDEX('Raw lists'!$B$2:$B$627,MATCH(L84,'Raw lists'!$B$2:$B$627,0))&amp;" | ",""))&amp;IF(M84="","",IFERROR(INDEX('Raw lists'!$B$2:$B$627,MATCH(M84,'Raw lists'!$B$2:$B$627,0))&amp;" | ",""))&amp;IF(N84="","",IFERROR(INDEX('Raw lists'!$B$2:$B$627,MATCH(N84,'Raw lists'!$B$2:$B$627,0))&amp;" | ",""))&amp;IF(O84="","",IFERROR(INDEX('Raw lists'!$B$2:$B$627,MATCH(O84,'Raw lists'!$B$2:$B$627,0))&amp;" | ",""))&amp;IF(P84="","",IFERROR(INDEX('Raw lists'!$B$2:$B$627,MATCH(P84,'Raw lists'!$B$2:$B$627,0))&amp;" | ","")),LEN(IF(K84="","",IFERROR(INDEX('Raw lists'!$B$2:$B$627,MATCH(K84,'Raw lists'!$B$2:$B$627,0))&amp;" | ",""))&amp;IF(L84="","",IFERROR(INDEX('Raw lists'!$B$2:$B$627,MATCH(L84,'Raw lists'!$B$2:$B$627,0))&amp;" | ",""))&amp;IF(M84="","",IFERROR(INDEX('Raw lists'!$B$2:$B$627,MATCH(M84,'Raw lists'!$B$2:$B$627,0))&amp;" | ",""))&amp;IF(N84="","",IFERROR(INDEX('Raw lists'!$B$2:$B$627,MATCH(N84,'Raw lists'!$B$2:$B$627,0))&amp;" | ",""))&amp;IF(O84="","",IFERROR(INDEX('Raw lists'!$B$2:$B$627,MATCH(O84,'Raw lists'!$B$2:$B$627,0))&amp;" | ",""))&amp;IF(P84="","",IFERROR(INDEX('Raw lists'!$B$2:$B$627,MATCH(P84,'Raw lists'!$B$2:$B$627,0))&amp;" | ","")))-3))</f>
        <v>Forward Bias</v>
      </c>
      <c r="E84" s="30" t="str">
        <f>IF(LEN(IF(K84="","",IFERROR(INDEX('Raw lists'!$C$2:$C$616,MATCH(K84,'Raw lists'!$C$2:$C$616,0))&amp;" | ",""))&amp;IF(L84="","",IFERROR(INDEX('Raw lists'!$C$2:$C$616,MATCH(L84,'Raw lists'!$C$2:$C$616,0))&amp;" | ",""))&amp;IF(M84="","",IFERROR(INDEX('Raw lists'!$C$2:$C$616,MATCH(M84,'Raw lists'!$C$2:$C$616,0))&amp;" | ",""))&amp;IF(N84="","",IFERROR(INDEX('Raw lists'!$C$2:$C$616,MATCH(N84,'Raw lists'!$C$2:$C$616,0))&amp;" | ",""))&amp;IF(O84="","",IFERROR(INDEX('Raw lists'!$C$2:$C$616,MATCH(O84,'Raw lists'!$C$2:$C$616,0))&amp;" | ",""))&amp;IF(P84="","",IFERROR(INDEX('Raw lists'!$C$2:$C$616,MATCH(P84,'Raw lists'!$C$2:$C$616,0))&amp;" | ","")))=0,"",LEFT(IF(K84="","",IFERROR(INDEX('Raw lists'!$C$2:$C$616,MATCH(K84,'Raw lists'!$C$2:$C$616,0))&amp;" | ",""))&amp;IF(L84="","",IFERROR(INDEX('Raw lists'!$C$2:$C$616,MATCH(L84,'Raw lists'!$C$2:$C$616,0))&amp;" | ",""))&amp;IF(M84="","",IFERROR(INDEX('Raw lists'!$C$2:$C$616,MATCH(M84,'Raw lists'!$C$2:$C$616,0))&amp;" | ",""))&amp;IF(N84="","",IFERROR(INDEX('Raw lists'!$C$2:$C$616,MATCH(N84,'Raw lists'!$C$2:$C$616,0))&amp;" | ",""))&amp;IF(O84="","",IFERROR(INDEX('Raw lists'!$C$2:$C$616,MATCH(O84,'Raw lists'!$C$2:$C$616,0))&amp;" | ",""))&amp;IF(P84="","",IFERROR(INDEX('Raw lists'!$C$2:$C$616,MATCH(P84,'Raw lists'!$C$2:$C$616,0))&amp;" | ","")),LEN(IF(K84="","",IFERROR(INDEX('Raw lists'!$C$2:$C$616,MATCH(K84,'Raw lists'!$C$2:$C$616,0))&amp;" | ",""))&amp;IF(L84="","",IFERROR(INDEX('Raw lists'!$C$2:$C$616,MATCH(L84,'Raw lists'!$C$2:$C$616,0))&amp;" | ",""))&amp;IF(M84="","",IFERROR(INDEX('Raw lists'!$C$2:$C$616,MATCH(M84,'Raw lists'!$C$2:$C$616,0))&amp;" | ",""))&amp;IF(N84="","",IFERROR(INDEX('Raw lists'!$C$2:$C$616,MATCH(N84,'Raw lists'!$C$2:$C$616,0))&amp;" | ",""))&amp;IF(O84="","",IFERROR(INDEX('Raw lists'!$C$2:$C$616,MATCH(O84,'Raw lists'!$C$2:$C$616,0))&amp;" | ",""))&amp;IF(P84="","",IFERROR(INDEX('Raw lists'!$C$2:$C$616,MATCH(P84,'Raw lists'!$C$2:$C$616,0))&amp;" | ","")))-3))</f>
        <v>Forward Bias | Forward Biased</v>
      </c>
      <c r="F84" s="28" t="s">
        <v>17</v>
      </c>
      <c r="G84" s="30" t="s">
        <v>352</v>
      </c>
      <c r="H84" s="28">
        <f t="shared" si="2"/>
        <v>2</v>
      </c>
      <c r="I84" s="31" t="str">
        <f t="shared" si="3"/>
        <v>RAKE + YAKE</v>
      </c>
      <c r="K84" s="32" t="s">
        <v>353</v>
      </c>
      <c r="L84" s="32" t="s">
        <v>354</v>
      </c>
      <c r="M84" s="32"/>
      <c r="N84" s="32"/>
      <c r="O84" s="32"/>
      <c r="P84" s="32"/>
    </row>
    <row r="85" spans="1:16" x14ac:dyDescent="0.3">
      <c r="A85" s="28">
        <v>84</v>
      </c>
      <c r="B85" s="29" t="s">
        <v>355</v>
      </c>
      <c r="C85" s="30" t="str">
        <f>IF(LEN(IF(K85="","",IFERROR(INDEX('Raw lists'!$A$2:$A$192,MATCH(K85,'Raw lists'!$A$2:$A$192,0))&amp;" | ",""))&amp;IF(L85="","",IFERROR(INDEX('Raw lists'!$A$2:$A$192,MATCH(L85,'Raw lists'!$A$2:$A$192,0))&amp;" | ",""))&amp;IF(M85="","",IFERROR(INDEX('Raw lists'!$A$2:$A$192,MATCH(M85,'Raw lists'!$A$2:$A$192,0))&amp;" | ",""))&amp;IF(N85="","",IFERROR(INDEX('Raw lists'!$A$2:$A$192,MATCH(N85,'Raw lists'!$A$2:$A$192,0))&amp;" | ",""))&amp;IF(O85="","",IFERROR(INDEX('Raw lists'!$A$2:$A$192,MATCH(O85,'Raw lists'!$A$2:$A$192,0))&amp;" | ",""))&amp;IF(P85="","",IFERROR(INDEX('Raw lists'!$A$2:$A$192,MATCH(P85,'Raw lists'!$A$2:$A$192,0))&amp;" | ","")))=0,"",LEFT(IF(K85="","",IFERROR(INDEX('Raw lists'!$A$2:$A$192,MATCH(K85,'Raw lists'!$A$2:$A$192,0))&amp;" | ",""))&amp;IF(L85="","",IFERROR(INDEX('Raw lists'!$A$2:$A$192,MATCH(L85,'Raw lists'!$A$2:$A$192,0))&amp;" | ",""))&amp;IF(M85="","",IFERROR(INDEX('Raw lists'!$A$2:$A$192,MATCH(M85,'Raw lists'!$A$2:$A$192,0))&amp;" | ",""))&amp;IF(N85="","",IFERROR(INDEX('Raw lists'!$A$2:$A$192,MATCH(N85,'Raw lists'!$A$2:$A$192,0))&amp;" | ",""))&amp;IF(O85="","",IFERROR(INDEX('Raw lists'!$A$2:$A$192,MATCH(O85,'Raw lists'!$A$2:$A$192,0))&amp;" | ",""))&amp;IF(P85="","",IFERROR(INDEX('Raw lists'!$A$2:$A$192,MATCH(P85,'Raw lists'!$A$2:$A$192,0))&amp;" | ","")),LEN(IF(K85="","",IFERROR(INDEX('Raw lists'!$A$2:$A$192,MATCH(K85,'Raw lists'!$A$2:$A$192,0))&amp;" | ",""))&amp;IF(L85="","",IFERROR(INDEX('Raw lists'!$A$2:$A$192,MATCH(L85,'Raw lists'!$A$2:$A$192,0))&amp;" | ",""))&amp;IF(M85="","",IFERROR(INDEX('Raw lists'!$A$2:$A$192,MATCH(M85,'Raw lists'!$A$2:$A$192,0))&amp;" | ",""))&amp;IF(N85="","",IFERROR(INDEX('Raw lists'!$A$2:$A$192,MATCH(N85,'Raw lists'!$A$2:$A$192,0))&amp;" | ",""))&amp;IF(O85="","",IFERROR(INDEX('Raw lists'!$A$2:$A$192,MATCH(O85,'Raw lists'!$A$2:$A$192,0))&amp;" | ",""))&amp;IF(P85="","",IFERROR(INDEX('Raw lists'!$A$2:$A$192,MATCH(P85,'Raw lists'!$A$2:$A$192,0))&amp;" | ","")))-3))</f>
        <v/>
      </c>
      <c r="D85" s="30" t="str">
        <f>IF(LEN(IF(K85="","",IFERROR(INDEX('Raw lists'!$B$2:$B$627,MATCH(K85,'Raw lists'!$B$2:$B$627,0))&amp;" | ",""))&amp;IF(L85="","",IFERROR(INDEX('Raw lists'!$B$2:$B$627,MATCH(L85,'Raw lists'!$B$2:$B$627,0))&amp;" | ",""))&amp;IF(M85="","",IFERROR(INDEX('Raw lists'!$B$2:$B$627,MATCH(M85,'Raw lists'!$B$2:$B$627,0))&amp;" | ",""))&amp;IF(N85="","",IFERROR(INDEX('Raw lists'!$B$2:$B$627,MATCH(N85,'Raw lists'!$B$2:$B$627,0))&amp;" | ",""))&amp;IF(O85="","",IFERROR(INDEX('Raw lists'!$B$2:$B$627,MATCH(O85,'Raw lists'!$B$2:$B$627,0))&amp;" | ",""))&amp;IF(P85="","",IFERROR(INDEX('Raw lists'!$B$2:$B$627,MATCH(P85,'Raw lists'!$B$2:$B$627,0))&amp;" | ","")))=0,"",LEFT(IF(K85="","",IFERROR(INDEX('Raw lists'!$B$2:$B$627,MATCH(K85,'Raw lists'!$B$2:$B$627,0))&amp;" | ",""))&amp;IF(L85="","",IFERROR(INDEX('Raw lists'!$B$2:$B$627,MATCH(L85,'Raw lists'!$B$2:$B$627,0))&amp;" | ",""))&amp;IF(M85="","",IFERROR(INDEX('Raw lists'!$B$2:$B$627,MATCH(M85,'Raw lists'!$B$2:$B$627,0))&amp;" | ",""))&amp;IF(N85="","",IFERROR(INDEX('Raw lists'!$B$2:$B$627,MATCH(N85,'Raw lists'!$B$2:$B$627,0))&amp;" | ",""))&amp;IF(O85="","",IFERROR(INDEX('Raw lists'!$B$2:$B$627,MATCH(O85,'Raw lists'!$B$2:$B$627,0))&amp;" | ",""))&amp;IF(P85="","",IFERROR(INDEX('Raw lists'!$B$2:$B$627,MATCH(P85,'Raw lists'!$B$2:$B$627,0))&amp;" | ","")),LEN(IF(K85="","",IFERROR(INDEX('Raw lists'!$B$2:$B$627,MATCH(K85,'Raw lists'!$B$2:$B$627,0))&amp;" | ",""))&amp;IF(L85="","",IFERROR(INDEX('Raw lists'!$B$2:$B$627,MATCH(L85,'Raw lists'!$B$2:$B$627,0))&amp;" | ",""))&amp;IF(M85="","",IFERROR(INDEX('Raw lists'!$B$2:$B$627,MATCH(M85,'Raw lists'!$B$2:$B$627,0))&amp;" | ",""))&amp;IF(N85="","",IFERROR(INDEX('Raw lists'!$B$2:$B$627,MATCH(N85,'Raw lists'!$B$2:$B$627,0))&amp;" | ",""))&amp;IF(O85="","",IFERROR(INDEX('Raw lists'!$B$2:$B$627,MATCH(O85,'Raw lists'!$B$2:$B$627,0))&amp;" | ",""))&amp;IF(P85="","",IFERROR(INDEX('Raw lists'!$B$2:$B$627,MATCH(P85,'Raw lists'!$B$2:$B$627,0))&amp;" | ","")))-3))</f>
        <v/>
      </c>
      <c r="E85" s="30" t="str">
        <f>IF(LEN(IF(K85="","",IFERROR(INDEX('Raw lists'!$C$2:$C$616,MATCH(K85,'Raw lists'!$C$2:$C$616,0))&amp;" | ",""))&amp;IF(L85="","",IFERROR(INDEX('Raw lists'!$C$2:$C$616,MATCH(L85,'Raw lists'!$C$2:$C$616,0))&amp;" | ",""))&amp;IF(M85="","",IFERROR(INDEX('Raw lists'!$C$2:$C$616,MATCH(M85,'Raw lists'!$C$2:$C$616,0))&amp;" | ",""))&amp;IF(N85="","",IFERROR(INDEX('Raw lists'!$C$2:$C$616,MATCH(N85,'Raw lists'!$C$2:$C$616,0))&amp;" | ",""))&amp;IF(O85="","",IFERROR(INDEX('Raw lists'!$C$2:$C$616,MATCH(O85,'Raw lists'!$C$2:$C$616,0))&amp;" | ",""))&amp;IF(P85="","",IFERROR(INDEX('Raw lists'!$C$2:$C$616,MATCH(P85,'Raw lists'!$C$2:$C$616,0))&amp;" | ","")))=0,"",LEFT(IF(K85="","",IFERROR(INDEX('Raw lists'!$C$2:$C$616,MATCH(K85,'Raw lists'!$C$2:$C$616,0))&amp;" | ",""))&amp;IF(L85="","",IFERROR(INDEX('Raw lists'!$C$2:$C$616,MATCH(L85,'Raw lists'!$C$2:$C$616,0))&amp;" | ",""))&amp;IF(M85="","",IFERROR(INDEX('Raw lists'!$C$2:$C$616,MATCH(M85,'Raw lists'!$C$2:$C$616,0))&amp;" | ",""))&amp;IF(N85="","",IFERROR(INDEX('Raw lists'!$C$2:$C$616,MATCH(N85,'Raw lists'!$C$2:$C$616,0))&amp;" | ",""))&amp;IF(O85="","",IFERROR(INDEX('Raw lists'!$C$2:$C$616,MATCH(O85,'Raw lists'!$C$2:$C$616,0))&amp;" | ",""))&amp;IF(P85="","",IFERROR(INDEX('Raw lists'!$C$2:$C$616,MATCH(P85,'Raw lists'!$C$2:$C$616,0))&amp;" | ","")),LEN(IF(K85="","",IFERROR(INDEX('Raw lists'!$C$2:$C$616,MATCH(K85,'Raw lists'!$C$2:$C$616,0))&amp;" | ",""))&amp;IF(L85="","",IFERROR(INDEX('Raw lists'!$C$2:$C$616,MATCH(L85,'Raw lists'!$C$2:$C$616,0))&amp;" | ",""))&amp;IF(M85="","",IFERROR(INDEX('Raw lists'!$C$2:$C$616,MATCH(M85,'Raw lists'!$C$2:$C$616,0))&amp;" | ",""))&amp;IF(N85="","",IFERROR(INDEX('Raw lists'!$C$2:$C$616,MATCH(N85,'Raw lists'!$C$2:$C$616,0))&amp;" | ",""))&amp;IF(O85="","",IFERROR(INDEX('Raw lists'!$C$2:$C$616,MATCH(O85,'Raw lists'!$C$2:$C$616,0))&amp;" | ",""))&amp;IF(P85="","",IFERROR(INDEX('Raw lists'!$C$2:$C$616,MATCH(P85,'Raw lists'!$C$2:$C$616,0))&amp;" | ","")))-3))</f>
        <v>Depletion Region</v>
      </c>
      <c r="F85" s="28" t="s">
        <v>17</v>
      </c>
      <c r="G85" s="30" t="s">
        <v>356</v>
      </c>
      <c r="H85" s="28">
        <f t="shared" si="2"/>
        <v>1</v>
      </c>
      <c r="I85" s="31" t="str">
        <f t="shared" si="3"/>
        <v>Only YAKE</v>
      </c>
      <c r="K85" s="32" t="s">
        <v>357</v>
      </c>
      <c r="L85" s="32"/>
      <c r="M85" s="32"/>
      <c r="N85" s="32"/>
      <c r="O85" s="32"/>
      <c r="P85" s="32"/>
    </row>
    <row r="86" spans="1:16" x14ac:dyDescent="0.3">
      <c r="A86" s="28">
        <v>85</v>
      </c>
      <c r="B86" s="29" t="s">
        <v>358</v>
      </c>
      <c r="C86" s="30" t="str">
        <f>IF(LEN(IF(K86="","",IFERROR(INDEX('Raw lists'!$A$2:$A$192,MATCH(K86,'Raw lists'!$A$2:$A$192,0))&amp;" | ",""))&amp;IF(L86="","",IFERROR(INDEX('Raw lists'!$A$2:$A$192,MATCH(L86,'Raw lists'!$A$2:$A$192,0))&amp;" | ",""))&amp;IF(M86="","",IFERROR(INDEX('Raw lists'!$A$2:$A$192,MATCH(M86,'Raw lists'!$A$2:$A$192,0))&amp;" | ",""))&amp;IF(N86="","",IFERROR(INDEX('Raw lists'!$A$2:$A$192,MATCH(N86,'Raw lists'!$A$2:$A$192,0))&amp;" | ",""))&amp;IF(O86="","",IFERROR(INDEX('Raw lists'!$A$2:$A$192,MATCH(O86,'Raw lists'!$A$2:$A$192,0))&amp;" | ",""))&amp;IF(P86="","",IFERROR(INDEX('Raw lists'!$A$2:$A$192,MATCH(P86,'Raw lists'!$A$2:$A$192,0))&amp;" | ","")))=0,"",LEFT(IF(K86="","",IFERROR(INDEX('Raw lists'!$A$2:$A$192,MATCH(K86,'Raw lists'!$A$2:$A$192,0))&amp;" | ",""))&amp;IF(L86="","",IFERROR(INDEX('Raw lists'!$A$2:$A$192,MATCH(L86,'Raw lists'!$A$2:$A$192,0))&amp;" | ",""))&amp;IF(M86="","",IFERROR(INDEX('Raw lists'!$A$2:$A$192,MATCH(M86,'Raw lists'!$A$2:$A$192,0))&amp;" | ",""))&amp;IF(N86="","",IFERROR(INDEX('Raw lists'!$A$2:$A$192,MATCH(N86,'Raw lists'!$A$2:$A$192,0))&amp;" | ",""))&amp;IF(O86="","",IFERROR(INDEX('Raw lists'!$A$2:$A$192,MATCH(O86,'Raw lists'!$A$2:$A$192,0))&amp;" | ",""))&amp;IF(P86="","",IFERROR(INDEX('Raw lists'!$A$2:$A$192,MATCH(P86,'Raw lists'!$A$2:$A$192,0))&amp;" | ","")),LEN(IF(K86="","",IFERROR(INDEX('Raw lists'!$A$2:$A$192,MATCH(K86,'Raw lists'!$A$2:$A$192,0))&amp;" | ",""))&amp;IF(L86="","",IFERROR(INDEX('Raw lists'!$A$2:$A$192,MATCH(L86,'Raw lists'!$A$2:$A$192,0))&amp;" | ",""))&amp;IF(M86="","",IFERROR(INDEX('Raw lists'!$A$2:$A$192,MATCH(M86,'Raw lists'!$A$2:$A$192,0))&amp;" | ",""))&amp;IF(N86="","",IFERROR(INDEX('Raw lists'!$A$2:$A$192,MATCH(N86,'Raw lists'!$A$2:$A$192,0))&amp;" | ",""))&amp;IF(O86="","",IFERROR(INDEX('Raw lists'!$A$2:$A$192,MATCH(O86,'Raw lists'!$A$2:$A$192,0))&amp;" | ",""))&amp;IF(P86="","",IFERROR(INDEX('Raw lists'!$A$2:$A$192,MATCH(P86,'Raw lists'!$A$2:$A$192,0))&amp;" | ","")))-3))</f>
        <v>Band Gap</v>
      </c>
      <c r="D86" s="30" t="str">
        <f>IF(LEN(IF(K86="","",IFERROR(INDEX('Raw lists'!$B$2:$B$627,MATCH(K86,'Raw lists'!$B$2:$B$627,0))&amp;" | ",""))&amp;IF(L86="","",IFERROR(INDEX('Raw lists'!$B$2:$B$627,MATCH(L86,'Raw lists'!$B$2:$B$627,0))&amp;" | ",""))&amp;IF(M86="","",IFERROR(INDEX('Raw lists'!$B$2:$B$627,MATCH(M86,'Raw lists'!$B$2:$B$627,0))&amp;" | ",""))&amp;IF(N86="","",IFERROR(INDEX('Raw lists'!$B$2:$B$627,MATCH(N86,'Raw lists'!$B$2:$B$627,0))&amp;" | ",""))&amp;IF(O86="","",IFERROR(INDEX('Raw lists'!$B$2:$B$627,MATCH(O86,'Raw lists'!$B$2:$B$627,0))&amp;" | ",""))&amp;IF(P86="","",IFERROR(INDEX('Raw lists'!$B$2:$B$627,MATCH(P86,'Raw lists'!$B$2:$B$627,0))&amp;" | ","")))=0,"",LEFT(IF(K86="","",IFERROR(INDEX('Raw lists'!$B$2:$B$627,MATCH(K86,'Raw lists'!$B$2:$B$627,0))&amp;" | ",""))&amp;IF(L86="","",IFERROR(INDEX('Raw lists'!$B$2:$B$627,MATCH(L86,'Raw lists'!$B$2:$B$627,0))&amp;" | ",""))&amp;IF(M86="","",IFERROR(INDEX('Raw lists'!$B$2:$B$627,MATCH(M86,'Raw lists'!$B$2:$B$627,0))&amp;" | ",""))&amp;IF(N86="","",IFERROR(INDEX('Raw lists'!$B$2:$B$627,MATCH(N86,'Raw lists'!$B$2:$B$627,0))&amp;" | ",""))&amp;IF(O86="","",IFERROR(INDEX('Raw lists'!$B$2:$B$627,MATCH(O86,'Raw lists'!$B$2:$B$627,0))&amp;" | ",""))&amp;IF(P86="","",IFERROR(INDEX('Raw lists'!$B$2:$B$627,MATCH(P86,'Raw lists'!$B$2:$B$627,0))&amp;" | ","")),LEN(IF(K86="","",IFERROR(INDEX('Raw lists'!$B$2:$B$627,MATCH(K86,'Raw lists'!$B$2:$B$627,0))&amp;" | ",""))&amp;IF(L86="","",IFERROR(INDEX('Raw lists'!$B$2:$B$627,MATCH(L86,'Raw lists'!$B$2:$B$627,0))&amp;" | ",""))&amp;IF(M86="","",IFERROR(INDEX('Raw lists'!$B$2:$B$627,MATCH(M86,'Raw lists'!$B$2:$B$627,0))&amp;" | ",""))&amp;IF(N86="","",IFERROR(INDEX('Raw lists'!$B$2:$B$627,MATCH(N86,'Raw lists'!$B$2:$B$627,0))&amp;" | ",""))&amp;IF(O86="","",IFERROR(INDEX('Raw lists'!$B$2:$B$627,MATCH(O86,'Raw lists'!$B$2:$B$627,0))&amp;" | ",""))&amp;IF(P86="","",IFERROR(INDEX('Raw lists'!$B$2:$B$627,MATCH(P86,'Raw lists'!$B$2:$B$627,0))&amp;" | ","")))-3))</f>
        <v>Band Gap</v>
      </c>
      <c r="E86" s="30" t="str">
        <f>IF(LEN(IF(K86="","",IFERROR(INDEX('Raw lists'!$C$2:$C$616,MATCH(K86,'Raw lists'!$C$2:$C$616,0))&amp;" | ",""))&amp;IF(L86="","",IFERROR(INDEX('Raw lists'!$C$2:$C$616,MATCH(L86,'Raw lists'!$C$2:$C$616,0))&amp;" | ",""))&amp;IF(M86="","",IFERROR(INDEX('Raw lists'!$C$2:$C$616,MATCH(M86,'Raw lists'!$C$2:$C$616,0))&amp;" | ",""))&amp;IF(N86="","",IFERROR(INDEX('Raw lists'!$C$2:$C$616,MATCH(N86,'Raw lists'!$C$2:$C$616,0))&amp;" | ",""))&amp;IF(O86="","",IFERROR(INDEX('Raw lists'!$C$2:$C$616,MATCH(O86,'Raw lists'!$C$2:$C$616,0))&amp;" | ",""))&amp;IF(P86="","",IFERROR(INDEX('Raw lists'!$C$2:$C$616,MATCH(P86,'Raw lists'!$C$2:$C$616,0))&amp;" | ","")))=0,"",LEFT(IF(K86="","",IFERROR(INDEX('Raw lists'!$C$2:$C$616,MATCH(K86,'Raw lists'!$C$2:$C$616,0))&amp;" | ",""))&amp;IF(L86="","",IFERROR(INDEX('Raw lists'!$C$2:$C$616,MATCH(L86,'Raw lists'!$C$2:$C$616,0))&amp;" | ",""))&amp;IF(M86="","",IFERROR(INDEX('Raw lists'!$C$2:$C$616,MATCH(M86,'Raw lists'!$C$2:$C$616,0))&amp;" | ",""))&amp;IF(N86="","",IFERROR(INDEX('Raw lists'!$C$2:$C$616,MATCH(N86,'Raw lists'!$C$2:$C$616,0))&amp;" | ",""))&amp;IF(O86="","",IFERROR(INDEX('Raw lists'!$C$2:$C$616,MATCH(O86,'Raw lists'!$C$2:$C$616,0))&amp;" | ",""))&amp;IF(P86="","",IFERROR(INDEX('Raw lists'!$C$2:$C$616,MATCH(P86,'Raw lists'!$C$2:$C$616,0))&amp;" | ","")),LEN(IF(K86="","",IFERROR(INDEX('Raw lists'!$C$2:$C$616,MATCH(K86,'Raw lists'!$C$2:$C$616,0))&amp;" | ",""))&amp;IF(L86="","",IFERROR(INDEX('Raw lists'!$C$2:$C$616,MATCH(L86,'Raw lists'!$C$2:$C$616,0))&amp;" | ",""))&amp;IF(M86="","",IFERROR(INDEX('Raw lists'!$C$2:$C$616,MATCH(M86,'Raw lists'!$C$2:$C$616,0))&amp;" | ",""))&amp;IF(N86="","",IFERROR(INDEX('Raw lists'!$C$2:$C$616,MATCH(N86,'Raw lists'!$C$2:$C$616,0))&amp;" | ",""))&amp;IF(O86="","",IFERROR(INDEX('Raw lists'!$C$2:$C$616,MATCH(O86,'Raw lists'!$C$2:$C$616,0))&amp;" | ",""))&amp;IF(P86="","",IFERROR(INDEX('Raw lists'!$C$2:$C$616,MATCH(P86,'Raw lists'!$C$2:$C$616,0))&amp;" | ","")))-3))</f>
        <v>Band Gap</v>
      </c>
      <c r="F86" s="28" t="s">
        <v>17</v>
      </c>
      <c r="G86" s="30" t="s">
        <v>359</v>
      </c>
      <c r="H86" s="28">
        <f t="shared" si="2"/>
        <v>3</v>
      </c>
      <c r="I86" s="31" t="str">
        <f t="shared" si="3"/>
        <v>All three</v>
      </c>
      <c r="K86" s="32" t="s">
        <v>360</v>
      </c>
      <c r="L86" s="32"/>
      <c r="M86" s="32"/>
      <c r="N86" s="32"/>
      <c r="O86" s="32"/>
      <c r="P86" s="32"/>
    </row>
    <row r="87" spans="1:16" ht="26.4" x14ac:dyDescent="0.3">
      <c r="A87" s="28">
        <v>86</v>
      </c>
      <c r="B87" s="29" t="s">
        <v>361</v>
      </c>
      <c r="C87" s="30" t="str">
        <f>IF(LEN(IF(K87="","",IFERROR(INDEX('Raw lists'!$A$2:$A$192,MATCH(K87,'Raw lists'!$A$2:$A$192,0))&amp;" | ",""))&amp;IF(L87="","",IFERROR(INDEX('Raw lists'!$A$2:$A$192,MATCH(L87,'Raw lists'!$A$2:$A$192,0))&amp;" | ",""))&amp;IF(M87="","",IFERROR(INDEX('Raw lists'!$A$2:$A$192,MATCH(M87,'Raw lists'!$A$2:$A$192,0))&amp;" | ",""))&amp;IF(N87="","",IFERROR(INDEX('Raw lists'!$A$2:$A$192,MATCH(N87,'Raw lists'!$A$2:$A$192,0))&amp;" | ",""))&amp;IF(O87="","",IFERROR(INDEX('Raw lists'!$A$2:$A$192,MATCH(O87,'Raw lists'!$A$2:$A$192,0))&amp;" | ",""))&amp;IF(P87="","",IFERROR(INDEX('Raw lists'!$A$2:$A$192,MATCH(P87,'Raw lists'!$A$2:$A$192,0))&amp;" | ","")))=0,"",LEFT(IF(K87="","",IFERROR(INDEX('Raw lists'!$A$2:$A$192,MATCH(K87,'Raw lists'!$A$2:$A$192,0))&amp;" | ",""))&amp;IF(L87="","",IFERROR(INDEX('Raw lists'!$A$2:$A$192,MATCH(L87,'Raw lists'!$A$2:$A$192,0))&amp;" | ",""))&amp;IF(M87="","",IFERROR(INDEX('Raw lists'!$A$2:$A$192,MATCH(M87,'Raw lists'!$A$2:$A$192,0))&amp;" | ",""))&amp;IF(N87="","",IFERROR(INDEX('Raw lists'!$A$2:$A$192,MATCH(N87,'Raw lists'!$A$2:$A$192,0))&amp;" | ",""))&amp;IF(O87="","",IFERROR(INDEX('Raw lists'!$A$2:$A$192,MATCH(O87,'Raw lists'!$A$2:$A$192,0))&amp;" | ",""))&amp;IF(P87="","",IFERROR(INDEX('Raw lists'!$A$2:$A$192,MATCH(P87,'Raw lists'!$A$2:$A$192,0))&amp;" | ","")),LEN(IF(K87="","",IFERROR(INDEX('Raw lists'!$A$2:$A$192,MATCH(K87,'Raw lists'!$A$2:$A$192,0))&amp;" | ",""))&amp;IF(L87="","",IFERROR(INDEX('Raw lists'!$A$2:$A$192,MATCH(L87,'Raw lists'!$A$2:$A$192,0))&amp;" | ",""))&amp;IF(M87="","",IFERROR(INDEX('Raw lists'!$A$2:$A$192,MATCH(M87,'Raw lists'!$A$2:$A$192,0))&amp;" | ",""))&amp;IF(N87="","",IFERROR(INDEX('Raw lists'!$A$2:$A$192,MATCH(N87,'Raw lists'!$A$2:$A$192,0))&amp;" | ",""))&amp;IF(O87="","",IFERROR(INDEX('Raw lists'!$A$2:$A$192,MATCH(O87,'Raw lists'!$A$2:$A$192,0))&amp;" | ",""))&amp;IF(P87="","",IFERROR(INDEX('Raw lists'!$A$2:$A$192,MATCH(P87,'Raw lists'!$A$2:$A$192,0))&amp;" | ","")))-3))</f>
        <v/>
      </c>
      <c r="D87" s="30" t="str">
        <f>IF(LEN(IF(K87="","",IFERROR(INDEX('Raw lists'!$B$2:$B$627,MATCH(K87,'Raw lists'!$B$2:$B$627,0))&amp;" | ",""))&amp;IF(L87="","",IFERROR(INDEX('Raw lists'!$B$2:$B$627,MATCH(L87,'Raw lists'!$B$2:$B$627,0))&amp;" | ",""))&amp;IF(M87="","",IFERROR(INDEX('Raw lists'!$B$2:$B$627,MATCH(M87,'Raw lists'!$B$2:$B$627,0))&amp;" | ",""))&amp;IF(N87="","",IFERROR(INDEX('Raw lists'!$B$2:$B$627,MATCH(N87,'Raw lists'!$B$2:$B$627,0))&amp;" | ",""))&amp;IF(O87="","",IFERROR(INDEX('Raw lists'!$B$2:$B$627,MATCH(O87,'Raw lists'!$B$2:$B$627,0))&amp;" | ",""))&amp;IF(P87="","",IFERROR(INDEX('Raw lists'!$B$2:$B$627,MATCH(P87,'Raw lists'!$B$2:$B$627,0))&amp;" | ","")))=0,"",LEFT(IF(K87="","",IFERROR(INDEX('Raw lists'!$B$2:$B$627,MATCH(K87,'Raw lists'!$B$2:$B$627,0))&amp;" | ",""))&amp;IF(L87="","",IFERROR(INDEX('Raw lists'!$B$2:$B$627,MATCH(L87,'Raw lists'!$B$2:$B$627,0))&amp;" | ",""))&amp;IF(M87="","",IFERROR(INDEX('Raw lists'!$B$2:$B$627,MATCH(M87,'Raw lists'!$B$2:$B$627,0))&amp;" | ",""))&amp;IF(N87="","",IFERROR(INDEX('Raw lists'!$B$2:$B$627,MATCH(N87,'Raw lists'!$B$2:$B$627,0))&amp;" | ",""))&amp;IF(O87="","",IFERROR(INDEX('Raw lists'!$B$2:$B$627,MATCH(O87,'Raw lists'!$B$2:$B$627,0))&amp;" | ",""))&amp;IF(P87="","",IFERROR(INDEX('Raw lists'!$B$2:$B$627,MATCH(P87,'Raw lists'!$B$2:$B$627,0))&amp;" | ","")),LEN(IF(K87="","",IFERROR(INDEX('Raw lists'!$B$2:$B$627,MATCH(K87,'Raw lists'!$B$2:$B$627,0))&amp;" | ",""))&amp;IF(L87="","",IFERROR(INDEX('Raw lists'!$B$2:$B$627,MATCH(L87,'Raw lists'!$B$2:$B$627,0))&amp;" | ",""))&amp;IF(M87="","",IFERROR(INDEX('Raw lists'!$B$2:$B$627,MATCH(M87,'Raw lists'!$B$2:$B$627,0))&amp;" | ",""))&amp;IF(N87="","",IFERROR(INDEX('Raw lists'!$B$2:$B$627,MATCH(N87,'Raw lists'!$B$2:$B$627,0))&amp;" | ",""))&amp;IF(O87="","",IFERROR(INDEX('Raw lists'!$B$2:$B$627,MATCH(O87,'Raw lists'!$B$2:$B$627,0))&amp;" | ",""))&amp;IF(P87="","",IFERROR(INDEX('Raw lists'!$B$2:$B$627,MATCH(P87,'Raw lists'!$B$2:$B$627,0))&amp;" | ","")))-3))</f>
        <v>Conduction Band</v>
      </c>
      <c r="E87" s="30" t="str">
        <f>IF(LEN(IF(K87="","",IFERROR(INDEX('Raw lists'!$C$2:$C$616,MATCH(K87,'Raw lists'!$C$2:$C$616,0))&amp;" | ",""))&amp;IF(L87="","",IFERROR(INDEX('Raw lists'!$C$2:$C$616,MATCH(L87,'Raw lists'!$C$2:$C$616,0))&amp;" | ",""))&amp;IF(M87="","",IFERROR(INDEX('Raw lists'!$C$2:$C$616,MATCH(M87,'Raw lists'!$C$2:$C$616,0))&amp;" | ",""))&amp;IF(N87="","",IFERROR(INDEX('Raw lists'!$C$2:$C$616,MATCH(N87,'Raw lists'!$C$2:$C$616,0))&amp;" | ",""))&amp;IF(O87="","",IFERROR(INDEX('Raw lists'!$C$2:$C$616,MATCH(O87,'Raw lists'!$C$2:$C$616,0))&amp;" | ",""))&amp;IF(P87="","",IFERROR(INDEX('Raw lists'!$C$2:$C$616,MATCH(P87,'Raw lists'!$C$2:$C$616,0))&amp;" | ","")))=0,"",LEFT(IF(K87="","",IFERROR(INDEX('Raw lists'!$C$2:$C$616,MATCH(K87,'Raw lists'!$C$2:$C$616,0))&amp;" | ",""))&amp;IF(L87="","",IFERROR(INDEX('Raw lists'!$C$2:$C$616,MATCH(L87,'Raw lists'!$C$2:$C$616,0))&amp;" | ",""))&amp;IF(M87="","",IFERROR(INDEX('Raw lists'!$C$2:$C$616,MATCH(M87,'Raw lists'!$C$2:$C$616,0))&amp;" | ",""))&amp;IF(N87="","",IFERROR(INDEX('Raw lists'!$C$2:$C$616,MATCH(N87,'Raw lists'!$C$2:$C$616,0))&amp;" | ",""))&amp;IF(O87="","",IFERROR(INDEX('Raw lists'!$C$2:$C$616,MATCH(O87,'Raw lists'!$C$2:$C$616,0))&amp;" | ",""))&amp;IF(P87="","",IFERROR(INDEX('Raw lists'!$C$2:$C$616,MATCH(P87,'Raw lists'!$C$2:$C$616,0))&amp;" | ","")),LEN(IF(K87="","",IFERROR(INDEX('Raw lists'!$C$2:$C$616,MATCH(K87,'Raw lists'!$C$2:$C$616,0))&amp;" | ",""))&amp;IF(L87="","",IFERROR(INDEX('Raw lists'!$C$2:$C$616,MATCH(L87,'Raw lists'!$C$2:$C$616,0))&amp;" | ",""))&amp;IF(M87="","",IFERROR(INDEX('Raw lists'!$C$2:$C$616,MATCH(M87,'Raw lists'!$C$2:$C$616,0))&amp;" | ",""))&amp;IF(N87="","",IFERROR(INDEX('Raw lists'!$C$2:$C$616,MATCH(N87,'Raw lists'!$C$2:$C$616,0))&amp;" | ",""))&amp;IF(O87="","",IFERROR(INDEX('Raw lists'!$C$2:$C$616,MATCH(O87,'Raw lists'!$C$2:$C$616,0))&amp;" | ",""))&amp;IF(P87="","",IFERROR(INDEX('Raw lists'!$C$2:$C$616,MATCH(P87,'Raw lists'!$C$2:$C$616,0))&amp;" | ","")))-3))</f>
        <v>Conduction Band</v>
      </c>
      <c r="F87" s="28" t="s">
        <v>17</v>
      </c>
      <c r="G87" s="30" t="s">
        <v>362</v>
      </c>
      <c r="H87" s="28">
        <f t="shared" si="2"/>
        <v>2</v>
      </c>
      <c r="I87" s="31" t="str">
        <f t="shared" si="3"/>
        <v>RAKE + YAKE</v>
      </c>
      <c r="K87" s="32" t="s">
        <v>363</v>
      </c>
      <c r="L87" s="32"/>
      <c r="M87" s="32"/>
      <c r="N87" s="32"/>
      <c r="O87" s="32"/>
      <c r="P87" s="32"/>
    </row>
    <row r="88" spans="1:16" x14ac:dyDescent="0.3">
      <c r="A88" s="28">
        <v>87</v>
      </c>
      <c r="B88" s="29" t="s">
        <v>364</v>
      </c>
      <c r="C88" s="30" t="str">
        <f>IF(LEN(IF(K88="","",IFERROR(INDEX('Raw lists'!$A$2:$A$192,MATCH(K88,'Raw lists'!$A$2:$A$192,0))&amp;" | ",""))&amp;IF(L88="","",IFERROR(INDEX('Raw lists'!$A$2:$A$192,MATCH(L88,'Raw lists'!$A$2:$A$192,0))&amp;" | ",""))&amp;IF(M88="","",IFERROR(INDEX('Raw lists'!$A$2:$A$192,MATCH(M88,'Raw lists'!$A$2:$A$192,0))&amp;" | ",""))&amp;IF(N88="","",IFERROR(INDEX('Raw lists'!$A$2:$A$192,MATCH(N88,'Raw lists'!$A$2:$A$192,0))&amp;" | ",""))&amp;IF(O88="","",IFERROR(INDEX('Raw lists'!$A$2:$A$192,MATCH(O88,'Raw lists'!$A$2:$A$192,0))&amp;" | ",""))&amp;IF(P88="","",IFERROR(INDEX('Raw lists'!$A$2:$A$192,MATCH(P88,'Raw lists'!$A$2:$A$192,0))&amp;" | ","")))=0,"",LEFT(IF(K88="","",IFERROR(INDEX('Raw lists'!$A$2:$A$192,MATCH(K88,'Raw lists'!$A$2:$A$192,0))&amp;" | ",""))&amp;IF(L88="","",IFERROR(INDEX('Raw lists'!$A$2:$A$192,MATCH(L88,'Raw lists'!$A$2:$A$192,0))&amp;" | ",""))&amp;IF(M88="","",IFERROR(INDEX('Raw lists'!$A$2:$A$192,MATCH(M88,'Raw lists'!$A$2:$A$192,0))&amp;" | ",""))&amp;IF(N88="","",IFERROR(INDEX('Raw lists'!$A$2:$A$192,MATCH(N88,'Raw lists'!$A$2:$A$192,0))&amp;" | ",""))&amp;IF(O88="","",IFERROR(INDEX('Raw lists'!$A$2:$A$192,MATCH(O88,'Raw lists'!$A$2:$A$192,0))&amp;" | ",""))&amp;IF(P88="","",IFERROR(INDEX('Raw lists'!$A$2:$A$192,MATCH(P88,'Raw lists'!$A$2:$A$192,0))&amp;" | ","")),LEN(IF(K88="","",IFERROR(INDEX('Raw lists'!$A$2:$A$192,MATCH(K88,'Raw lists'!$A$2:$A$192,0))&amp;" | ",""))&amp;IF(L88="","",IFERROR(INDEX('Raw lists'!$A$2:$A$192,MATCH(L88,'Raw lists'!$A$2:$A$192,0))&amp;" | ",""))&amp;IF(M88="","",IFERROR(INDEX('Raw lists'!$A$2:$A$192,MATCH(M88,'Raw lists'!$A$2:$A$192,0))&amp;" | ",""))&amp;IF(N88="","",IFERROR(INDEX('Raw lists'!$A$2:$A$192,MATCH(N88,'Raw lists'!$A$2:$A$192,0))&amp;" | ",""))&amp;IF(O88="","",IFERROR(INDEX('Raw lists'!$A$2:$A$192,MATCH(O88,'Raw lists'!$A$2:$A$192,0))&amp;" | ",""))&amp;IF(P88="","",IFERROR(INDEX('Raw lists'!$A$2:$A$192,MATCH(P88,'Raw lists'!$A$2:$A$192,0))&amp;" | ","")))-3))</f>
        <v/>
      </c>
      <c r="D88" s="30" t="str">
        <f>IF(LEN(IF(K88="","",IFERROR(INDEX('Raw lists'!$B$2:$B$627,MATCH(K88,'Raw lists'!$B$2:$B$627,0))&amp;" | ",""))&amp;IF(L88="","",IFERROR(INDEX('Raw lists'!$B$2:$B$627,MATCH(L88,'Raw lists'!$B$2:$B$627,0))&amp;" | ",""))&amp;IF(M88="","",IFERROR(INDEX('Raw lists'!$B$2:$B$627,MATCH(M88,'Raw lists'!$B$2:$B$627,0))&amp;" | ",""))&amp;IF(N88="","",IFERROR(INDEX('Raw lists'!$B$2:$B$627,MATCH(N88,'Raw lists'!$B$2:$B$627,0))&amp;" | ",""))&amp;IF(O88="","",IFERROR(INDEX('Raw lists'!$B$2:$B$627,MATCH(O88,'Raw lists'!$B$2:$B$627,0))&amp;" | ",""))&amp;IF(P88="","",IFERROR(INDEX('Raw lists'!$B$2:$B$627,MATCH(P88,'Raw lists'!$B$2:$B$627,0))&amp;" | ","")))=0,"",LEFT(IF(K88="","",IFERROR(INDEX('Raw lists'!$B$2:$B$627,MATCH(K88,'Raw lists'!$B$2:$B$627,0))&amp;" | ",""))&amp;IF(L88="","",IFERROR(INDEX('Raw lists'!$B$2:$B$627,MATCH(L88,'Raw lists'!$B$2:$B$627,0))&amp;" | ",""))&amp;IF(M88="","",IFERROR(INDEX('Raw lists'!$B$2:$B$627,MATCH(M88,'Raw lists'!$B$2:$B$627,0))&amp;" | ",""))&amp;IF(N88="","",IFERROR(INDEX('Raw lists'!$B$2:$B$627,MATCH(N88,'Raw lists'!$B$2:$B$627,0))&amp;" | ",""))&amp;IF(O88="","",IFERROR(INDEX('Raw lists'!$B$2:$B$627,MATCH(O88,'Raw lists'!$B$2:$B$627,0))&amp;" | ",""))&amp;IF(P88="","",IFERROR(INDEX('Raw lists'!$B$2:$B$627,MATCH(P88,'Raw lists'!$B$2:$B$627,0))&amp;" | ","")),LEN(IF(K88="","",IFERROR(INDEX('Raw lists'!$B$2:$B$627,MATCH(K88,'Raw lists'!$B$2:$B$627,0))&amp;" | ",""))&amp;IF(L88="","",IFERROR(INDEX('Raw lists'!$B$2:$B$627,MATCH(L88,'Raw lists'!$B$2:$B$627,0))&amp;" | ",""))&amp;IF(M88="","",IFERROR(INDEX('Raw lists'!$B$2:$B$627,MATCH(M88,'Raw lists'!$B$2:$B$627,0))&amp;" | ",""))&amp;IF(N88="","",IFERROR(INDEX('Raw lists'!$B$2:$B$627,MATCH(N88,'Raw lists'!$B$2:$B$627,0))&amp;" | ",""))&amp;IF(O88="","",IFERROR(INDEX('Raw lists'!$B$2:$B$627,MATCH(O88,'Raw lists'!$B$2:$B$627,0))&amp;" | ",""))&amp;IF(P88="","",IFERROR(INDEX('Raw lists'!$B$2:$B$627,MATCH(P88,'Raw lists'!$B$2:$B$627,0))&amp;" | ","")))-3))</f>
        <v>Valence Band</v>
      </c>
      <c r="E88" s="30" t="str">
        <f>IF(LEN(IF(K88="","",IFERROR(INDEX('Raw lists'!$C$2:$C$616,MATCH(K88,'Raw lists'!$C$2:$C$616,0))&amp;" | ",""))&amp;IF(L88="","",IFERROR(INDEX('Raw lists'!$C$2:$C$616,MATCH(L88,'Raw lists'!$C$2:$C$616,0))&amp;" | ",""))&amp;IF(M88="","",IFERROR(INDEX('Raw lists'!$C$2:$C$616,MATCH(M88,'Raw lists'!$C$2:$C$616,0))&amp;" | ",""))&amp;IF(N88="","",IFERROR(INDEX('Raw lists'!$C$2:$C$616,MATCH(N88,'Raw lists'!$C$2:$C$616,0))&amp;" | ",""))&amp;IF(O88="","",IFERROR(INDEX('Raw lists'!$C$2:$C$616,MATCH(O88,'Raw lists'!$C$2:$C$616,0))&amp;" | ",""))&amp;IF(P88="","",IFERROR(INDEX('Raw lists'!$C$2:$C$616,MATCH(P88,'Raw lists'!$C$2:$C$616,0))&amp;" | ","")))=0,"",LEFT(IF(K88="","",IFERROR(INDEX('Raw lists'!$C$2:$C$616,MATCH(K88,'Raw lists'!$C$2:$C$616,0))&amp;" | ",""))&amp;IF(L88="","",IFERROR(INDEX('Raw lists'!$C$2:$C$616,MATCH(L88,'Raw lists'!$C$2:$C$616,0))&amp;" | ",""))&amp;IF(M88="","",IFERROR(INDEX('Raw lists'!$C$2:$C$616,MATCH(M88,'Raw lists'!$C$2:$C$616,0))&amp;" | ",""))&amp;IF(N88="","",IFERROR(INDEX('Raw lists'!$C$2:$C$616,MATCH(N88,'Raw lists'!$C$2:$C$616,0))&amp;" | ",""))&amp;IF(O88="","",IFERROR(INDEX('Raw lists'!$C$2:$C$616,MATCH(O88,'Raw lists'!$C$2:$C$616,0))&amp;" | ",""))&amp;IF(P88="","",IFERROR(INDEX('Raw lists'!$C$2:$C$616,MATCH(P88,'Raw lists'!$C$2:$C$616,0))&amp;" | ","")),LEN(IF(K88="","",IFERROR(INDEX('Raw lists'!$C$2:$C$616,MATCH(K88,'Raw lists'!$C$2:$C$616,0))&amp;" | ",""))&amp;IF(L88="","",IFERROR(INDEX('Raw lists'!$C$2:$C$616,MATCH(L88,'Raw lists'!$C$2:$C$616,0))&amp;" | ",""))&amp;IF(M88="","",IFERROR(INDEX('Raw lists'!$C$2:$C$616,MATCH(M88,'Raw lists'!$C$2:$C$616,0))&amp;" | ",""))&amp;IF(N88="","",IFERROR(INDEX('Raw lists'!$C$2:$C$616,MATCH(N88,'Raw lists'!$C$2:$C$616,0))&amp;" | ",""))&amp;IF(O88="","",IFERROR(INDEX('Raw lists'!$C$2:$C$616,MATCH(O88,'Raw lists'!$C$2:$C$616,0))&amp;" | ",""))&amp;IF(P88="","",IFERROR(INDEX('Raw lists'!$C$2:$C$616,MATCH(P88,'Raw lists'!$C$2:$C$616,0))&amp;" | ","")))-3))</f>
        <v/>
      </c>
      <c r="F88" s="28" t="s">
        <v>17</v>
      </c>
      <c r="G88" s="30" t="s">
        <v>365</v>
      </c>
      <c r="H88" s="28">
        <f t="shared" si="2"/>
        <v>1</v>
      </c>
      <c r="I88" s="31" t="str">
        <f t="shared" si="3"/>
        <v>Only RAKE</v>
      </c>
      <c r="K88" s="32" t="s">
        <v>366</v>
      </c>
      <c r="L88" s="32"/>
      <c r="M88" s="32"/>
      <c r="N88" s="32"/>
      <c r="O88" s="32"/>
      <c r="P88" s="32"/>
    </row>
    <row r="89" spans="1:16" ht="26.4" x14ac:dyDescent="0.3">
      <c r="A89" s="28">
        <v>88</v>
      </c>
      <c r="B89" s="29" t="s">
        <v>367</v>
      </c>
      <c r="C89" s="30" t="str">
        <f>IF(LEN(IF(K89="","",IFERROR(INDEX('Raw lists'!$A$2:$A$192,MATCH(K89,'Raw lists'!$A$2:$A$192,0))&amp;" | ",""))&amp;IF(L89="","",IFERROR(INDEX('Raw lists'!$A$2:$A$192,MATCH(L89,'Raw lists'!$A$2:$A$192,0))&amp;" | ",""))&amp;IF(M89="","",IFERROR(INDEX('Raw lists'!$A$2:$A$192,MATCH(M89,'Raw lists'!$A$2:$A$192,0))&amp;" | ",""))&amp;IF(N89="","",IFERROR(INDEX('Raw lists'!$A$2:$A$192,MATCH(N89,'Raw lists'!$A$2:$A$192,0))&amp;" | ",""))&amp;IF(O89="","",IFERROR(INDEX('Raw lists'!$A$2:$A$192,MATCH(O89,'Raw lists'!$A$2:$A$192,0))&amp;" | ",""))&amp;IF(P89="","",IFERROR(INDEX('Raw lists'!$A$2:$A$192,MATCH(P89,'Raw lists'!$A$2:$A$192,0))&amp;" | ","")))=0,"",LEFT(IF(K89="","",IFERROR(INDEX('Raw lists'!$A$2:$A$192,MATCH(K89,'Raw lists'!$A$2:$A$192,0))&amp;" | ",""))&amp;IF(L89="","",IFERROR(INDEX('Raw lists'!$A$2:$A$192,MATCH(L89,'Raw lists'!$A$2:$A$192,0))&amp;" | ",""))&amp;IF(M89="","",IFERROR(INDEX('Raw lists'!$A$2:$A$192,MATCH(M89,'Raw lists'!$A$2:$A$192,0))&amp;" | ",""))&amp;IF(N89="","",IFERROR(INDEX('Raw lists'!$A$2:$A$192,MATCH(N89,'Raw lists'!$A$2:$A$192,0))&amp;" | ",""))&amp;IF(O89="","",IFERROR(INDEX('Raw lists'!$A$2:$A$192,MATCH(O89,'Raw lists'!$A$2:$A$192,0))&amp;" | ",""))&amp;IF(P89="","",IFERROR(INDEX('Raw lists'!$A$2:$A$192,MATCH(P89,'Raw lists'!$A$2:$A$192,0))&amp;" | ","")),LEN(IF(K89="","",IFERROR(INDEX('Raw lists'!$A$2:$A$192,MATCH(K89,'Raw lists'!$A$2:$A$192,0))&amp;" | ",""))&amp;IF(L89="","",IFERROR(INDEX('Raw lists'!$A$2:$A$192,MATCH(L89,'Raw lists'!$A$2:$A$192,0))&amp;" | ",""))&amp;IF(M89="","",IFERROR(INDEX('Raw lists'!$A$2:$A$192,MATCH(M89,'Raw lists'!$A$2:$A$192,0))&amp;" | ",""))&amp;IF(N89="","",IFERROR(INDEX('Raw lists'!$A$2:$A$192,MATCH(N89,'Raw lists'!$A$2:$A$192,0))&amp;" | ",""))&amp;IF(O89="","",IFERROR(INDEX('Raw lists'!$A$2:$A$192,MATCH(O89,'Raw lists'!$A$2:$A$192,0))&amp;" | ",""))&amp;IF(P89="","",IFERROR(INDEX('Raw lists'!$A$2:$A$192,MATCH(P89,'Raw lists'!$A$2:$A$192,0))&amp;" | ","")))-3))</f>
        <v/>
      </c>
      <c r="D89" s="30" t="str">
        <f>IF(LEN(IF(K89="","",IFERROR(INDEX('Raw lists'!$B$2:$B$627,MATCH(K89,'Raw lists'!$B$2:$B$627,0))&amp;" | ",""))&amp;IF(L89="","",IFERROR(INDEX('Raw lists'!$B$2:$B$627,MATCH(L89,'Raw lists'!$B$2:$B$627,0))&amp;" | ",""))&amp;IF(M89="","",IFERROR(INDEX('Raw lists'!$B$2:$B$627,MATCH(M89,'Raw lists'!$B$2:$B$627,0))&amp;" | ",""))&amp;IF(N89="","",IFERROR(INDEX('Raw lists'!$B$2:$B$627,MATCH(N89,'Raw lists'!$B$2:$B$627,0))&amp;" | ",""))&amp;IF(O89="","",IFERROR(INDEX('Raw lists'!$B$2:$B$627,MATCH(O89,'Raw lists'!$B$2:$B$627,0))&amp;" | ",""))&amp;IF(P89="","",IFERROR(INDEX('Raw lists'!$B$2:$B$627,MATCH(P89,'Raw lists'!$B$2:$B$627,0))&amp;" | ","")))=0,"",LEFT(IF(K89="","",IFERROR(INDEX('Raw lists'!$B$2:$B$627,MATCH(K89,'Raw lists'!$B$2:$B$627,0))&amp;" | ",""))&amp;IF(L89="","",IFERROR(INDEX('Raw lists'!$B$2:$B$627,MATCH(L89,'Raw lists'!$B$2:$B$627,0))&amp;" | ",""))&amp;IF(M89="","",IFERROR(INDEX('Raw lists'!$B$2:$B$627,MATCH(M89,'Raw lists'!$B$2:$B$627,0))&amp;" | ",""))&amp;IF(N89="","",IFERROR(INDEX('Raw lists'!$B$2:$B$627,MATCH(N89,'Raw lists'!$B$2:$B$627,0))&amp;" | ",""))&amp;IF(O89="","",IFERROR(INDEX('Raw lists'!$B$2:$B$627,MATCH(O89,'Raw lists'!$B$2:$B$627,0))&amp;" | ",""))&amp;IF(P89="","",IFERROR(INDEX('Raw lists'!$B$2:$B$627,MATCH(P89,'Raw lists'!$B$2:$B$627,0))&amp;" | ","")),LEN(IF(K89="","",IFERROR(INDEX('Raw lists'!$B$2:$B$627,MATCH(K89,'Raw lists'!$B$2:$B$627,0))&amp;" | ",""))&amp;IF(L89="","",IFERROR(INDEX('Raw lists'!$B$2:$B$627,MATCH(L89,'Raw lists'!$B$2:$B$627,0))&amp;" | ",""))&amp;IF(M89="","",IFERROR(INDEX('Raw lists'!$B$2:$B$627,MATCH(M89,'Raw lists'!$B$2:$B$627,0))&amp;" | ",""))&amp;IF(N89="","",IFERROR(INDEX('Raw lists'!$B$2:$B$627,MATCH(N89,'Raw lists'!$B$2:$B$627,0))&amp;" | ",""))&amp;IF(O89="","",IFERROR(INDEX('Raw lists'!$B$2:$B$627,MATCH(O89,'Raw lists'!$B$2:$B$627,0))&amp;" | ",""))&amp;IF(P89="","",IFERROR(INDEX('Raw lists'!$B$2:$B$627,MATCH(P89,'Raw lists'!$B$2:$B$627,0))&amp;" | ","")))-3))</f>
        <v/>
      </c>
      <c r="E89" s="30" t="str">
        <f>IF(LEN(IF(K89="","",IFERROR(INDEX('Raw lists'!$C$2:$C$616,MATCH(K89,'Raw lists'!$C$2:$C$616,0))&amp;" | ",""))&amp;IF(L89="","",IFERROR(INDEX('Raw lists'!$C$2:$C$616,MATCH(L89,'Raw lists'!$C$2:$C$616,0))&amp;" | ",""))&amp;IF(M89="","",IFERROR(INDEX('Raw lists'!$C$2:$C$616,MATCH(M89,'Raw lists'!$C$2:$C$616,0))&amp;" | ",""))&amp;IF(N89="","",IFERROR(INDEX('Raw lists'!$C$2:$C$616,MATCH(N89,'Raw lists'!$C$2:$C$616,0))&amp;" | ",""))&amp;IF(O89="","",IFERROR(INDEX('Raw lists'!$C$2:$C$616,MATCH(O89,'Raw lists'!$C$2:$C$616,0))&amp;" | ",""))&amp;IF(P89="","",IFERROR(INDEX('Raw lists'!$C$2:$C$616,MATCH(P89,'Raw lists'!$C$2:$C$616,0))&amp;" | ","")))=0,"",LEFT(IF(K89="","",IFERROR(INDEX('Raw lists'!$C$2:$C$616,MATCH(K89,'Raw lists'!$C$2:$C$616,0))&amp;" | ",""))&amp;IF(L89="","",IFERROR(INDEX('Raw lists'!$C$2:$C$616,MATCH(L89,'Raw lists'!$C$2:$C$616,0))&amp;" | ",""))&amp;IF(M89="","",IFERROR(INDEX('Raw lists'!$C$2:$C$616,MATCH(M89,'Raw lists'!$C$2:$C$616,0))&amp;" | ",""))&amp;IF(N89="","",IFERROR(INDEX('Raw lists'!$C$2:$C$616,MATCH(N89,'Raw lists'!$C$2:$C$616,0))&amp;" | ",""))&amp;IF(O89="","",IFERROR(INDEX('Raw lists'!$C$2:$C$616,MATCH(O89,'Raw lists'!$C$2:$C$616,0))&amp;" | ",""))&amp;IF(P89="","",IFERROR(INDEX('Raw lists'!$C$2:$C$616,MATCH(P89,'Raw lists'!$C$2:$C$616,0))&amp;" | ","")),LEN(IF(K89="","",IFERROR(INDEX('Raw lists'!$C$2:$C$616,MATCH(K89,'Raw lists'!$C$2:$C$616,0))&amp;" | ",""))&amp;IF(L89="","",IFERROR(INDEX('Raw lists'!$C$2:$C$616,MATCH(L89,'Raw lists'!$C$2:$C$616,0))&amp;" | ",""))&amp;IF(M89="","",IFERROR(INDEX('Raw lists'!$C$2:$C$616,MATCH(M89,'Raw lists'!$C$2:$C$616,0))&amp;" | ",""))&amp;IF(N89="","",IFERROR(INDEX('Raw lists'!$C$2:$C$616,MATCH(N89,'Raw lists'!$C$2:$C$616,0))&amp;" | ",""))&amp;IF(O89="","",IFERROR(INDEX('Raw lists'!$C$2:$C$616,MATCH(O89,'Raw lists'!$C$2:$C$616,0))&amp;" | ",""))&amp;IF(P89="","",IFERROR(INDEX('Raw lists'!$C$2:$C$616,MATCH(P89,'Raw lists'!$C$2:$C$616,0))&amp;" | ","")))-3))</f>
        <v>Fermi Level</v>
      </c>
      <c r="F89" s="28" t="s">
        <v>17</v>
      </c>
      <c r="G89" s="30" t="s">
        <v>368</v>
      </c>
      <c r="H89" s="28">
        <f t="shared" si="2"/>
        <v>1</v>
      </c>
      <c r="I89" s="31" t="str">
        <f t="shared" si="3"/>
        <v>Only YAKE</v>
      </c>
      <c r="K89" s="32" t="s">
        <v>369</v>
      </c>
      <c r="L89" s="32"/>
      <c r="M89" s="32"/>
      <c r="N89" s="32"/>
      <c r="O89" s="32"/>
      <c r="P89" s="32"/>
    </row>
    <row r="90" spans="1:16" ht="26.4" x14ac:dyDescent="0.3">
      <c r="A90" s="28">
        <v>89</v>
      </c>
      <c r="B90" s="29" t="s">
        <v>370</v>
      </c>
      <c r="C90" s="30" t="str">
        <f>IF(LEN(IF(K90="","",IFERROR(INDEX('Raw lists'!$A$2:$A$192,MATCH(K90,'Raw lists'!$A$2:$A$192,0))&amp;" | ",""))&amp;IF(L90="","",IFERROR(INDEX('Raw lists'!$A$2:$A$192,MATCH(L90,'Raw lists'!$A$2:$A$192,0))&amp;" | ",""))&amp;IF(M90="","",IFERROR(INDEX('Raw lists'!$A$2:$A$192,MATCH(M90,'Raw lists'!$A$2:$A$192,0))&amp;" | ",""))&amp;IF(N90="","",IFERROR(INDEX('Raw lists'!$A$2:$A$192,MATCH(N90,'Raw lists'!$A$2:$A$192,0))&amp;" | ",""))&amp;IF(O90="","",IFERROR(INDEX('Raw lists'!$A$2:$A$192,MATCH(O90,'Raw lists'!$A$2:$A$192,0))&amp;" | ",""))&amp;IF(P90="","",IFERROR(INDEX('Raw lists'!$A$2:$A$192,MATCH(P90,'Raw lists'!$A$2:$A$192,0))&amp;" | ","")))=0,"",LEFT(IF(K90="","",IFERROR(INDEX('Raw lists'!$A$2:$A$192,MATCH(K90,'Raw lists'!$A$2:$A$192,0))&amp;" | ",""))&amp;IF(L90="","",IFERROR(INDEX('Raw lists'!$A$2:$A$192,MATCH(L90,'Raw lists'!$A$2:$A$192,0))&amp;" | ",""))&amp;IF(M90="","",IFERROR(INDEX('Raw lists'!$A$2:$A$192,MATCH(M90,'Raw lists'!$A$2:$A$192,0))&amp;" | ",""))&amp;IF(N90="","",IFERROR(INDEX('Raw lists'!$A$2:$A$192,MATCH(N90,'Raw lists'!$A$2:$A$192,0))&amp;" | ",""))&amp;IF(O90="","",IFERROR(INDEX('Raw lists'!$A$2:$A$192,MATCH(O90,'Raw lists'!$A$2:$A$192,0))&amp;" | ",""))&amp;IF(P90="","",IFERROR(INDEX('Raw lists'!$A$2:$A$192,MATCH(P90,'Raw lists'!$A$2:$A$192,0))&amp;" | ","")),LEN(IF(K90="","",IFERROR(INDEX('Raw lists'!$A$2:$A$192,MATCH(K90,'Raw lists'!$A$2:$A$192,0))&amp;" | ",""))&amp;IF(L90="","",IFERROR(INDEX('Raw lists'!$A$2:$A$192,MATCH(L90,'Raw lists'!$A$2:$A$192,0))&amp;" | ",""))&amp;IF(M90="","",IFERROR(INDEX('Raw lists'!$A$2:$A$192,MATCH(M90,'Raw lists'!$A$2:$A$192,0))&amp;" | ",""))&amp;IF(N90="","",IFERROR(INDEX('Raw lists'!$A$2:$A$192,MATCH(N90,'Raw lists'!$A$2:$A$192,0))&amp;" | ",""))&amp;IF(O90="","",IFERROR(INDEX('Raw lists'!$A$2:$A$192,MATCH(O90,'Raw lists'!$A$2:$A$192,0))&amp;" | ",""))&amp;IF(P90="","",IFERROR(INDEX('Raw lists'!$A$2:$A$192,MATCH(P90,'Raw lists'!$A$2:$A$192,0))&amp;" | ","")))-3))</f>
        <v>Highly Doped P-region</v>
      </c>
      <c r="D90" s="30" t="str">
        <f>IF(LEN(IF(K90="","",IFERROR(INDEX('Raw lists'!$B$2:$B$627,MATCH(K90,'Raw lists'!$B$2:$B$627,0))&amp;" | ",""))&amp;IF(L90="","",IFERROR(INDEX('Raw lists'!$B$2:$B$627,MATCH(L90,'Raw lists'!$B$2:$B$627,0))&amp;" | ",""))&amp;IF(M90="","",IFERROR(INDEX('Raw lists'!$B$2:$B$627,MATCH(M90,'Raw lists'!$B$2:$B$627,0))&amp;" | ",""))&amp;IF(N90="","",IFERROR(INDEX('Raw lists'!$B$2:$B$627,MATCH(N90,'Raw lists'!$B$2:$B$627,0))&amp;" | ",""))&amp;IF(O90="","",IFERROR(INDEX('Raw lists'!$B$2:$B$627,MATCH(O90,'Raw lists'!$B$2:$B$627,0))&amp;" | ",""))&amp;IF(P90="","",IFERROR(INDEX('Raw lists'!$B$2:$B$627,MATCH(P90,'Raw lists'!$B$2:$B$627,0))&amp;" | ","")))=0,"",LEFT(IF(K90="","",IFERROR(INDEX('Raw lists'!$B$2:$B$627,MATCH(K90,'Raw lists'!$B$2:$B$627,0))&amp;" | ",""))&amp;IF(L90="","",IFERROR(INDEX('Raw lists'!$B$2:$B$627,MATCH(L90,'Raw lists'!$B$2:$B$627,0))&amp;" | ",""))&amp;IF(M90="","",IFERROR(INDEX('Raw lists'!$B$2:$B$627,MATCH(M90,'Raw lists'!$B$2:$B$627,0))&amp;" | ",""))&amp;IF(N90="","",IFERROR(INDEX('Raw lists'!$B$2:$B$627,MATCH(N90,'Raw lists'!$B$2:$B$627,0))&amp;" | ",""))&amp;IF(O90="","",IFERROR(INDEX('Raw lists'!$B$2:$B$627,MATCH(O90,'Raw lists'!$B$2:$B$627,0))&amp;" | ",""))&amp;IF(P90="","",IFERROR(INDEX('Raw lists'!$B$2:$B$627,MATCH(P90,'Raw lists'!$B$2:$B$627,0))&amp;" | ","")),LEN(IF(K90="","",IFERROR(INDEX('Raw lists'!$B$2:$B$627,MATCH(K90,'Raw lists'!$B$2:$B$627,0))&amp;" | ",""))&amp;IF(L90="","",IFERROR(INDEX('Raw lists'!$B$2:$B$627,MATCH(L90,'Raw lists'!$B$2:$B$627,0))&amp;" | ",""))&amp;IF(M90="","",IFERROR(INDEX('Raw lists'!$B$2:$B$627,MATCH(M90,'Raw lists'!$B$2:$B$627,0))&amp;" | ",""))&amp;IF(N90="","",IFERROR(INDEX('Raw lists'!$B$2:$B$627,MATCH(N90,'Raw lists'!$B$2:$B$627,0))&amp;" | ",""))&amp;IF(O90="","",IFERROR(INDEX('Raw lists'!$B$2:$B$627,MATCH(O90,'Raw lists'!$B$2:$B$627,0))&amp;" | ",""))&amp;IF(P90="","",IFERROR(INDEX('Raw lists'!$B$2:$B$627,MATCH(P90,'Raw lists'!$B$2:$B$627,0))&amp;" | ","")))-3))</f>
        <v>Heavily Doped | High Doping | Highly Doped P</v>
      </c>
      <c r="E90" s="30" t="str">
        <f>IF(LEN(IF(K90="","",IFERROR(INDEX('Raw lists'!$C$2:$C$616,MATCH(K90,'Raw lists'!$C$2:$C$616,0))&amp;" | ",""))&amp;IF(L90="","",IFERROR(INDEX('Raw lists'!$C$2:$C$616,MATCH(L90,'Raw lists'!$C$2:$C$616,0))&amp;" | ",""))&amp;IF(M90="","",IFERROR(INDEX('Raw lists'!$C$2:$C$616,MATCH(M90,'Raw lists'!$C$2:$C$616,0))&amp;" | ",""))&amp;IF(N90="","",IFERROR(INDEX('Raw lists'!$C$2:$C$616,MATCH(N90,'Raw lists'!$C$2:$C$616,0))&amp;" | ",""))&amp;IF(O90="","",IFERROR(INDEX('Raw lists'!$C$2:$C$616,MATCH(O90,'Raw lists'!$C$2:$C$616,0))&amp;" | ",""))&amp;IF(P90="","",IFERROR(INDEX('Raw lists'!$C$2:$C$616,MATCH(P90,'Raw lists'!$C$2:$C$616,0))&amp;" | ","")))=0,"",LEFT(IF(K90="","",IFERROR(INDEX('Raw lists'!$C$2:$C$616,MATCH(K90,'Raw lists'!$C$2:$C$616,0))&amp;" | ",""))&amp;IF(L90="","",IFERROR(INDEX('Raw lists'!$C$2:$C$616,MATCH(L90,'Raw lists'!$C$2:$C$616,0))&amp;" | ",""))&amp;IF(M90="","",IFERROR(INDEX('Raw lists'!$C$2:$C$616,MATCH(M90,'Raw lists'!$C$2:$C$616,0))&amp;" | ",""))&amp;IF(N90="","",IFERROR(INDEX('Raw lists'!$C$2:$C$616,MATCH(N90,'Raw lists'!$C$2:$C$616,0))&amp;" | ",""))&amp;IF(O90="","",IFERROR(INDEX('Raw lists'!$C$2:$C$616,MATCH(O90,'Raw lists'!$C$2:$C$616,0))&amp;" | ",""))&amp;IF(P90="","",IFERROR(INDEX('Raw lists'!$C$2:$C$616,MATCH(P90,'Raw lists'!$C$2:$C$616,0))&amp;" | ","")),LEN(IF(K90="","",IFERROR(INDEX('Raw lists'!$C$2:$C$616,MATCH(K90,'Raw lists'!$C$2:$C$616,0))&amp;" | ",""))&amp;IF(L90="","",IFERROR(INDEX('Raw lists'!$C$2:$C$616,MATCH(L90,'Raw lists'!$C$2:$C$616,0))&amp;" | ",""))&amp;IF(M90="","",IFERROR(INDEX('Raw lists'!$C$2:$C$616,MATCH(M90,'Raw lists'!$C$2:$C$616,0))&amp;" | ",""))&amp;IF(N90="","",IFERROR(INDEX('Raw lists'!$C$2:$C$616,MATCH(N90,'Raw lists'!$C$2:$C$616,0))&amp;" | ",""))&amp;IF(O90="","",IFERROR(INDEX('Raw lists'!$C$2:$C$616,MATCH(O90,'Raw lists'!$C$2:$C$616,0))&amp;" | ",""))&amp;IF(P90="","",IFERROR(INDEX('Raw lists'!$C$2:$C$616,MATCH(P90,'Raw lists'!$C$2:$C$616,0))&amp;" | ","")))-3))</f>
        <v>Highly Doped P-region</v>
      </c>
      <c r="F90" s="28" t="s">
        <v>17</v>
      </c>
      <c r="G90" s="30" t="s">
        <v>371</v>
      </c>
      <c r="H90" s="28">
        <f t="shared" si="2"/>
        <v>3</v>
      </c>
      <c r="I90" s="31" t="str">
        <f t="shared" si="3"/>
        <v>All three</v>
      </c>
      <c r="K90" s="32" t="s">
        <v>372</v>
      </c>
      <c r="L90" s="32" t="s">
        <v>373</v>
      </c>
      <c r="M90" s="32" t="s">
        <v>374</v>
      </c>
      <c r="N90" s="32" t="s">
        <v>375</v>
      </c>
      <c r="O90" s="32" t="s">
        <v>376</v>
      </c>
      <c r="P90" s="32"/>
    </row>
    <row r="91" spans="1:16" x14ac:dyDescent="0.3">
      <c r="A91" s="28">
        <v>90</v>
      </c>
      <c r="B91" s="29" t="s">
        <v>377</v>
      </c>
      <c r="C91" s="30" t="str">
        <f>IF(LEN(IF(K91="","",IFERROR(INDEX('Raw lists'!$A$2:$A$192,MATCH(K91,'Raw lists'!$A$2:$A$192,0))&amp;" | ",""))&amp;IF(L91="","",IFERROR(INDEX('Raw lists'!$A$2:$A$192,MATCH(L91,'Raw lists'!$A$2:$A$192,0))&amp;" | ",""))&amp;IF(M91="","",IFERROR(INDEX('Raw lists'!$A$2:$A$192,MATCH(M91,'Raw lists'!$A$2:$A$192,0))&amp;" | ",""))&amp;IF(N91="","",IFERROR(INDEX('Raw lists'!$A$2:$A$192,MATCH(N91,'Raw lists'!$A$2:$A$192,0))&amp;" | ",""))&amp;IF(O91="","",IFERROR(INDEX('Raw lists'!$A$2:$A$192,MATCH(O91,'Raw lists'!$A$2:$A$192,0))&amp;" | ",""))&amp;IF(P91="","",IFERROR(INDEX('Raw lists'!$A$2:$A$192,MATCH(P91,'Raw lists'!$A$2:$A$192,0))&amp;" | ","")))=0,"",LEFT(IF(K91="","",IFERROR(INDEX('Raw lists'!$A$2:$A$192,MATCH(K91,'Raw lists'!$A$2:$A$192,0))&amp;" | ",""))&amp;IF(L91="","",IFERROR(INDEX('Raw lists'!$A$2:$A$192,MATCH(L91,'Raw lists'!$A$2:$A$192,0))&amp;" | ",""))&amp;IF(M91="","",IFERROR(INDEX('Raw lists'!$A$2:$A$192,MATCH(M91,'Raw lists'!$A$2:$A$192,0))&amp;" | ",""))&amp;IF(N91="","",IFERROR(INDEX('Raw lists'!$A$2:$A$192,MATCH(N91,'Raw lists'!$A$2:$A$192,0))&amp;" | ",""))&amp;IF(O91="","",IFERROR(INDEX('Raw lists'!$A$2:$A$192,MATCH(O91,'Raw lists'!$A$2:$A$192,0))&amp;" | ",""))&amp;IF(P91="","",IFERROR(INDEX('Raw lists'!$A$2:$A$192,MATCH(P91,'Raw lists'!$A$2:$A$192,0))&amp;" | ","")),LEN(IF(K91="","",IFERROR(INDEX('Raw lists'!$A$2:$A$192,MATCH(K91,'Raw lists'!$A$2:$A$192,0))&amp;" | ",""))&amp;IF(L91="","",IFERROR(INDEX('Raw lists'!$A$2:$A$192,MATCH(L91,'Raw lists'!$A$2:$A$192,0))&amp;" | ",""))&amp;IF(M91="","",IFERROR(INDEX('Raw lists'!$A$2:$A$192,MATCH(M91,'Raw lists'!$A$2:$A$192,0))&amp;" | ",""))&amp;IF(N91="","",IFERROR(INDEX('Raw lists'!$A$2:$A$192,MATCH(N91,'Raw lists'!$A$2:$A$192,0))&amp;" | ",""))&amp;IF(O91="","",IFERROR(INDEX('Raw lists'!$A$2:$A$192,MATCH(O91,'Raw lists'!$A$2:$A$192,0))&amp;" | ",""))&amp;IF(P91="","",IFERROR(INDEX('Raw lists'!$A$2:$A$192,MATCH(P91,'Raw lists'!$A$2:$A$192,0))&amp;" | ","")))-3))</f>
        <v/>
      </c>
      <c r="D91" s="30" t="str">
        <f>IF(LEN(IF(K91="","",IFERROR(INDEX('Raw lists'!$B$2:$B$627,MATCH(K91,'Raw lists'!$B$2:$B$627,0))&amp;" | ",""))&amp;IF(L91="","",IFERROR(INDEX('Raw lists'!$B$2:$B$627,MATCH(L91,'Raw lists'!$B$2:$B$627,0))&amp;" | ",""))&amp;IF(M91="","",IFERROR(INDEX('Raw lists'!$B$2:$B$627,MATCH(M91,'Raw lists'!$B$2:$B$627,0))&amp;" | ",""))&amp;IF(N91="","",IFERROR(INDEX('Raw lists'!$B$2:$B$627,MATCH(N91,'Raw lists'!$B$2:$B$627,0))&amp;" | ",""))&amp;IF(O91="","",IFERROR(INDEX('Raw lists'!$B$2:$B$627,MATCH(O91,'Raw lists'!$B$2:$B$627,0))&amp;" | ",""))&amp;IF(P91="","",IFERROR(INDEX('Raw lists'!$B$2:$B$627,MATCH(P91,'Raw lists'!$B$2:$B$627,0))&amp;" | ","")))=0,"",LEFT(IF(K91="","",IFERROR(INDEX('Raw lists'!$B$2:$B$627,MATCH(K91,'Raw lists'!$B$2:$B$627,0))&amp;" | ",""))&amp;IF(L91="","",IFERROR(INDEX('Raw lists'!$B$2:$B$627,MATCH(L91,'Raw lists'!$B$2:$B$627,0))&amp;" | ",""))&amp;IF(M91="","",IFERROR(INDEX('Raw lists'!$B$2:$B$627,MATCH(M91,'Raw lists'!$B$2:$B$627,0))&amp;" | ",""))&amp;IF(N91="","",IFERROR(INDEX('Raw lists'!$B$2:$B$627,MATCH(N91,'Raw lists'!$B$2:$B$627,0))&amp;" | ",""))&amp;IF(O91="","",IFERROR(INDEX('Raw lists'!$B$2:$B$627,MATCH(O91,'Raw lists'!$B$2:$B$627,0))&amp;" | ",""))&amp;IF(P91="","",IFERROR(INDEX('Raw lists'!$B$2:$B$627,MATCH(P91,'Raw lists'!$B$2:$B$627,0))&amp;" | ","")),LEN(IF(K91="","",IFERROR(INDEX('Raw lists'!$B$2:$B$627,MATCH(K91,'Raw lists'!$B$2:$B$627,0))&amp;" | ",""))&amp;IF(L91="","",IFERROR(INDEX('Raw lists'!$B$2:$B$627,MATCH(L91,'Raw lists'!$B$2:$B$627,0))&amp;" | ",""))&amp;IF(M91="","",IFERROR(INDEX('Raw lists'!$B$2:$B$627,MATCH(M91,'Raw lists'!$B$2:$B$627,0))&amp;" | ",""))&amp;IF(N91="","",IFERROR(INDEX('Raw lists'!$B$2:$B$627,MATCH(N91,'Raw lists'!$B$2:$B$627,0))&amp;" | ",""))&amp;IF(O91="","",IFERROR(INDEX('Raw lists'!$B$2:$B$627,MATCH(O91,'Raw lists'!$B$2:$B$627,0))&amp;" | ",""))&amp;IF(P91="","",IFERROR(INDEX('Raw lists'!$B$2:$B$627,MATCH(P91,'Raw lists'!$B$2:$B$627,0))&amp;" | ","")))-3))</f>
        <v>Donor Level</v>
      </c>
      <c r="E91" s="30" t="str">
        <f>IF(LEN(IF(K91="","",IFERROR(INDEX('Raw lists'!$C$2:$C$616,MATCH(K91,'Raw lists'!$C$2:$C$616,0))&amp;" | ",""))&amp;IF(L91="","",IFERROR(INDEX('Raw lists'!$C$2:$C$616,MATCH(L91,'Raw lists'!$C$2:$C$616,0))&amp;" | ",""))&amp;IF(M91="","",IFERROR(INDEX('Raw lists'!$C$2:$C$616,MATCH(M91,'Raw lists'!$C$2:$C$616,0))&amp;" | ",""))&amp;IF(N91="","",IFERROR(INDEX('Raw lists'!$C$2:$C$616,MATCH(N91,'Raw lists'!$C$2:$C$616,0))&amp;" | ",""))&amp;IF(O91="","",IFERROR(INDEX('Raw lists'!$C$2:$C$616,MATCH(O91,'Raw lists'!$C$2:$C$616,0))&amp;" | ",""))&amp;IF(P91="","",IFERROR(INDEX('Raw lists'!$C$2:$C$616,MATCH(P91,'Raw lists'!$C$2:$C$616,0))&amp;" | ","")))=0,"",LEFT(IF(K91="","",IFERROR(INDEX('Raw lists'!$C$2:$C$616,MATCH(K91,'Raw lists'!$C$2:$C$616,0))&amp;" | ",""))&amp;IF(L91="","",IFERROR(INDEX('Raw lists'!$C$2:$C$616,MATCH(L91,'Raw lists'!$C$2:$C$616,0))&amp;" | ",""))&amp;IF(M91="","",IFERROR(INDEX('Raw lists'!$C$2:$C$616,MATCH(M91,'Raw lists'!$C$2:$C$616,0))&amp;" | ",""))&amp;IF(N91="","",IFERROR(INDEX('Raw lists'!$C$2:$C$616,MATCH(N91,'Raw lists'!$C$2:$C$616,0))&amp;" | ",""))&amp;IF(O91="","",IFERROR(INDEX('Raw lists'!$C$2:$C$616,MATCH(O91,'Raw lists'!$C$2:$C$616,0))&amp;" | ",""))&amp;IF(P91="","",IFERROR(INDEX('Raw lists'!$C$2:$C$616,MATCH(P91,'Raw lists'!$C$2:$C$616,0))&amp;" | ","")),LEN(IF(K91="","",IFERROR(INDEX('Raw lists'!$C$2:$C$616,MATCH(K91,'Raw lists'!$C$2:$C$616,0))&amp;" | ",""))&amp;IF(L91="","",IFERROR(INDEX('Raw lists'!$C$2:$C$616,MATCH(L91,'Raw lists'!$C$2:$C$616,0))&amp;" | ",""))&amp;IF(M91="","",IFERROR(INDEX('Raw lists'!$C$2:$C$616,MATCH(M91,'Raw lists'!$C$2:$C$616,0))&amp;" | ",""))&amp;IF(N91="","",IFERROR(INDEX('Raw lists'!$C$2:$C$616,MATCH(N91,'Raw lists'!$C$2:$C$616,0))&amp;" | ",""))&amp;IF(O91="","",IFERROR(INDEX('Raw lists'!$C$2:$C$616,MATCH(O91,'Raw lists'!$C$2:$C$616,0))&amp;" | ",""))&amp;IF(P91="","",IFERROR(INDEX('Raw lists'!$C$2:$C$616,MATCH(P91,'Raw lists'!$C$2:$C$616,0))&amp;" | ","")))-3))</f>
        <v/>
      </c>
      <c r="F91" s="28" t="s">
        <v>17</v>
      </c>
      <c r="G91" s="30" t="s">
        <v>378</v>
      </c>
      <c r="H91" s="28">
        <f t="shared" si="2"/>
        <v>1</v>
      </c>
      <c r="I91" s="31" t="str">
        <f t="shared" si="3"/>
        <v>Only RAKE</v>
      </c>
      <c r="K91" s="32" t="s">
        <v>379</v>
      </c>
      <c r="L91" s="32"/>
      <c r="M91" s="32"/>
      <c r="N91" s="32"/>
      <c r="O91" s="32"/>
      <c r="P91" s="32"/>
    </row>
    <row r="92" spans="1:16" ht="26.4" x14ac:dyDescent="0.3">
      <c r="A92" s="28">
        <v>91</v>
      </c>
      <c r="B92" s="29" t="s">
        <v>380</v>
      </c>
      <c r="C92" s="30" t="str">
        <f>IF(LEN(IF(K92="","",IFERROR(INDEX('Raw lists'!$A$2:$A$192,MATCH(K92,'Raw lists'!$A$2:$A$192,0))&amp;" | ",""))&amp;IF(L92="","",IFERROR(INDEX('Raw lists'!$A$2:$A$192,MATCH(L92,'Raw lists'!$A$2:$A$192,0))&amp;" | ",""))&amp;IF(M92="","",IFERROR(INDEX('Raw lists'!$A$2:$A$192,MATCH(M92,'Raw lists'!$A$2:$A$192,0))&amp;" | ",""))&amp;IF(N92="","",IFERROR(INDEX('Raw lists'!$A$2:$A$192,MATCH(N92,'Raw lists'!$A$2:$A$192,0))&amp;" | ",""))&amp;IF(O92="","",IFERROR(INDEX('Raw lists'!$A$2:$A$192,MATCH(O92,'Raw lists'!$A$2:$A$192,0))&amp;" | ",""))&amp;IF(P92="","",IFERROR(INDEX('Raw lists'!$A$2:$A$192,MATCH(P92,'Raw lists'!$A$2:$A$192,0))&amp;" | ","")))=0,"",LEFT(IF(K92="","",IFERROR(INDEX('Raw lists'!$A$2:$A$192,MATCH(K92,'Raw lists'!$A$2:$A$192,0))&amp;" | ",""))&amp;IF(L92="","",IFERROR(INDEX('Raw lists'!$A$2:$A$192,MATCH(L92,'Raw lists'!$A$2:$A$192,0))&amp;" | ",""))&amp;IF(M92="","",IFERROR(INDEX('Raw lists'!$A$2:$A$192,MATCH(M92,'Raw lists'!$A$2:$A$192,0))&amp;" | ",""))&amp;IF(N92="","",IFERROR(INDEX('Raw lists'!$A$2:$A$192,MATCH(N92,'Raw lists'!$A$2:$A$192,0))&amp;" | ",""))&amp;IF(O92="","",IFERROR(INDEX('Raw lists'!$A$2:$A$192,MATCH(O92,'Raw lists'!$A$2:$A$192,0))&amp;" | ",""))&amp;IF(P92="","",IFERROR(INDEX('Raw lists'!$A$2:$A$192,MATCH(P92,'Raw lists'!$A$2:$A$192,0))&amp;" | ","")),LEN(IF(K92="","",IFERROR(INDEX('Raw lists'!$A$2:$A$192,MATCH(K92,'Raw lists'!$A$2:$A$192,0))&amp;" | ",""))&amp;IF(L92="","",IFERROR(INDEX('Raw lists'!$A$2:$A$192,MATCH(L92,'Raw lists'!$A$2:$A$192,0))&amp;" | ",""))&amp;IF(M92="","",IFERROR(INDEX('Raw lists'!$A$2:$A$192,MATCH(M92,'Raw lists'!$A$2:$A$192,0))&amp;" | ",""))&amp;IF(N92="","",IFERROR(INDEX('Raw lists'!$A$2:$A$192,MATCH(N92,'Raw lists'!$A$2:$A$192,0))&amp;" | ",""))&amp;IF(O92="","",IFERROR(INDEX('Raw lists'!$A$2:$A$192,MATCH(O92,'Raw lists'!$A$2:$A$192,0))&amp;" | ",""))&amp;IF(P92="","",IFERROR(INDEX('Raw lists'!$A$2:$A$192,MATCH(P92,'Raw lists'!$A$2:$A$192,0))&amp;" | ","")))-3))</f>
        <v/>
      </c>
      <c r="D92" s="30" t="str">
        <f>IF(LEN(IF(K92="","",IFERROR(INDEX('Raw lists'!$B$2:$B$627,MATCH(K92,'Raw lists'!$B$2:$B$627,0))&amp;" | ",""))&amp;IF(L92="","",IFERROR(INDEX('Raw lists'!$B$2:$B$627,MATCH(L92,'Raw lists'!$B$2:$B$627,0))&amp;" | ",""))&amp;IF(M92="","",IFERROR(INDEX('Raw lists'!$B$2:$B$627,MATCH(M92,'Raw lists'!$B$2:$B$627,0))&amp;" | ",""))&amp;IF(N92="","",IFERROR(INDEX('Raw lists'!$B$2:$B$627,MATCH(N92,'Raw lists'!$B$2:$B$627,0))&amp;" | ",""))&amp;IF(O92="","",IFERROR(INDEX('Raw lists'!$B$2:$B$627,MATCH(O92,'Raw lists'!$B$2:$B$627,0))&amp;" | ",""))&amp;IF(P92="","",IFERROR(INDEX('Raw lists'!$B$2:$B$627,MATCH(P92,'Raw lists'!$B$2:$B$627,0))&amp;" | ","")))=0,"",LEFT(IF(K92="","",IFERROR(INDEX('Raw lists'!$B$2:$B$627,MATCH(K92,'Raw lists'!$B$2:$B$627,0))&amp;" | ",""))&amp;IF(L92="","",IFERROR(INDEX('Raw lists'!$B$2:$B$627,MATCH(L92,'Raw lists'!$B$2:$B$627,0))&amp;" | ",""))&amp;IF(M92="","",IFERROR(INDEX('Raw lists'!$B$2:$B$627,MATCH(M92,'Raw lists'!$B$2:$B$627,0))&amp;" | ",""))&amp;IF(N92="","",IFERROR(INDEX('Raw lists'!$B$2:$B$627,MATCH(N92,'Raw lists'!$B$2:$B$627,0))&amp;" | ",""))&amp;IF(O92="","",IFERROR(INDEX('Raw lists'!$B$2:$B$627,MATCH(O92,'Raw lists'!$B$2:$B$627,0))&amp;" | ",""))&amp;IF(P92="","",IFERROR(INDEX('Raw lists'!$B$2:$B$627,MATCH(P92,'Raw lists'!$B$2:$B$627,0))&amp;" | ","")),LEN(IF(K92="","",IFERROR(INDEX('Raw lists'!$B$2:$B$627,MATCH(K92,'Raw lists'!$B$2:$B$627,0))&amp;" | ",""))&amp;IF(L92="","",IFERROR(INDEX('Raw lists'!$B$2:$B$627,MATCH(L92,'Raw lists'!$B$2:$B$627,0))&amp;" | ",""))&amp;IF(M92="","",IFERROR(INDEX('Raw lists'!$B$2:$B$627,MATCH(M92,'Raw lists'!$B$2:$B$627,0))&amp;" | ",""))&amp;IF(N92="","",IFERROR(INDEX('Raw lists'!$B$2:$B$627,MATCH(N92,'Raw lists'!$B$2:$B$627,0))&amp;" | ",""))&amp;IF(O92="","",IFERROR(INDEX('Raw lists'!$B$2:$B$627,MATCH(O92,'Raw lists'!$B$2:$B$627,0))&amp;" | ",""))&amp;IF(P92="","",IFERROR(INDEX('Raw lists'!$B$2:$B$627,MATCH(P92,'Raw lists'!$B$2:$B$627,0))&amp;" | ","")))-3))</f>
        <v/>
      </c>
      <c r="E92" s="30" t="str">
        <f>IF(LEN(IF(K92="","",IFERROR(INDEX('Raw lists'!$C$2:$C$616,MATCH(K92,'Raw lists'!$C$2:$C$616,0))&amp;" | ",""))&amp;IF(L92="","",IFERROR(INDEX('Raw lists'!$C$2:$C$616,MATCH(L92,'Raw lists'!$C$2:$C$616,0))&amp;" | ",""))&amp;IF(M92="","",IFERROR(INDEX('Raw lists'!$C$2:$C$616,MATCH(M92,'Raw lists'!$C$2:$C$616,0))&amp;" | ",""))&amp;IF(N92="","",IFERROR(INDEX('Raw lists'!$C$2:$C$616,MATCH(N92,'Raw lists'!$C$2:$C$616,0))&amp;" | ",""))&amp;IF(O92="","",IFERROR(INDEX('Raw lists'!$C$2:$C$616,MATCH(O92,'Raw lists'!$C$2:$C$616,0))&amp;" | ",""))&amp;IF(P92="","",IFERROR(INDEX('Raw lists'!$C$2:$C$616,MATCH(P92,'Raw lists'!$C$2:$C$616,0))&amp;" | ","")))=0,"",LEFT(IF(K92="","",IFERROR(INDEX('Raw lists'!$C$2:$C$616,MATCH(K92,'Raw lists'!$C$2:$C$616,0))&amp;" | ",""))&amp;IF(L92="","",IFERROR(INDEX('Raw lists'!$C$2:$C$616,MATCH(L92,'Raw lists'!$C$2:$C$616,0))&amp;" | ",""))&amp;IF(M92="","",IFERROR(INDEX('Raw lists'!$C$2:$C$616,MATCH(M92,'Raw lists'!$C$2:$C$616,0))&amp;" | ",""))&amp;IF(N92="","",IFERROR(INDEX('Raw lists'!$C$2:$C$616,MATCH(N92,'Raw lists'!$C$2:$C$616,0))&amp;" | ",""))&amp;IF(O92="","",IFERROR(INDEX('Raw lists'!$C$2:$C$616,MATCH(O92,'Raw lists'!$C$2:$C$616,0))&amp;" | ",""))&amp;IF(P92="","",IFERROR(INDEX('Raw lists'!$C$2:$C$616,MATCH(P92,'Raw lists'!$C$2:$C$616,0))&amp;" | ","")),LEN(IF(K92="","",IFERROR(INDEX('Raw lists'!$C$2:$C$616,MATCH(K92,'Raw lists'!$C$2:$C$616,0))&amp;" | ",""))&amp;IF(L92="","",IFERROR(INDEX('Raw lists'!$C$2:$C$616,MATCH(L92,'Raw lists'!$C$2:$C$616,0))&amp;" | ",""))&amp;IF(M92="","",IFERROR(INDEX('Raw lists'!$C$2:$C$616,MATCH(M92,'Raw lists'!$C$2:$C$616,0))&amp;" | ",""))&amp;IF(N92="","",IFERROR(INDEX('Raw lists'!$C$2:$C$616,MATCH(N92,'Raw lists'!$C$2:$C$616,0))&amp;" | ",""))&amp;IF(O92="","",IFERROR(INDEX('Raw lists'!$C$2:$C$616,MATCH(O92,'Raw lists'!$C$2:$C$616,0))&amp;" | ",""))&amp;IF(P92="","",IFERROR(INDEX('Raw lists'!$C$2:$C$616,MATCH(P92,'Raw lists'!$C$2:$C$616,0))&amp;" | ","")))-3))</f>
        <v>Electron-hole Recombination | Recombination</v>
      </c>
      <c r="F92" s="28" t="s">
        <v>17</v>
      </c>
      <c r="G92" s="30" t="s">
        <v>381</v>
      </c>
      <c r="H92" s="28">
        <f t="shared" si="2"/>
        <v>1</v>
      </c>
      <c r="I92" s="31" t="str">
        <f t="shared" si="3"/>
        <v>Only YAKE</v>
      </c>
      <c r="K92" s="32" t="s">
        <v>382</v>
      </c>
      <c r="L92" s="32" t="s">
        <v>383</v>
      </c>
      <c r="M92" s="32"/>
      <c r="N92" s="32"/>
      <c r="O92" s="32"/>
      <c r="P92" s="32"/>
    </row>
    <row r="93" spans="1:16" x14ac:dyDescent="0.3">
      <c r="A93" s="28">
        <v>92</v>
      </c>
      <c r="B93" s="29" t="s">
        <v>384</v>
      </c>
      <c r="C93" s="30" t="str">
        <f>IF(LEN(IF(K93="","",IFERROR(INDEX('Raw lists'!$A$2:$A$192,MATCH(K93,'Raw lists'!$A$2:$A$192,0))&amp;" | ",""))&amp;IF(L93="","",IFERROR(INDEX('Raw lists'!$A$2:$A$192,MATCH(L93,'Raw lists'!$A$2:$A$192,0))&amp;" | ",""))&amp;IF(M93="","",IFERROR(INDEX('Raw lists'!$A$2:$A$192,MATCH(M93,'Raw lists'!$A$2:$A$192,0))&amp;" | ",""))&amp;IF(N93="","",IFERROR(INDEX('Raw lists'!$A$2:$A$192,MATCH(N93,'Raw lists'!$A$2:$A$192,0))&amp;" | ",""))&amp;IF(O93="","",IFERROR(INDEX('Raw lists'!$A$2:$A$192,MATCH(O93,'Raw lists'!$A$2:$A$192,0))&amp;" | ",""))&amp;IF(P93="","",IFERROR(INDEX('Raw lists'!$A$2:$A$192,MATCH(P93,'Raw lists'!$A$2:$A$192,0))&amp;" | ","")))=0,"",LEFT(IF(K93="","",IFERROR(INDEX('Raw lists'!$A$2:$A$192,MATCH(K93,'Raw lists'!$A$2:$A$192,0))&amp;" | ",""))&amp;IF(L93="","",IFERROR(INDEX('Raw lists'!$A$2:$A$192,MATCH(L93,'Raw lists'!$A$2:$A$192,0))&amp;" | ",""))&amp;IF(M93="","",IFERROR(INDEX('Raw lists'!$A$2:$A$192,MATCH(M93,'Raw lists'!$A$2:$A$192,0))&amp;" | ",""))&amp;IF(N93="","",IFERROR(INDEX('Raw lists'!$A$2:$A$192,MATCH(N93,'Raw lists'!$A$2:$A$192,0))&amp;" | ",""))&amp;IF(O93="","",IFERROR(INDEX('Raw lists'!$A$2:$A$192,MATCH(O93,'Raw lists'!$A$2:$A$192,0))&amp;" | ",""))&amp;IF(P93="","",IFERROR(INDEX('Raw lists'!$A$2:$A$192,MATCH(P93,'Raw lists'!$A$2:$A$192,0))&amp;" | ","")),LEN(IF(K93="","",IFERROR(INDEX('Raw lists'!$A$2:$A$192,MATCH(K93,'Raw lists'!$A$2:$A$192,0))&amp;" | ",""))&amp;IF(L93="","",IFERROR(INDEX('Raw lists'!$A$2:$A$192,MATCH(L93,'Raw lists'!$A$2:$A$192,0))&amp;" | ",""))&amp;IF(M93="","",IFERROR(INDEX('Raw lists'!$A$2:$A$192,MATCH(M93,'Raw lists'!$A$2:$A$192,0))&amp;" | ",""))&amp;IF(N93="","",IFERROR(INDEX('Raw lists'!$A$2:$A$192,MATCH(N93,'Raw lists'!$A$2:$A$192,0))&amp;" | ",""))&amp;IF(O93="","",IFERROR(INDEX('Raw lists'!$A$2:$A$192,MATCH(O93,'Raw lists'!$A$2:$A$192,0))&amp;" | ",""))&amp;IF(P93="","",IFERROR(INDEX('Raw lists'!$A$2:$A$192,MATCH(P93,'Raw lists'!$A$2:$A$192,0))&amp;" | ","")))-3))</f>
        <v/>
      </c>
      <c r="D93" s="30" t="str">
        <f>IF(LEN(IF(K93="","",IFERROR(INDEX('Raw lists'!$B$2:$B$627,MATCH(K93,'Raw lists'!$B$2:$B$627,0))&amp;" | ",""))&amp;IF(L93="","",IFERROR(INDEX('Raw lists'!$B$2:$B$627,MATCH(L93,'Raw lists'!$B$2:$B$627,0))&amp;" | ",""))&amp;IF(M93="","",IFERROR(INDEX('Raw lists'!$B$2:$B$627,MATCH(M93,'Raw lists'!$B$2:$B$627,0))&amp;" | ",""))&amp;IF(N93="","",IFERROR(INDEX('Raw lists'!$B$2:$B$627,MATCH(N93,'Raw lists'!$B$2:$B$627,0))&amp;" | ",""))&amp;IF(O93="","",IFERROR(INDEX('Raw lists'!$B$2:$B$627,MATCH(O93,'Raw lists'!$B$2:$B$627,0))&amp;" | ",""))&amp;IF(P93="","",IFERROR(INDEX('Raw lists'!$B$2:$B$627,MATCH(P93,'Raw lists'!$B$2:$B$627,0))&amp;" | ","")))=0,"",LEFT(IF(K93="","",IFERROR(INDEX('Raw lists'!$B$2:$B$627,MATCH(K93,'Raw lists'!$B$2:$B$627,0))&amp;" | ",""))&amp;IF(L93="","",IFERROR(INDEX('Raw lists'!$B$2:$B$627,MATCH(L93,'Raw lists'!$B$2:$B$627,0))&amp;" | ",""))&amp;IF(M93="","",IFERROR(INDEX('Raw lists'!$B$2:$B$627,MATCH(M93,'Raw lists'!$B$2:$B$627,0))&amp;" | ",""))&amp;IF(N93="","",IFERROR(INDEX('Raw lists'!$B$2:$B$627,MATCH(N93,'Raw lists'!$B$2:$B$627,0))&amp;" | ",""))&amp;IF(O93="","",IFERROR(INDEX('Raw lists'!$B$2:$B$627,MATCH(O93,'Raw lists'!$B$2:$B$627,0))&amp;" | ",""))&amp;IF(P93="","",IFERROR(INDEX('Raw lists'!$B$2:$B$627,MATCH(P93,'Raw lists'!$B$2:$B$627,0))&amp;" | ","")),LEN(IF(K93="","",IFERROR(INDEX('Raw lists'!$B$2:$B$627,MATCH(K93,'Raw lists'!$B$2:$B$627,0))&amp;" | ",""))&amp;IF(L93="","",IFERROR(INDEX('Raw lists'!$B$2:$B$627,MATCH(L93,'Raw lists'!$B$2:$B$627,0))&amp;" | ",""))&amp;IF(M93="","",IFERROR(INDEX('Raw lists'!$B$2:$B$627,MATCH(M93,'Raw lists'!$B$2:$B$627,0))&amp;" | ",""))&amp;IF(N93="","",IFERROR(INDEX('Raw lists'!$B$2:$B$627,MATCH(N93,'Raw lists'!$B$2:$B$627,0))&amp;" | ",""))&amp;IF(O93="","",IFERROR(INDEX('Raw lists'!$B$2:$B$627,MATCH(O93,'Raw lists'!$B$2:$B$627,0))&amp;" | ",""))&amp;IF(P93="","",IFERROR(INDEX('Raw lists'!$B$2:$B$627,MATCH(P93,'Raw lists'!$B$2:$B$627,0))&amp;" | ","")))-3))</f>
        <v/>
      </c>
      <c r="E93" s="30" t="str">
        <f>IF(LEN(IF(K93="","",IFERROR(INDEX('Raw lists'!$C$2:$C$616,MATCH(K93,'Raw lists'!$C$2:$C$616,0))&amp;" | ",""))&amp;IF(L93="","",IFERROR(INDEX('Raw lists'!$C$2:$C$616,MATCH(L93,'Raw lists'!$C$2:$C$616,0))&amp;" | ",""))&amp;IF(M93="","",IFERROR(INDEX('Raw lists'!$C$2:$C$616,MATCH(M93,'Raw lists'!$C$2:$C$616,0))&amp;" | ",""))&amp;IF(N93="","",IFERROR(INDEX('Raw lists'!$C$2:$C$616,MATCH(N93,'Raw lists'!$C$2:$C$616,0))&amp;" | ",""))&amp;IF(O93="","",IFERROR(INDEX('Raw lists'!$C$2:$C$616,MATCH(O93,'Raw lists'!$C$2:$C$616,0))&amp;" | ",""))&amp;IF(P93="","",IFERROR(INDEX('Raw lists'!$C$2:$C$616,MATCH(P93,'Raw lists'!$C$2:$C$616,0))&amp;" | ","")))=0,"",LEFT(IF(K93="","",IFERROR(INDEX('Raw lists'!$C$2:$C$616,MATCH(K93,'Raw lists'!$C$2:$C$616,0))&amp;" | ",""))&amp;IF(L93="","",IFERROR(INDEX('Raw lists'!$C$2:$C$616,MATCH(L93,'Raw lists'!$C$2:$C$616,0))&amp;" | ",""))&amp;IF(M93="","",IFERROR(INDEX('Raw lists'!$C$2:$C$616,MATCH(M93,'Raw lists'!$C$2:$C$616,0))&amp;" | ",""))&amp;IF(N93="","",IFERROR(INDEX('Raw lists'!$C$2:$C$616,MATCH(N93,'Raw lists'!$C$2:$C$616,0))&amp;" | ",""))&amp;IF(O93="","",IFERROR(INDEX('Raw lists'!$C$2:$C$616,MATCH(O93,'Raw lists'!$C$2:$C$616,0))&amp;" | ",""))&amp;IF(P93="","",IFERROR(INDEX('Raw lists'!$C$2:$C$616,MATCH(P93,'Raw lists'!$C$2:$C$616,0))&amp;" | ","")),LEN(IF(K93="","",IFERROR(INDEX('Raw lists'!$C$2:$C$616,MATCH(K93,'Raw lists'!$C$2:$C$616,0))&amp;" | ",""))&amp;IF(L93="","",IFERROR(INDEX('Raw lists'!$C$2:$C$616,MATCH(L93,'Raw lists'!$C$2:$C$616,0))&amp;" | ",""))&amp;IF(M93="","",IFERROR(INDEX('Raw lists'!$C$2:$C$616,MATCH(M93,'Raw lists'!$C$2:$C$616,0))&amp;" | ",""))&amp;IF(N93="","",IFERROR(INDEX('Raw lists'!$C$2:$C$616,MATCH(N93,'Raw lists'!$C$2:$C$616,0))&amp;" | ",""))&amp;IF(O93="","",IFERROR(INDEX('Raw lists'!$C$2:$C$616,MATCH(O93,'Raw lists'!$C$2:$C$616,0))&amp;" | ",""))&amp;IF(P93="","",IFERROR(INDEX('Raw lists'!$C$2:$C$616,MATCH(P93,'Raw lists'!$C$2:$C$616,0))&amp;" | ","")))-3))</f>
        <v/>
      </c>
      <c r="F93" s="28" t="s">
        <v>17</v>
      </c>
      <c r="G93" s="30" t="s">
        <v>385</v>
      </c>
      <c r="H93" s="28">
        <f t="shared" si="2"/>
        <v>0</v>
      </c>
      <c r="I93" s="31" t="str">
        <f t="shared" si="3"/>
        <v>None</v>
      </c>
      <c r="K93" s="32" t="s">
        <v>386</v>
      </c>
      <c r="L93" s="32"/>
      <c r="M93" s="32"/>
      <c r="N93" s="32"/>
      <c r="O93" s="32"/>
      <c r="P93" s="32"/>
    </row>
    <row r="94" spans="1:16" ht="26.4" x14ac:dyDescent="0.3">
      <c r="A94" s="28">
        <v>93</v>
      </c>
      <c r="B94" s="29" t="s">
        <v>387</v>
      </c>
      <c r="C94" s="30" t="str">
        <f>IF(LEN(IF(K94="","",IFERROR(INDEX('Raw lists'!$A$2:$A$192,MATCH(K94,'Raw lists'!$A$2:$A$192,0))&amp;" | ",""))&amp;IF(L94="","",IFERROR(INDEX('Raw lists'!$A$2:$A$192,MATCH(L94,'Raw lists'!$A$2:$A$192,0))&amp;" | ",""))&amp;IF(M94="","",IFERROR(INDEX('Raw lists'!$A$2:$A$192,MATCH(M94,'Raw lists'!$A$2:$A$192,0))&amp;" | ",""))&amp;IF(N94="","",IFERROR(INDEX('Raw lists'!$A$2:$A$192,MATCH(N94,'Raw lists'!$A$2:$A$192,0))&amp;" | ",""))&amp;IF(O94="","",IFERROR(INDEX('Raw lists'!$A$2:$A$192,MATCH(O94,'Raw lists'!$A$2:$A$192,0))&amp;" | ",""))&amp;IF(P94="","",IFERROR(INDEX('Raw lists'!$A$2:$A$192,MATCH(P94,'Raw lists'!$A$2:$A$192,0))&amp;" | ","")))=0,"",LEFT(IF(K94="","",IFERROR(INDEX('Raw lists'!$A$2:$A$192,MATCH(K94,'Raw lists'!$A$2:$A$192,0))&amp;" | ",""))&amp;IF(L94="","",IFERROR(INDEX('Raw lists'!$A$2:$A$192,MATCH(L94,'Raw lists'!$A$2:$A$192,0))&amp;" | ",""))&amp;IF(M94="","",IFERROR(INDEX('Raw lists'!$A$2:$A$192,MATCH(M94,'Raw lists'!$A$2:$A$192,0))&amp;" | ",""))&amp;IF(N94="","",IFERROR(INDEX('Raw lists'!$A$2:$A$192,MATCH(N94,'Raw lists'!$A$2:$A$192,0))&amp;" | ",""))&amp;IF(O94="","",IFERROR(INDEX('Raw lists'!$A$2:$A$192,MATCH(O94,'Raw lists'!$A$2:$A$192,0))&amp;" | ",""))&amp;IF(P94="","",IFERROR(INDEX('Raw lists'!$A$2:$A$192,MATCH(P94,'Raw lists'!$A$2:$A$192,0))&amp;" | ","")),LEN(IF(K94="","",IFERROR(INDEX('Raw lists'!$A$2:$A$192,MATCH(K94,'Raw lists'!$A$2:$A$192,0))&amp;" | ",""))&amp;IF(L94="","",IFERROR(INDEX('Raw lists'!$A$2:$A$192,MATCH(L94,'Raw lists'!$A$2:$A$192,0))&amp;" | ",""))&amp;IF(M94="","",IFERROR(INDEX('Raw lists'!$A$2:$A$192,MATCH(M94,'Raw lists'!$A$2:$A$192,0))&amp;" | ",""))&amp;IF(N94="","",IFERROR(INDEX('Raw lists'!$A$2:$A$192,MATCH(N94,'Raw lists'!$A$2:$A$192,0))&amp;" | ",""))&amp;IF(O94="","",IFERROR(INDEX('Raw lists'!$A$2:$A$192,MATCH(O94,'Raw lists'!$A$2:$A$192,0))&amp;" | ",""))&amp;IF(P94="","",IFERROR(INDEX('Raw lists'!$A$2:$A$192,MATCH(P94,'Raw lists'!$A$2:$A$192,0))&amp;" | ","")))-3))</f>
        <v/>
      </c>
      <c r="D94" s="30" t="str">
        <f>IF(LEN(IF(K94="","",IFERROR(INDEX('Raw lists'!$B$2:$B$627,MATCH(K94,'Raw lists'!$B$2:$B$627,0))&amp;" | ",""))&amp;IF(L94="","",IFERROR(INDEX('Raw lists'!$B$2:$B$627,MATCH(L94,'Raw lists'!$B$2:$B$627,0))&amp;" | ",""))&amp;IF(M94="","",IFERROR(INDEX('Raw lists'!$B$2:$B$627,MATCH(M94,'Raw lists'!$B$2:$B$627,0))&amp;" | ",""))&amp;IF(N94="","",IFERROR(INDEX('Raw lists'!$B$2:$B$627,MATCH(N94,'Raw lists'!$B$2:$B$627,0))&amp;" | ",""))&amp;IF(O94="","",IFERROR(INDEX('Raw lists'!$B$2:$B$627,MATCH(O94,'Raw lists'!$B$2:$B$627,0))&amp;" | ",""))&amp;IF(P94="","",IFERROR(INDEX('Raw lists'!$B$2:$B$627,MATCH(P94,'Raw lists'!$B$2:$B$627,0))&amp;" | ","")))=0,"",LEFT(IF(K94="","",IFERROR(INDEX('Raw lists'!$B$2:$B$627,MATCH(K94,'Raw lists'!$B$2:$B$627,0))&amp;" | ",""))&amp;IF(L94="","",IFERROR(INDEX('Raw lists'!$B$2:$B$627,MATCH(L94,'Raw lists'!$B$2:$B$627,0))&amp;" | ",""))&amp;IF(M94="","",IFERROR(INDEX('Raw lists'!$B$2:$B$627,MATCH(M94,'Raw lists'!$B$2:$B$627,0))&amp;" | ",""))&amp;IF(N94="","",IFERROR(INDEX('Raw lists'!$B$2:$B$627,MATCH(N94,'Raw lists'!$B$2:$B$627,0))&amp;" | ",""))&amp;IF(O94="","",IFERROR(INDEX('Raw lists'!$B$2:$B$627,MATCH(O94,'Raw lists'!$B$2:$B$627,0))&amp;" | ",""))&amp;IF(P94="","",IFERROR(INDEX('Raw lists'!$B$2:$B$627,MATCH(P94,'Raw lists'!$B$2:$B$627,0))&amp;" | ","")),LEN(IF(K94="","",IFERROR(INDEX('Raw lists'!$B$2:$B$627,MATCH(K94,'Raw lists'!$B$2:$B$627,0))&amp;" | ",""))&amp;IF(L94="","",IFERROR(INDEX('Raw lists'!$B$2:$B$627,MATCH(L94,'Raw lists'!$B$2:$B$627,0))&amp;" | ",""))&amp;IF(M94="","",IFERROR(INDEX('Raw lists'!$B$2:$B$627,MATCH(M94,'Raw lists'!$B$2:$B$627,0))&amp;" | ",""))&amp;IF(N94="","",IFERROR(INDEX('Raw lists'!$B$2:$B$627,MATCH(N94,'Raw lists'!$B$2:$B$627,0))&amp;" | ",""))&amp;IF(O94="","",IFERROR(INDEX('Raw lists'!$B$2:$B$627,MATCH(O94,'Raw lists'!$B$2:$B$627,0))&amp;" | ",""))&amp;IF(P94="","",IFERROR(INDEX('Raw lists'!$B$2:$B$627,MATCH(P94,'Raw lists'!$B$2:$B$627,0))&amp;" | ","")))-3))</f>
        <v/>
      </c>
      <c r="E94" s="30" t="str">
        <f>IF(LEN(IF(K94="","",IFERROR(INDEX('Raw lists'!$C$2:$C$616,MATCH(K94,'Raw lists'!$C$2:$C$616,0))&amp;" | ",""))&amp;IF(L94="","",IFERROR(INDEX('Raw lists'!$C$2:$C$616,MATCH(L94,'Raw lists'!$C$2:$C$616,0))&amp;" | ",""))&amp;IF(M94="","",IFERROR(INDEX('Raw lists'!$C$2:$C$616,MATCH(M94,'Raw lists'!$C$2:$C$616,0))&amp;" | ",""))&amp;IF(N94="","",IFERROR(INDEX('Raw lists'!$C$2:$C$616,MATCH(N94,'Raw lists'!$C$2:$C$616,0))&amp;" | ",""))&amp;IF(O94="","",IFERROR(INDEX('Raw lists'!$C$2:$C$616,MATCH(O94,'Raw lists'!$C$2:$C$616,0))&amp;" | ",""))&amp;IF(P94="","",IFERROR(INDEX('Raw lists'!$C$2:$C$616,MATCH(P94,'Raw lists'!$C$2:$C$616,0))&amp;" | ","")))=0,"",LEFT(IF(K94="","",IFERROR(INDEX('Raw lists'!$C$2:$C$616,MATCH(K94,'Raw lists'!$C$2:$C$616,0))&amp;" | ",""))&amp;IF(L94="","",IFERROR(INDEX('Raw lists'!$C$2:$C$616,MATCH(L94,'Raw lists'!$C$2:$C$616,0))&amp;" | ",""))&amp;IF(M94="","",IFERROR(INDEX('Raw lists'!$C$2:$C$616,MATCH(M94,'Raw lists'!$C$2:$C$616,0))&amp;" | ",""))&amp;IF(N94="","",IFERROR(INDEX('Raw lists'!$C$2:$C$616,MATCH(N94,'Raw lists'!$C$2:$C$616,0))&amp;" | ",""))&amp;IF(O94="","",IFERROR(INDEX('Raw lists'!$C$2:$C$616,MATCH(O94,'Raw lists'!$C$2:$C$616,0))&amp;" | ",""))&amp;IF(P94="","",IFERROR(INDEX('Raw lists'!$C$2:$C$616,MATCH(P94,'Raw lists'!$C$2:$C$616,0))&amp;" | ","")),LEN(IF(K94="","",IFERROR(INDEX('Raw lists'!$C$2:$C$616,MATCH(K94,'Raw lists'!$C$2:$C$616,0))&amp;" | ",""))&amp;IF(L94="","",IFERROR(INDEX('Raw lists'!$C$2:$C$616,MATCH(L94,'Raw lists'!$C$2:$C$616,0))&amp;" | ",""))&amp;IF(M94="","",IFERROR(INDEX('Raw lists'!$C$2:$C$616,MATCH(M94,'Raw lists'!$C$2:$C$616,0))&amp;" | ",""))&amp;IF(N94="","",IFERROR(INDEX('Raw lists'!$C$2:$C$616,MATCH(N94,'Raw lists'!$C$2:$C$616,0))&amp;" | ",""))&amp;IF(O94="","",IFERROR(INDEX('Raw lists'!$C$2:$C$616,MATCH(O94,'Raw lists'!$C$2:$C$616,0))&amp;" | ",""))&amp;IF(P94="","",IFERROR(INDEX('Raw lists'!$C$2:$C$616,MATCH(P94,'Raw lists'!$C$2:$C$616,0))&amp;" | ","")))-3))</f>
        <v>Led | Led</v>
      </c>
      <c r="F94" s="28" t="s">
        <v>17</v>
      </c>
      <c r="G94" s="30" t="s">
        <v>388</v>
      </c>
      <c r="H94" s="28">
        <f t="shared" si="2"/>
        <v>1</v>
      </c>
      <c r="I94" s="31" t="str">
        <f t="shared" si="3"/>
        <v>Only YAKE</v>
      </c>
      <c r="K94" s="32" t="s">
        <v>389</v>
      </c>
      <c r="L94" s="32" t="s">
        <v>390</v>
      </c>
      <c r="M94" s="32"/>
      <c r="N94" s="32"/>
      <c r="O94" s="32"/>
      <c r="P94" s="32"/>
    </row>
    <row r="95" spans="1:16" ht="26.4" x14ac:dyDescent="0.3">
      <c r="A95" s="28">
        <v>94</v>
      </c>
      <c r="B95" s="29" t="s">
        <v>391</v>
      </c>
      <c r="C95" s="30" t="str">
        <f>IF(LEN(IF(K95="","",IFERROR(INDEX('Raw lists'!$A$2:$A$192,MATCH(K95,'Raw lists'!$A$2:$A$192,0))&amp;" | ",""))&amp;IF(L95="","",IFERROR(INDEX('Raw lists'!$A$2:$A$192,MATCH(L95,'Raw lists'!$A$2:$A$192,0))&amp;" | ",""))&amp;IF(M95="","",IFERROR(INDEX('Raw lists'!$A$2:$A$192,MATCH(M95,'Raw lists'!$A$2:$A$192,0))&amp;" | ",""))&amp;IF(N95="","",IFERROR(INDEX('Raw lists'!$A$2:$A$192,MATCH(N95,'Raw lists'!$A$2:$A$192,0))&amp;" | ",""))&amp;IF(O95="","",IFERROR(INDEX('Raw lists'!$A$2:$A$192,MATCH(O95,'Raw lists'!$A$2:$A$192,0))&amp;" | ",""))&amp;IF(P95="","",IFERROR(INDEX('Raw lists'!$A$2:$A$192,MATCH(P95,'Raw lists'!$A$2:$A$192,0))&amp;" | ","")))=0,"",LEFT(IF(K95="","",IFERROR(INDEX('Raw lists'!$A$2:$A$192,MATCH(K95,'Raw lists'!$A$2:$A$192,0))&amp;" | ",""))&amp;IF(L95="","",IFERROR(INDEX('Raw lists'!$A$2:$A$192,MATCH(L95,'Raw lists'!$A$2:$A$192,0))&amp;" | ",""))&amp;IF(M95="","",IFERROR(INDEX('Raw lists'!$A$2:$A$192,MATCH(M95,'Raw lists'!$A$2:$A$192,0))&amp;" | ",""))&amp;IF(N95="","",IFERROR(INDEX('Raw lists'!$A$2:$A$192,MATCH(N95,'Raw lists'!$A$2:$A$192,0))&amp;" | ",""))&amp;IF(O95="","",IFERROR(INDEX('Raw lists'!$A$2:$A$192,MATCH(O95,'Raw lists'!$A$2:$A$192,0))&amp;" | ",""))&amp;IF(P95="","",IFERROR(INDEX('Raw lists'!$A$2:$A$192,MATCH(P95,'Raw lists'!$A$2:$A$192,0))&amp;" | ","")),LEN(IF(K95="","",IFERROR(INDEX('Raw lists'!$A$2:$A$192,MATCH(K95,'Raw lists'!$A$2:$A$192,0))&amp;" | ",""))&amp;IF(L95="","",IFERROR(INDEX('Raw lists'!$A$2:$A$192,MATCH(L95,'Raw lists'!$A$2:$A$192,0))&amp;" | ",""))&amp;IF(M95="","",IFERROR(INDEX('Raw lists'!$A$2:$A$192,MATCH(M95,'Raw lists'!$A$2:$A$192,0))&amp;" | ",""))&amp;IF(N95="","",IFERROR(INDEX('Raw lists'!$A$2:$A$192,MATCH(N95,'Raw lists'!$A$2:$A$192,0))&amp;" | ",""))&amp;IF(O95="","",IFERROR(INDEX('Raw lists'!$A$2:$A$192,MATCH(O95,'Raw lists'!$A$2:$A$192,0))&amp;" | ",""))&amp;IF(P95="","",IFERROR(INDEX('Raw lists'!$A$2:$A$192,MATCH(P95,'Raw lists'!$A$2:$A$192,0))&amp;" | ","")))-3))</f>
        <v/>
      </c>
      <c r="D95" s="30" t="str">
        <f>IF(LEN(IF(K95="","",IFERROR(INDEX('Raw lists'!$B$2:$B$627,MATCH(K95,'Raw lists'!$B$2:$B$627,0))&amp;" | ",""))&amp;IF(L95="","",IFERROR(INDEX('Raw lists'!$B$2:$B$627,MATCH(L95,'Raw lists'!$B$2:$B$627,0))&amp;" | ",""))&amp;IF(M95="","",IFERROR(INDEX('Raw lists'!$B$2:$B$627,MATCH(M95,'Raw lists'!$B$2:$B$627,0))&amp;" | ",""))&amp;IF(N95="","",IFERROR(INDEX('Raw lists'!$B$2:$B$627,MATCH(N95,'Raw lists'!$B$2:$B$627,0))&amp;" | ",""))&amp;IF(O95="","",IFERROR(INDEX('Raw lists'!$B$2:$B$627,MATCH(O95,'Raw lists'!$B$2:$B$627,0))&amp;" | ",""))&amp;IF(P95="","",IFERROR(INDEX('Raw lists'!$B$2:$B$627,MATCH(P95,'Raw lists'!$B$2:$B$627,0))&amp;" | ","")))=0,"",LEFT(IF(K95="","",IFERROR(INDEX('Raw lists'!$B$2:$B$627,MATCH(K95,'Raw lists'!$B$2:$B$627,0))&amp;" | ",""))&amp;IF(L95="","",IFERROR(INDEX('Raw lists'!$B$2:$B$627,MATCH(L95,'Raw lists'!$B$2:$B$627,0))&amp;" | ",""))&amp;IF(M95="","",IFERROR(INDEX('Raw lists'!$B$2:$B$627,MATCH(M95,'Raw lists'!$B$2:$B$627,0))&amp;" | ",""))&amp;IF(N95="","",IFERROR(INDEX('Raw lists'!$B$2:$B$627,MATCH(N95,'Raw lists'!$B$2:$B$627,0))&amp;" | ",""))&amp;IF(O95="","",IFERROR(INDEX('Raw lists'!$B$2:$B$627,MATCH(O95,'Raw lists'!$B$2:$B$627,0))&amp;" | ",""))&amp;IF(P95="","",IFERROR(INDEX('Raw lists'!$B$2:$B$627,MATCH(P95,'Raw lists'!$B$2:$B$627,0))&amp;" | ","")),LEN(IF(K95="","",IFERROR(INDEX('Raw lists'!$B$2:$B$627,MATCH(K95,'Raw lists'!$B$2:$B$627,0))&amp;" | ",""))&amp;IF(L95="","",IFERROR(INDEX('Raw lists'!$B$2:$B$627,MATCH(L95,'Raw lists'!$B$2:$B$627,0))&amp;" | ",""))&amp;IF(M95="","",IFERROR(INDEX('Raw lists'!$B$2:$B$627,MATCH(M95,'Raw lists'!$B$2:$B$627,0))&amp;" | ",""))&amp;IF(N95="","",IFERROR(INDEX('Raw lists'!$B$2:$B$627,MATCH(N95,'Raw lists'!$B$2:$B$627,0))&amp;" | ",""))&amp;IF(O95="","",IFERROR(INDEX('Raw lists'!$B$2:$B$627,MATCH(O95,'Raw lists'!$B$2:$B$627,0))&amp;" | ",""))&amp;IF(P95="","",IFERROR(INDEX('Raw lists'!$B$2:$B$627,MATCH(P95,'Raw lists'!$B$2:$B$627,0))&amp;" | ","")))-3))</f>
        <v>Gaas Laser Wavelength</v>
      </c>
      <c r="E95" s="30" t="str">
        <f>IF(LEN(IF(K95="","",IFERROR(INDEX('Raw lists'!$C$2:$C$616,MATCH(K95,'Raw lists'!$C$2:$C$616,0))&amp;" | ",""))&amp;IF(L95="","",IFERROR(INDEX('Raw lists'!$C$2:$C$616,MATCH(L95,'Raw lists'!$C$2:$C$616,0))&amp;" | ",""))&amp;IF(M95="","",IFERROR(INDEX('Raw lists'!$C$2:$C$616,MATCH(M95,'Raw lists'!$C$2:$C$616,0))&amp;" | ",""))&amp;IF(N95="","",IFERROR(INDEX('Raw lists'!$C$2:$C$616,MATCH(N95,'Raw lists'!$C$2:$C$616,0))&amp;" | ",""))&amp;IF(O95="","",IFERROR(INDEX('Raw lists'!$C$2:$C$616,MATCH(O95,'Raw lists'!$C$2:$C$616,0))&amp;" | ",""))&amp;IF(P95="","",IFERROR(INDEX('Raw lists'!$C$2:$C$616,MATCH(P95,'Raw lists'!$C$2:$C$616,0))&amp;" | ","")))=0,"",LEFT(IF(K95="","",IFERROR(INDEX('Raw lists'!$C$2:$C$616,MATCH(K95,'Raw lists'!$C$2:$C$616,0))&amp;" | ",""))&amp;IF(L95="","",IFERROR(INDEX('Raw lists'!$C$2:$C$616,MATCH(L95,'Raw lists'!$C$2:$C$616,0))&amp;" | ",""))&amp;IF(M95="","",IFERROR(INDEX('Raw lists'!$C$2:$C$616,MATCH(M95,'Raw lists'!$C$2:$C$616,0))&amp;" | ",""))&amp;IF(N95="","",IFERROR(INDEX('Raw lists'!$C$2:$C$616,MATCH(N95,'Raw lists'!$C$2:$C$616,0))&amp;" | ",""))&amp;IF(O95="","",IFERROR(INDEX('Raw lists'!$C$2:$C$616,MATCH(O95,'Raw lists'!$C$2:$C$616,0))&amp;" | ",""))&amp;IF(P95="","",IFERROR(INDEX('Raw lists'!$C$2:$C$616,MATCH(P95,'Raw lists'!$C$2:$C$616,0))&amp;" | ","")),LEN(IF(K95="","",IFERROR(INDEX('Raw lists'!$C$2:$C$616,MATCH(K95,'Raw lists'!$C$2:$C$616,0))&amp;" | ",""))&amp;IF(L95="","",IFERROR(INDEX('Raw lists'!$C$2:$C$616,MATCH(L95,'Raw lists'!$C$2:$C$616,0))&amp;" | ",""))&amp;IF(M95="","",IFERROR(INDEX('Raw lists'!$C$2:$C$616,MATCH(M95,'Raw lists'!$C$2:$C$616,0))&amp;" | ",""))&amp;IF(N95="","",IFERROR(INDEX('Raw lists'!$C$2:$C$616,MATCH(N95,'Raw lists'!$C$2:$C$616,0))&amp;" | ",""))&amp;IF(O95="","",IFERROR(INDEX('Raw lists'!$C$2:$C$616,MATCH(O95,'Raw lists'!$C$2:$C$616,0))&amp;" | ",""))&amp;IF(P95="","",IFERROR(INDEX('Raw lists'!$C$2:$C$616,MATCH(P95,'Raw lists'!$C$2:$C$616,0))&amp;" | ","")))-3))</f>
        <v>Gaas Laser | Gaas Laser Wavelength</v>
      </c>
      <c r="F95" s="28" t="s">
        <v>54</v>
      </c>
      <c r="G95" s="30" t="s">
        <v>392</v>
      </c>
      <c r="H95" s="28">
        <f t="shared" si="2"/>
        <v>2</v>
      </c>
      <c r="I95" s="31" t="str">
        <f t="shared" si="3"/>
        <v>RAKE + YAKE</v>
      </c>
      <c r="K95" s="32" t="s">
        <v>393</v>
      </c>
      <c r="L95" s="32" t="s">
        <v>394</v>
      </c>
      <c r="M95" s="32"/>
      <c r="N95" s="32"/>
      <c r="O95" s="32"/>
      <c r="P95" s="32"/>
    </row>
    <row r="96" spans="1:16" x14ac:dyDescent="0.3">
      <c r="A96" s="28">
        <v>95</v>
      </c>
      <c r="B96" s="29" t="s">
        <v>395</v>
      </c>
      <c r="C96" s="30" t="str">
        <f>IF(LEN(IF(K96="","",IFERROR(INDEX('Raw lists'!$A$2:$A$192,MATCH(K96,'Raw lists'!$A$2:$A$192,0))&amp;" | ",""))&amp;IF(L96="","",IFERROR(INDEX('Raw lists'!$A$2:$A$192,MATCH(L96,'Raw lists'!$A$2:$A$192,0))&amp;" | ",""))&amp;IF(M96="","",IFERROR(INDEX('Raw lists'!$A$2:$A$192,MATCH(M96,'Raw lists'!$A$2:$A$192,0))&amp;" | ",""))&amp;IF(N96="","",IFERROR(INDEX('Raw lists'!$A$2:$A$192,MATCH(N96,'Raw lists'!$A$2:$A$192,0))&amp;" | ",""))&amp;IF(O96="","",IFERROR(INDEX('Raw lists'!$A$2:$A$192,MATCH(O96,'Raw lists'!$A$2:$A$192,0))&amp;" | ",""))&amp;IF(P96="","",IFERROR(INDEX('Raw lists'!$A$2:$A$192,MATCH(P96,'Raw lists'!$A$2:$A$192,0))&amp;" | ","")))=0,"",LEFT(IF(K96="","",IFERROR(INDEX('Raw lists'!$A$2:$A$192,MATCH(K96,'Raw lists'!$A$2:$A$192,0))&amp;" | ",""))&amp;IF(L96="","",IFERROR(INDEX('Raw lists'!$A$2:$A$192,MATCH(L96,'Raw lists'!$A$2:$A$192,0))&amp;" | ",""))&amp;IF(M96="","",IFERROR(INDEX('Raw lists'!$A$2:$A$192,MATCH(M96,'Raw lists'!$A$2:$A$192,0))&amp;" | ",""))&amp;IF(N96="","",IFERROR(INDEX('Raw lists'!$A$2:$A$192,MATCH(N96,'Raw lists'!$A$2:$A$192,0))&amp;" | ",""))&amp;IF(O96="","",IFERROR(INDEX('Raw lists'!$A$2:$A$192,MATCH(O96,'Raw lists'!$A$2:$A$192,0))&amp;" | ",""))&amp;IF(P96="","",IFERROR(INDEX('Raw lists'!$A$2:$A$192,MATCH(P96,'Raw lists'!$A$2:$A$192,0))&amp;" | ","")),LEN(IF(K96="","",IFERROR(INDEX('Raw lists'!$A$2:$A$192,MATCH(K96,'Raw lists'!$A$2:$A$192,0))&amp;" | ",""))&amp;IF(L96="","",IFERROR(INDEX('Raw lists'!$A$2:$A$192,MATCH(L96,'Raw lists'!$A$2:$A$192,0))&amp;" | ",""))&amp;IF(M96="","",IFERROR(INDEX('Raw lists'!$A$2:$A$192,MATCH(M96,'Raw lists'!$A$2:$A$192,0))&amp;" | ",""))&amp;IF(N96="","",IFERROR(INDEX('Raw lists'!$A$2:$A$192,MATCH(N96,'Raw lists'!$A$2:$A$192,0))&amp;" | ",""))&amp;IF(O96="","",IFERROR(INDEX('Raw lists'!$A$2:$A$192,MATCH(O96,'Raw lists'!$A$2:$A$192,0))&amp;" | ",""))&amp;IF(P96="","",IFERROR(INDEX('Raw lists'!$A$2:$A$192,MATCH(P96,'Raw lists'!$A$2:$A$192,0))&amp;" | ","")))-3))</f>
        <v>Applications Of Lasers</v>
      </c>
      <c r="D96" s="30" t="str">
        <f>IF(LEN(IF(K96="","",IFERROR(INDEX('Raw lists'!$B$2:$B$627,MATCH(K96,'Raw lists'!$B$2:$B$627,0))&amp;" | ",""))&amp;IF(L96="","",IFERROR(INDEX('Raw lists'!$B$2:$B$627,MATCH(L96,'Raw lists'!$B$2:$B$627,0))&amp;" | ",""))&amp;IF(M96="","",IFERROR(INDEX('Raw lists'!$B$2:$B$627,MATCH(M96,'Raw lists'!$B$2:$B$627,0))&amp;" | ",""))&amp;IF(N96="","",IFERROR(INDEX('Raw lists'!$B$2:$B$627,MATCH(N96,'Raw lists'!$B$2:$B$627,0))&amp;" | ",""))&amp;IF(O96="","",IFERROR(INDEX('Raw lists'!$B$2:$B$627,MATCH(O96,'Raw lists'!$B$2:$B$627,0))&amp;" | ",""))&amp;IF(P96="","",IFERROR(INDEX('Raw lists'!$B$2:$B$627,MATCH(P96,'Raw lists'!$B$2:$B$627,0))&amp;" | ","")))=0,"",LEFT(IF(K96="","",IFERROR(INDEX('Raw lists'!$B$2:$B$627,MATCH(K96,'Raw lists'!$B$2:$B$627,0))&amp;" | ",""))&amp;IF(L96="","",IFERROR(INDEX('Raw lists'!$B$2:$B$627,MATCH(L96,'Raw lists'!$B$2:$B$627,0))&amp;" | ",""))&amp;IF(M96="","",IFERROR(INDEX('Raw lists'!$B$2:$B$627,MATCH(M96,'Raw lists'!$B$2:$B$627,0))&amp;" | ",""))&amp;IF(N96="","",IFERROR(INDEX('Raw lists'!$B$2:$B$627,MATCH(N96,'Raw lists'!$B$2:$B$627,0))&amp;" | ",""))&amp;IF(O96="","",IFERROR(INDEX('Raw lists'!$B$2:$B$627,MATCH(O96,'Raw lists'!$B$2:$B$627,0))&amp;" | ",""))&amp;IF(P96="","",IFERROR(INDEX('Raw lists'!$B$2:$B$627,MATCH(P96,'Raw lists'!$B$2:$B$627,0))&amp;" | ","")),LEN(IF(K96="","",IFERROR(INDEX('Raw lists'!$B$2:$B$627,MATCH(K96,'Raw lists'!$B$2:$B$627,0))&amp;" | ",""))&amp;IF(L96="","",IFERROR(INDEX('Raw lists'!$B$2:$B$627,MATCH(L96,'Raw lists'!$B$2:$B$627,0))&amp;" | ",""))&amp;IF(M96="","",IFERROR(INDEX('Raw lists'!$B$2:$B$627,MATCH(M96,'Raw lists'!$B$2:$B$627,0))&amp;" | ",""))&amp;IF(N96="","",IFERROR(INDEX('Raw lists'!$B$2:$B$627,MATCH(N96,'Raw lists'!$B$2:$B$627,0))&amp;" | ",""))&amp;IF(O96="","",IFERROR(INDEX('Raw lists'!$B$2:$B$627,MATCH(O96,'Raw lists'!$B$2:$B$627,0))&amp;" | ",""))&amp;IF(P96="","",IFERROR(INDEX('Raw lists'!$B$2:$B$627,MATCH(P96,'Raw lists'!$B$2:$B$627,0))&amp;" | ","")))-3))</f>
        <v/>
      </c>
      <c r="E96" s="30" t="str">
        <f>IF(LEN(IF(K96="","",IFERROR(INDEX('Raw lists'!$C$2:$C$616,MATCH(K96,'Raw lists'!$C$2:$C$616,0))&amp;" | ",""))&amp;IF(L96="","",IFERROR(INDEX('Raw lists'!$C$2:$C$616,MATCH(L96,'Raw lists'!$C$2:$C$616,0))&amp;" | ",""))&amp;IF(M96="","",IFERROR(INDEX('Raw lists'!$C$2:$C$616,MATCH(M96,'Raw lists'!$C$2:$C$616,0))&amp;" | ",""))&amp;IF(N96="","",IFERROR(INDEX('Raw lists'!$C$2:$C$616,MATCH(N96,'Raw lists'!$C$2:$C$616,0))&amp;" | ",""))&amp;IF(O96="","",IFERROR(INDEX('Raw lists'!$C$2:$C$616,MATCH(O96,'Raw lists'!$C$2:$C$616,0))&amp;" | ",""))&amp;IF(P96="","",IFERROR(INDEX('Raw lists'!$C$2:$C$616,MATCH(P96,'Raw lists'!$C$2:$C$616,0))&amp;" | ","")))=0,"",LEFT(IF(K96="","",IFERROR(INDEX('Raw lists'!$C$2:$C$616,MATCH(K96,'Raw lists'!$C$2:$C$616,0))&amp;" | ",""))&amp;IF(L96="","",IFERROR(INDEX('Raw lists'!$C$2:$C$616,MATCH(L96,'Raw lists'!$C$2:$C$616,0))&amp;" | ",""))&amp;IF(M96="","",IFERROR(INDEX('Raw lists'!$C$2:$C$616,MATCH(M96,'Raw lists'!$C$2:$C$616,0))&amp;" | ",""))&amp;IF(N96="","",IFERROR(INDEX('Raw lists'!$C$2:$C$616,MATCH(N96,'Raw lists'!$C$2:$C$616,0))&amp;" | ",""))&amp;IF(O96="","",IFERROR(INDEX('Raw lists'!$C$2:$C$616,MATCH(O96,'Raw lists'!$C$2:$C$616,0))&amp;" | ",""))&amp;IF(P96="","",IFERROR(INDEX('Raw lists'!$C$2:$C$616,MATCH(P96,'Raw lists'!$C$2:$C$616,0))&amp;" | ","")),LEN(IF(K96="","",IFERROR(INDEX('Raw lists'!$C$2:$C$616,MATCH(K96,'Raw lists'!$C$2:$C$616,0))&amp;" | ",""))&amp;IF(L96="","",IFERROR(INDEX('Raw lists'!$C$2:$C$616,MATCH(L96,'Raw lists'!$C$2:$C$616,0))&amp;" | ",""))&amp;IF(M96="","",IFERROR(INDEX('Raw lists'!$C$2:$C$616,MATCH(M96,'Raw lists'!$C$2:$C$616,0))&amp;" | ",""))&amp;IF(N96="","",IFERROR(INDEX('Raw lists'!$C$2:$C$616,MATCH(N96,'Raw lists'!$C$2:$C$616,0))&amp;" | ",""))&amp;IF(O96="","",IFERROR(INDEX('Raw lists'!$C$2:$C$616,MATCH(O96,'Raw lists'!$C$2:$C$616,0))&amp;" | ",""))&amp;IF(P96="","",IFERROR(INDEX('Raw lists'!$C$2:$C$616,MATCH(P96,'Raw lists'!$C$2:$C$616,0))&amp;" | ","")))-3))</f>
        <v>Applications Of Lasers</v>
      </c>
      <c r="F96" s="28" t="s">
        <v>54</v>
      </c>
      <c r="G96" s="30" t="s">
        <v>396</v>
      </c>
      <c r="H96" s="28">
        <f t="shared" si="2"/>
        <v>2</v>
      </c>
      <c r="I96" s="31" t="str">
        <f t="shared" si="3"/>
        <v>Gemini + YAKE</v>
      </c>
      <c r="K96" s="32" t="s">
        <v>397</v>
      </c>
      <c r="L96" s="32"/>
      <c r="M96" s="32"/>
      <c r="N96" s="32"/>
      <c r="O96" s="32"/>
      <c r="P96" s="32"/>
    </row>
    <row r="97" spans="1:16" ht="39.6" x14ac:dyDescent="0.3">
      <c r="A97" s="28">
        <v>96</v>
      </c>
      <c r="B97" s="29" t="s">
        <v>398</v>
      </c>
      <c r="C97" s="30" t="str">
        <f>IF(LEN(IF(K97="","",IFERROR(INDEX('Raw lists'!$A$2:$A$192,MATCH(K97,'Raw lists'!$A$2:$A$192,0))&amp;" | ",""))&amp;IF(L97="","",IFERROR(INDEX('Raw lists'!$A$2:$A$192,MATCH(L97,'Raw lists'!$A$2:$A$192,0))&amp;" | ",""))&amp;IF(M97="","",IFERROR(INDEX('Raw lists'!$A$2:$A$192,MATCH(M97,'Raw lists'!$A$2:$A$192,0))&amp;" | ",""))&amp;IF(N97="","",IFERROR(INDEX('Raw lists'!$A$2:$A$192,MATCH(N97,'Raw lists'!$A$2:$A$192,0))&amp;" | ",""))&amp;IF(O97="","",IFERROR(INDEX('Raw lists'!$A$2:$A$192,MATCH(O97,'Raw lists'!$A$2:$A$192,0))&amp;" | ",""))&amp;IF(P97="","",IFERROR(INDEX('Raw lists'!$A$2:$A$192,MATCH(P97,'Raw lists'!$A$2:$A$192,0))&amp;" | ","")))=0,"",LEFT(IF(K97="","",IFERROR(INDEX('Raw lists'!$A$2:$A$192,MATCH(K97,'Raw lists'!$A$2:$A$192,0))&amp;" | ",""))&amp;IF(L97="","",IFERROR(INDEX('Raw lists'!$A$2:$A$192,MATCH(L97,'Raw lists'!$A$2:$A$192,0))&amp;" | ",""))&amp;IF(M97="","",IFERROR(INDEX('Raw lists'!$A$2:$A$192,MATCH(M97,'Raw lists'!$A$2:$A$192,0))&amp;" | ",""))&amp;IF(N97="","",IFERROR(INDEX('Raw lists'!$A$2:$A$192,MATCH(N97,'Raw lists'!$A$2:$A$192,0))&amp;" | ",""))&amp;IF(O97="","",IFERROR(INDEX('Raw lists'!$A$2:$A$192,MATCH(O97,'Raw lists'!$A$2:$A$192,0))&amp;" | ",""))&amp;IF(P97="","",IFERROR(INDEX('Raw lists'!$A$2:$A$192,MATCH(P97,'Raw lists'!$A$2:$A$192,0))&amp;" | ","")),LEN(IF(K97="","",IFERROR(INDEX('Raw lists'!$A$2:$A$192,MATCH(K97,'Raw lists'!$A$2:$A$192,0))&amp;" | ",""))&amp;IF(L97="","",IFERROR(INDEX('Raw lists'!$A$2:$A$192,MATCH(L97,'Raw lists'!$A$2:$A$192,0))&amp;" | ",""))&amp;IF(M97="","",IFERROR(INDEX('Raw lists'!$A$2:$A$192,MATCH(M97,'Raw lists'!$A$2:$A$192,0))&amp;" | ",""))&amp;IF(N97="","",IFERROR(INDEX('Raw lists'!$A$2:$A$192,MATCH(N97,'Raw lists'!$A$2:$A$192,0))&amp;" | ",""))&amp;IF(O97="","",IFERROR(INDEX('Raw lists'!$A$2:$A$192,MATCH(O97,'Raw lists'!$A$2:$A$192,0))&amp;" | ",""))&amp;IF(P97="","",IFERROR(INDEX('Raw lists'!$A$2:$A$192,MATCH(P97,'Raw lists'!$A$2:$A$192,0))&amp;" | ","")))-3))</f>
        <v>Industrial Application | Important Industrial Application</v>
      </c>
      <c r="D97" s="30" t="str">
        <f>IF(LEN(IF(K97="","",IFERROR(INDEX('Raw lists'!$B$2:$B$627,MATCH(K97,'Raw lists'!$B$2:$B$627,0))&amp;" | ",""))&amp;IF(L97="","",IFERROR(INDEX('Raw lists'!$B$2:$B$627,MATCH(L97,'Raw lists'!$B$2:$B$627,0))&amp;" | ",""))&amp;IF(M97="","",IFERROR(INDEX('Raw lists'!$B$2:$B$627,MATCH(M97,'Raw lists'!$B$2:$B$627,0))&amp;" | ",""))&amp;IF(N97="","",IFERROR(INDEX('Raw lists'!$B$2:$B$627,MATCH(N97,'Raw lists'!$B$2:$B$627,0))&amp;" | ",""))&amp;IF(O97="","",IFERROR(INDEX('Raw lists'!$B$2:$B$627,MATCH(O97,'Raw lists'!$B$2:$B$627,0))&amp;" | ",""))&amp;IF(P97="","",IFERROR(INDEX('Raw lists'!$B$2:$B$627,MATCH(P97,'Raw lists'!$B$2:$B$627,0))&amp;" | ","")))=0,"",LEFT(IF(K97="","",IFERROR(INDEX('Raw lists'!$B$2:$B$627,MATCH(K97,'Raw lists'!$B$2:$B$627,0))&amp;" | ",""))&amp;IF(L97="","",IFERROR(INDEX('Raw lists'!$B$2:$B$627,MATCH(L97,'Raw lists'!$B$2:$B$627,0))&amp;" | ",""))&amp;IF(M97="","",IFERROR(INDEX('Raw lists'!$B$2:$B$627,MATCH(M97,'Raw lists'!$B$2:$B$627,0))&amp;" | ",""))&amp;IF(N97="","",IFERROR(INDEX('Raw lists'!$B$2:$B$627,MATCH(N97,'Raw lists'!$B$2:$B$627,0))&amp;" | ",""))&amp;IF(O97="","",IFERROR(INDEX('Raw lists'!$B$2:$B$627,MATCH(O97,'Raw lists'!$B$2:$B$627,0))&amp;" | ",""))&amp;IF(P97="","",IFERROR(INDEX('Raw lists'!$B$2:$B$627,MATCH(P97,'Raw lists'!$B$2:$B$627,0))&amp;" | ","")),LEN(IF(K97="","",IFERROR(INDEX('Raw lists'!$B$2:$B$627,MATCH(K97,'Raw lists'!$B$2:$B$627,0))&amp;" | ",""))&amp;IF(L97="","",IFERROR(INDEX('Raw lists'!$B$2:$B$627,MATCH(L97,'Raw lists'!$B$2:$B$627,0))&amp;" | ",""))&amp;IF(M97="","",IFERROR(INDEX('Raw lists'!$B$2:$B$627,MATCH(M97,'Raw lists'!$B$2:$B$627,0))&amp;" | ",""))&amp;IF(N97="","",IFERROR(INDEX('Raw lists'!$B$2:$B$627,MATCH(N97,'Raw lists'!$B$2:$B$627,0))&amp;" | ",""))&amp;IF(O97="","",IFERROR(INDEX('Raw lists'!$B$2:$B$627,MATCH(O97,'Raw lists'!$B$2:$B$627,0))&amp;" | ",""))&amp;IF(P97="","",IFERROR(INDEX('Raw lists'!$B$2:$B$627,MATCH(P97,'Raw lists'!$B$2:$B$627,0))&amp;" | ","")))-3))</f>
        <v>1 Engineering / Industry | Engineering Applications</v>
      </c>
      <c r="E97" s="30" t="str">
        <f>IF(LEN(IF(K97="","",IFERROR(INDEX('Raw lists'!$C$2:$C$616,MATCH(K97,'Raw lists'!$C$2:$C$616,0))&amp;" | ",""))&amp;IF(L97="","",IFERROR(INDEX('Raw lists'!$C$2:$C$616,MATCH(L97,'Raw lists'!$C$2:$C$616,0))&amp;" | ",""))&amp;IF(M97="","",IFERROR(INDEX('Raw lists'!$C$2:$C$616,MATCH(M97,'Raw lists'!$C$2:$C$616,0))&amp;" | ",""))&amp;IF(N97="","",IFERROR(INDEX('Raw lists'!$C$2:$C$616,MATCH(N97,'Raw lists'!$C$2:$C$616,0))&amp;" | ",""))&amp;IF(O97="","",IFERROR(INDEX('Raw lists'!$C$2:$C$616,MATCH(O97,'Raw lists'!$C$2:$C$616,0))&amp;" | ",""))&amp;IF(P97="","",IFERROR(INDEX('Raw lists'!$C$2:$C$616,MATCH(P97,'Raw lists'!$C$2:$C$616,0))&amp;" | ","")))=0,"",LEFT(IF(K97="","",IFERROR(INDEX('Raw lists'!$C$2:$C$616,MATCH(K97,'Raw lists'!$C$2:$C$616,0))&amp;" | ",""))&amp;IF(L97="","",IFERROR(INDEX('Raw lists'!$C$2:$C$616,MATCH(L97,'Raw lists'!$C$2:$C$616,0))&amp;" | ",""))&amp;IF(M97="","",IFERROR(INDEX('Raw lists'!$C$2:$C$616,MATCH(M97,'Raw lists'!$C$2:$C$616,0))&amp;" | ",""))&amp;IF(N97="","",IFERROR(INDEX('Raw lists'!$C$2:$C$616,MATCH(N97,'Raw lists'!$C$2:$C$616,0))&amp;" | ",""))&amp;IF(O97="","",IFERROR(INDEX('Raw lists'!$C$2:$C$616,MATCH(O97,'Raw lists'!$C$2:$C$616,0))&amp;" | ",""))&amp;IF(P97="","",IFERROR(INDEX('Raw lists'!$C$2:$C$616,MATCH(P97,'Raw lists'!$C$2:$C$616,0))&amp;" | ","")),LEN(IF(K97="","",IFERROR(INDEX('Raw lists'!$C$2:$C$616,MATCH(K97,'Raw lists'!$C$2:$C$616,0))&amp;" | ",""))&amp;IF(L97="","",IFERROR(INDEX('Raw lists'!$C$2:$C$616,MATCH(L97,'Raw lists'!$C$2:$C$616,0))&amp;" | ",""))&amp;IF(M97="","",IFERROR(INDEX('Raw lists'!$C$2:$C$616,MATCH(M97,'Raw lists'!$C$2:$C$616,0))&amp;" | ",""))&amp;IF(N97="","",IFERROR(INDEX('Raw lists'!$C$2:$C$616,MATCH(N97,'Raw lists'!$C$2:$C$616,0))&amp;" | ",""))&amp;IF(O97="","",IFERROR(INDEX('Raw lists'!$C$2:$C$616,MATCH(O97,'Raw lists'!$C$2:$C$616,0))&amp;" | ",""))&amp;IF(P97="","",IFERROR(INDEX('Raw lists'!$C$2:$C$616,MATCH(P97,'Raw lists'!$C$2:$C$616,0))&amp;" | ","")))-3))</f>
        <v>1 Engineering / Industry | Industrial Application | Important Industrial Application</v>
      </c>
      <c r="F97" s="28" t="s">
        <v>54</v>
      </c>
      <c r="G97" s="30" t="s">
        <v>399</v>
      </c>
      <c r="H97" s="28">
        <f t="shared" si="2"/>
        <v>3</v>
      </c>
      <c r="I97" s="31" t="str">
        <f t="shared" si="3"/>
        <v>All three</v>
      </c>
      <c r="K97" s="32" t="s">
        <v>400</v>
      </c>
      <c r="L97" s="32" t="s">
        <v>401</v>
      </c>
      <c r="M97" s="32" t="s">
        <v>402</v>
      </c>
      <c r="N97" s="32" t="s">
        <v>403</v>
      </c>
      <c r="O97" s="32"/>
      <c r="P97" s="32"/>
    </row>
    <row r="98" spans="1:16" ht="26.4" x14ac:dyDescent="0.3">
      <c r="A98" s="28">
        <v>97</v>
      </c>
      <c r="B98" s="29" t="s">
        <v>404</v>
      </c>
      <c r="C98" s="30" t="str">
        <f>IF(LEN(IF(K98="","",IFERROR(INDEX('Raw lists'!$A$2:$A$192,MATCH(K98,'Raw lists'!$A$2:$A$192,0))&amp;" | ",""))&amp;IF(L98="","",IFERROR(INDEX('Raw lists'!$A$2:$A$192,MATCH(L98,'Raw lists'!$A$2:$A$192,0))&amp;" | ",""))&amp;IF(M98="","",IFERROR(INDEX('Raw lists'!$A$2:$A$192,MATCH(M98,'Raw lists'!$A$2:$A$192,0))&amp;" | ",""))&amp;IF(N98="","",IFERROR(INDEX('Raw lists'!$A$2:$A$192,MATCH(N98,'Raw lists'!$A$2:$A$192,0))&amp;" | ",""))&amp;IF(O98="","",IFERROR(INDEX('Raw lists'!$A$2:$A$192,MATCH(O98,'Raw lists'!$A$2:$A$192,0))&amp;" | ",""))&amp;IF(P98="","",IFERROR(INDEX('Raw lists'!$A$2:$A$192,MATCH(P98,'Raw lists'!$A$2:$A$192,0))&amp;" | ","")))=0,"",LEFT(IF(K98="","",IFERROR(INDEX('Raw lists'!$A$2:$A$192,MATCH(K98,'Raw lists'!$A$2:$A$192,0))&amp;" | ",""))&amp;IF(L98="","",IFERROR(INDEX('Raw lists'!$A$2:$A$192,MATCH(L98,'Raw lists'!$A$2:$A$192,0))&amp;" | ",""))&amp;IF(M98="","",IFERROR(INDEX('Raw lists'!$A$2:$A$192,MATCH(M98,'Raw lists'!$A$2:$A$192,0))&amp;" | ",""))&amp;IF(N98="","",IFERROR(INDEX('Raw lists'!$A$2:$A$192,MATCH(N98,'Raw lists'!$A$2:$A$192,0))&amp;" | ",""))&amp;IF(O98="","",IFERROR(INDEX('Raw lists'!$A$2:$A$192,MATCH(O98,'Raw lists'!$A$2:$A$192,0))&amp;" | ",""))&amp;IF(P98="","",IFERROR(INDEX('Raw lists'!$A$2:$A$192,MATCH(P98,'Raw lists'!$A$2:$A$192,0))&amp;" | ","")),LEN(IF(K98="","",IFERROR(INDEX('Raw lists'!$A$2:$A$192,MATCH(K98,'Raw lists'!$A$2:$A$192,0))&amp;" | ",""))&amp;IF(L98="","",IFERROR(INDEX('Raw lists'!$A$2:$A$192,MATCH(L98,'Raw lists'!$A$2:$A$192,0))&amp;" | ",""))&amp;IF(M98="","",IFERROR(INDEX('Raw lists'!$A$2:$A$192,MATCH(M98,'Raw lists'!$A$2:$A$192,0))&amp;" | ",""))&amp;IF(N98="","",IFERROR(INDEX('Raw lists'!$A$2:$A$192,MATCH(N98,'Raw lists'!$A$2:$A$192,0))&amp;" | ",""))&amp;IF(O98="","",IFERROR(INDEX('Raw lists'!$A$2:$A$192,MATCH(O98,'Raw lists'!$A$2:$A$192,0))&amp;" | ",""))&amp;IF(P98="","",IFERROR(INDEX('Raw lists'!$A$2:$A$192,MATCH(P98,'Raw lists'!$A$2:$A$192,0))&amp;" | ","")))-3))</f>
        <v>Cutting</v>
      </c>
      <c r="D98" s="30" t="str">
        <f>IF(LEN(IF(K98="","",IFERROR(INDEX('Raw lists'!$B$2:$B$627,MATCH(K98,'Raw lists'!$B$2:$B$627,0))&amp;" | ",""))&amp;IF(L98="","",IFERROR(INDEX('Raw lists'!$B$2:$B$627,MATCH(L98,'Raw lists'!$B$2:$B$627,0))&amp;" | ",""))&amp;IF(M98="","",IFERROR(INDEX('Raw lists'!$B$2:$B$627,MATCH(M98,'Raw lists'!$B$2:$B$627,0))&amp;" | ",""))&amp;IF(N98="","",IFERROR(INDEX('Raw lists'!$B$2:$B$627,MATCH(N98,'Raw lists'!$B$2:$B$627,0))&amp;" | ",""))&amp;IF(O98="","",IFERROR(INDEX('Raw lists'!$B$2:$B$627,MATCH(O98,'Raw lists'!$B$2:$B$627,0))&amp;" | ",""))&amp;IF(P98="","",IFERROR(INDEX('Raw lists'!$B$2:$B$627,MATCH(P98,'Raw lists'!$B$2:$B$627,0))&amp;" | ","")))=0,"",LEFT(IF(K98="","",IFERROR(INDEX('Raw lists'!$B$2:$B$627,MATCH(K98,'Raw lists'!$B$2:$B$627,0))&amp;" | ",""))&amp;IF(L98="","",IFERROR(INDEX('Raw lists'!$B$2:$B$627,MATCH(L98,'Raw lists'!$B$2:$B$627,0))&amp;" | ",""))&amp;IF(M98="","",IFERROR(INDEX('Raw lists'!$B$2:$B$627,MATCH(M98,'Raw lists'!$B$2:$B$627,0))&amp;" | ",""))&amp;IF(N98="","",IFERROR(INDEX('Raw lists'!$B$2:$B$627,MATCH(N98,'Raw lists'!$B$2:$B$627,0))&amp;" | ",""))&amp;IF(O98="","",IFERROR(INDEX('Raw lists'!$B$2:$B$627,MATCH(O98,'Raw lists'!$B$2:$B$627,0))&amp;" | ",""))&amp;IF(P98="","",IFERROR(INDEX('Raw lists'!$B$2:$B$627,MATCH(P98,'Raw lists'!$B$2:$B$627,0))&amp;" | ","")),LEN(IF(K98="","",IFERROR(INDEX('Raw lists'!$B$2:$B$627,MATCH(K98,'Raw lists'!$B$2:$B$627,0))&amp;" | ",""))&amp;IF(L98="","",IFERROR(INDEX('Raw lists'!$B$2:$B$627,MATCH(L98,'Raw lists'!$B$2:$B$627,0))&amp;" | ",""))&amp;IF(M98="","",IFERROR(INDEX('Raw lists'!$B$2:$B$627,MATCH(M98,'Raw lists'!$B$2:$B$627,0))&amp;" | ",""))&amp;IF(N98="","",IFERROR(INDEX('Raw lists'!$B$2:$B$627,MATCH(N98,'Raw lists'!$B$2:$B$627,0))&amp;" | ",""))&amp;IF(O98="","",IFERROR(INDEX('Raw lists'!$B$2:$B$627,MATCH(O98,'Raw lists'!$B$2:$B$627,0))&amp;" | ",""))&amp;IF(P98="","",IFERROR(INDEX('Raw lists'!$B$2:$B$627,MATCH(P98,'Raw lists'!$B$2:$B$627,0))&amp;" | ","")))-3))</f>
        <v>Cutting</v>
      </c>
      <c r="E98" s="30" t="str">
        <f>IF(LEN(IF(K98="","",IFERROR(INDEX('Raw lists'!$C$2:$C$616,MATCH(K98,'Raw lists'!$C$2:$C$616,0))&amp;" | ",""))&amp;IF(L98="","",IFERROR(INDEX('Raw lists'!$C$2:$C$616,MATCH(L98,'Raw lists'!$C$2:$C$616,0))&amp;" | ",""))&amp;IF(M98="","",IFERROR(INDEX('Raw lists'!$C$2:$C$616,MATCH(M98,'Raw lists'!$C$2:$C$616,0))&amp;" | ",""))&amp;IF(N98="","",IFERROR(INDEX('Raw lists'!$C$2:$C$616,MATCH(N98,'Raw lists'!$C$2:$C$616,0))&amp;" | ",""))&amp;IF(O98="","",IFERROR(INDEX('Raw lists'!$C$2:$C$616,MATCH(O98,'Raw lists'!$C$2:$C$616,0))&amp;" | ",""))&amp;IF(P98="","",IFERROR(INDEX('Raw lists'!$C$2:$C$616,MATCH(P98,'Raw lists'!$C$2:$C$616,0))&amp;" | ","")))=0,"",LEFT(IF(K98="","",IFERROR(INDEX('Raw lists'!$C$2:$C$616,MATCH(K98,'Raw lists'!$C$2:$C$616,0))&amp;" | ",""))&amp;IF(L98="","",IFERROR(INDEX('Raw lists'!$C$2:$C$616,MATCH(L98,'Raw lists'!$C$2:$C$616,0))&amp;" | ",""))&amp;IF(M98="","",IFERROR(INDEX('Raw lists'!$C$2:$C$616,MATCH(M98,'Raw lists'!$C$2:$C$616,0))&amp;" | ",""))&amp;IF(N98="","",IFERROR(INDEX('Raw lists'!$C$2:$C$616,MATCH(N98,'Raw lists'!$C$2:$C$616,0))&amp;" | ",""))&amp;IF(O98="","",IFERROR(INDEX('Raw lists'!$C$2:$C$616,MATCH(O98,'Raw lists'!$C$2:$C$616,0))&amp;" | ",""))&amp;IF(P98="","",IFERROR(INDEX('Raw lists'!$C$2:$C$616,MATCH(P98,'Raw lists'!$C$2:$C$616,0))&amp;" | ","")),LEN(IF(K98="","",IFERROR(INDEX('Raw lists'!$C$2:$C$616,MATCH(K98,'Raw lists'!$C$2:$C$616,0))&amp;" | ",""))&amp;IF(L98="","",IFERROR(INDEX('Raw lists'!$C$2:$C$616,MATCH(L98,'Raw lists'!$C$2:$C$616,0))&amp;" | ",""))&amp;IF(M98="","",IFERROR(INDEX('Raw lists'!$C$2:$C$616,MATCH(M98,'Raw lists'!$C$2:$C$616,0))&amp;" | ",""))&amp;IF(N98="","",IFERROR(INDEX('Raw lists'!$C$2:$C$616,MATCH(N98,'Raw lists'!$C$2:$C$616,0))&amp;" | ",""))&amp;IF(O98="","",IFERROR(INDEX('Raw lists'!$C$2:$C$616,MATCH(O98,'Raw lists'!$C$2:$C$616,0))&amp;" | ",""))&amp;IF(P98="","",IFERROR(INDEX('Raw lists'!$C$2:$C$616,MATCH(P98,'Raw lists'!$C$2:$C$616,0))&amp;" | ","")))-3))</f>
        <v>Cutting</v>
      </c>
      <c r="F98" s="28" t="s">
        <v>54</v>
      </c>
      <c r="G98" s="30" t="s">
        <v>405</v>
      </c>
      <c r="H98" s="28">
        <f t="shared" si="2"/>
        <v>3</v>
      </c>
      <c r="I98" s="31" t="str">
        <f t="shared" si="3"/>
        <v>All three</v>
      </c>
      <c r="K98" s="32" t="s">
        <v>404</v>
      </c>
      <c r="L98" s="32"/>
      <c r="M98" s="32"/>
      <c r="N98" s="32"/>
      <c r="O98" s="32"/>
      <c r="P98" s="32"/>
    </row>
    <row r="99" spans="1:16" ht="26.4" x14ac:dyDescent="0.3">
      <c r="A99" s="28">
        <v>98</v>
      </c>
      <c r="B99" s="29" t="s">
        <v>406</v>
      </c>
      <c r="C99" s="30" t="str">
        <f>IF(LEN(IF(K99="","",IFERROR(INDEX('Raw lists'!$A$2:$A$192,MATCH(K99,'Raw lists'!$A$2:$A$192,0))&amp;" | ",""))&amp;IF(L99="","",IFERROR(INDEX('Raw lists'!$A$2:$A$192,MATCH(L99,'Raw lists'!$A$2:$A$192,0))&amp;" | ",""))&amp;IF(M99="","",IFERROR(INDEX('Raw lists'!$A$2:$A$192,MATCH(M99,'Raw lists'!$A$2:$A$192,0))&amp;" | ",""))&amp;IF(N99="","",IFERROR(INDEX('Raw lists'!$A$2:$A$192,MATCH(N99,'Raw lists'!$A$2:$A$192,0))&amp;" | ",""))&amp;IF(O99="","",IFERROR(INDEX('Raw lists'!$A$2:$A$192,MATCH(O99,'Raw lists'!$A$2:$A$192,0))&amp;" | ",""))&amp;IF(P99="","",IFERROR(INDEX('Raw lists'!$A$2:$A$192,MATCH(P99,'Raw lists'!$A$2:$A$192,0))&amp;" | ","")))=0,"",LEFT(IF(K99="","",IFERROR(INDEX('Raw lists'!$A$2:$A$192,MATCH(K99,'Raw lists'!$A$2:$A$192,0))&amp;" | ",""))&amp;IF(L99="","",IFERROR(INDEX('Raw lists'!$A$2:$A$192,MATCH(L99,'Raw lists'!$A$2:$A$192,0))&amp;" | ",""))&amp;IF(M99="","",IFERROR(INDEX('Raw lists'!$A$2:$A$192,MATCH(M99,'Raw lists'!$A$2:$A$192,0))&amp;" | ",""))&amp;IF(N99="","",IFERROR(INDEX('Raw lists'!$A$2:$A$192,MATCH(N99,'Raw lists'!$A$2:$A$192,0))&amp;" | ",""))&amp;IF(O99="","",IFERROR(INDEX('Raw lists'!$A$2:$A$192,MATCH(O99,'Raw lists'!$A$2:$A$192,0))&amp;" | ",""))&amp;IF(P99="","",IFERROR(INDEX('Raw lists'!$A$2:$A$192,MATCH(P99,'Raw lists'!$A$2:$A$192,0))&amp;" | ","")),LEN(IF(K99="","",IFERROR(INDEX('Raw lists'!$A$2:$A$192,MATCH(K99,'Raw lists'!$A$2:$A$192,0))&amp;" | ",""))&amp;IF(L99="","",IFERROR(INDEX('Raw lists'!$A$2:$A$192,MATCH(L99,'Raw lists'!$A$2:$A$192,0))&amp;" | ",""))&amp;IF(M99="","",IFERROR(INDEX('Raw lists'!$A$2:$A$192,MATCH(M99,'Raw lists'!$A$2:$A$192,0))&amp;" | ",""))&amp;IF(N99="","",IFERROR(INDEX('Raw lists'!$A$2:$A$192,MATCH(N99,'Raw lists'!$A$2:$A$192,0))&amp;" | ",""))&amp;IF(O99="","",IFERROR(INDEX('Raw lists'!$A$2:$A$192,MATCH(O99,'Raw lists'!$A$2:$A$192,0))&amp;" | ",""))&amp;IF(P99="","",IFERROR(INDEX('Raw lists'!$A$2:$A$192,MATCH(P99,'Raw lists'!$A$2:$A$192,0))&amp;" | ","")))-3))</f>
        <v>Welding</v>
      </c>
      <c r="D99" s="30" t="str">
        <f>IF(LEN(IF(K99="","",IFERROR(INDEX('Raw lists'!$B$2:$B$627,MATCH(K99,'Raw lists'!$B$2:$B$627,0))&amp;" | ",""))&amp;IF(L99="","",IFERROR(INDEX('Raw lists'!$B$2:$B$627,MATCH(L99,'Raw lists'!$B$2:$B$627,0))&amp;" | ",""))&amp;IF(M99="","",IFERROR(INDEX('Raw lists'!$B$2:$B$627,MATCH(M99,'Raw lists'!$B$2:$B$627,0))&amp;" | ",""))&amp;IF(N99="","",IFERROR(INDEX('Raw lists'!$B$2:$B$627,MATCH(N99,'Raw lists'!$B$2:$B$627,0))&amp;" | ",""))&amp;IF(O99="","",IFERROR(INDEX('Raw lists'!$B$2:$B$627,MATCH(O99,'Raw lists'!$B$2:$B$627,0))&amp;" | ",""))&amp;IF(P99="","",IFERROR(INDEX('Raw lists'!$B$2:$B$627,MATCH(P99,'Raw lists'!$B$2:$B$627,0))&amp;" | ","")))=0,"",LEFT(IF(K99="","",IFERROR(INDEX('Raw lists'!$B$2:$B$627,MATCH(K99,'Raw lists'!$B$2:$B$627,0))&amp;" | ",""))&amp;IF(L99="","",IFERROR(INDEX('Raw lists'!$B$2:$B$627,MATCH(L99,'Raw lists'!$B$2:$B$627,0))&amp;" | ",""))&amp;IF(M99="","",IFERROR(INDEX('Raw lists'!$B$2:$B$627,MATCH(M99,'Raw lists'!$B$2:$B$627,0))&amp;" | ",""))&amp;IF(N99="","",IFERROR(INDEX('Raw lists'!$B$2:$B$627,MATCH(N99,'Raw lists'!$B$2:$B$627,0))&amp;" | ",""))&amp;IF(O99="","",IFERROR(INDEX('Raw lists'!$B$2:$B$627,MATCH(O99,'Raw lists'!$B$2:$B$627,0))&amp;" | ",""))&amp;IF(P99="","",IFERROR(INDEX('Raw lists'!$B$2:$B$627,MATCH(P99,'Raw lists'!$B$2:$B$627,0))&amp;" | ","")),LEN(IF(K99="","",IFERROR(INDEX('Raw lists'!$B$2:$B$627,MATCH(K99,'Raw lists'!$B$2:$B$627,0))&amp;" | ",""))&amp;IF(L99="","",IFERROR(INDEX('Raw lists'!$B$2:$B$627,MATCH(L99,'Raw lists'!$B$2:$B$627,0))&amp;" | ",""))&amp;IF(M99="","",IFERROR(INDEX('Raw lists'!$B$2:$B$627,MATCH(M99,'Raw lists'!$B$2:$B$627,0))&amp;" | ",""))&amp;IF(N99="","",IFERROR(INDEX('Raw lists'!$B$2:$B$627,MATCH(N99,'Raw lists'!$B$2:$B$627,0))&amp;" | ",""))&amp;IF(O99="","",IFERROR(INDEX('Raw lists'!$B$2:$B$627,MATCH(O99,'Raw lists'!$B$2:$B$627,0))&amp;" | ",""))&amp;IF(P99="","",IFERROR(INDEX('Raw lists'!$B$2:$B$627,MATCH(P99,'Raw lists'!$B$2:$B$627,0))&amp;" | ","")))-3))</f>
        <v>Welding</v>
      </c>
      <c r="E99" s="30" t="str">
        <f>IF(LEN(IF(K99="","",IFERROR(INDEX('Raw lists'!$C$2:$C$616,MATCH(K99,'Raw lists'!$C$2:$C$616,0))&amp;" | ",""))&amp;IF(L99="","",IFERROR(INDEX('Raw lists'!$C$2:$C$616,MATCH(L99,'Raw lists'!$C$2:$C$616,0))&amp;" | ",""))&amp;IF(M99="","",IFERROR(INDEX('Raw lists'!$C$2:$C$616,MATCH(M99,'Raw lists'!$C$2:$C$616,0))&amp;" | ",""))&amp;IF(N99="","",IFERROR(INDEX('Raw lists'!$C$2:$C$616,MATCH(N99,'Raw lists'!$C$2:$C$616,0))&amp;" | ",""))&amp;IF(O99="","",IFERROR(INDEX('Raw lists'!$C$2:$C$616,MATCH(O99,'Raw lists'!$C$2:$C$616,0))&amp;" | ",""))&amp;IF(P99="","",IFERROR(INDEX('Raw lists'!$C$2:$C$616,MATCH(P99,'Raw lists'!$C$2:$C$616,0))&amp;" | ","")))=0,"",LEFT(IF(K99="","",IFERROR(INDEX('Raw lists'!$C$2:$C$616,MATCH(K99,'Raw lists'!$C$2:$C$616,0))&amp;" | ",""))&amp;IF(L99="","",IFERROR(INDEX('Raw lists'!$C$2:$C$616,MATCH(L99,'Raw lists'!$C$2:$C$616,0))&amp;" | ",""))&amp;IF(M99="","",IFERROR(INDEX('Raw lists'!$C$2:$C$616,MATCH(M99,'Raw lists'!$C$2:$C$616,0))&amp;" | ",""))&amp;IF(N99="","",IFERROR(INDEX('Raw lists'!$C$2:$C$616,MATCH(N99,'Raw lists'!$C$2:$C$616,0))&amp;" | ",""))&amp;IF(O99="","",IFERROR(INDEX('Raw lists'!$C$2:$C$616,MATCH(O99,'Raw lists'!$C$2:$C$616,0))&amp;" | ",""))&amp;IF(P99="","",IFERROR(INDEX('Raw lists'!$C$2:$C$616,MATCH(P99,'Raw lists'!$C$2:$C$616,0))&amp;" | ","")),LEN(IF(K99="","",IFERROR(INDEX('Raw lists'!$C$2:$C$616,MATCH(K99,'Raw lists'!$C$2:$C$616,0))&amp;" | ",""))&amp;IF(L99="","",IFERROR(INDEX('Raw lists'!$C$2:$C$616,MATCH(L99,'Raw lists'!$C$2:$C$616,0))&amp;" | ",""))&amp;IF(M99="","",IFERROR(INDEX('Raw lists'!$C$2:$C$616,MATCH(M99,'Raw lists'!$C$2:$C$616,0))&amp;" | ",""))&amp;IF(N99="","",IFERROR(INDEX('Raw lists'!$C$2:$C$616,MATCH(N99,'Raw lists'!$C$2:$C$616,0))&amp;" | ",""))&amp;IF(O99="","",IFERROR(INDEX('Raw lists'!$C$2:$C$616,MATCH(O99,'Raw lists'!$C$2:$C$616,0))&amp;" | ",""))&amp;IF(P99="","",IFERROR(INDEX('Raw lists'!$C$2:$C$616,MATCH(P99,'Raw lists'!$C$2:$C$616,0))&amp;" | ","")))-3))</f>
        <v>Welding</v>
      </c>
      <c r="F99" s="28" t="s">
        <v>54</v>
      </c>
      <c r="G99" s="30" t="s">
        <v>407</v>
      </c>
      <c r="H99" s="28">
        <f t="shared" si="2"/>
        <v>3</v>
      </c>
      <c r="I99" s="31" t="str">
        <f t="shared" si="3"/>
        <v>All three</v>
      </c>
      <c r="K99" s="32" t="s">
        <v>406</v>
      </c>
      <c r="L99" s="32"/>
      <c r="M99" s="32"/>
      <c r="N99" s="32"/>
      <c r="O99" s="32"/>
      <c r="P99" s="32"/>
    </row>
    <row r="100" spans="1:16" x14ac:dyDescent="0.3">
      <c r="A100" s="28">
        <v>99</v>
      </c>
      <c r="B100" s="29" t="s">
        <v>408</v>
      </c>
      <c r="C100" s="30" t="str">
        <f>IF(LEN(IF(K100="","",IFERROR(INDEX('Raw lists'!$A$2:$A$192,MATCH(K100,'Raw lists'!$A$2:$A$192,0))&amp;" | ",""))&amp;IF(L100="","",IFERROR(INDEX('Raw lists'!$A$2:$A$192,MATCH(L100,'Raw lists'!$A$2:$A$192,0))&amp;" | ",""))&amp;IF(M100="","",IFERROR(INDEX('Raw lists'!$A$2:$A$192,MATCH(M100,'Raw lists'!$A$2:$A$192,0))&amp;" | ",""))&amp;IF(N100="","",IFERROR(INDEX('Raw lists'!$A$2:$A$192,MATCH(N100,'Raw lists'!$A$2:$A$192,0))&amp;" | ",""))&amp;IF(O100="","",IFERROR(INDEX('Raw lists'!$A$2:$A$192,MATCH(O100,'Raw lists'!$A$2:$A$192,0))&amp;" | ",""))&amp;IF(P100="","",IFERROR(INDEX('Raw lists'!$A$2:$A$192,MATCH(P100,'Raw lists'!$A$2:$A$192,0))&amp;" | ","")))=0,"",LEFT(IF(K100="","",IFERROR(INDEX('Raw lists'!$A$2:$A$192,MATCH(K100,'Raw lists'!$A$2:$A$192,0))&amp;" | ",""))&amp;IF(L100="","",IFERROR(INDEX('Raw lists'!$A$2:$A$192,MATCH(L100,'Raw lists'!$A$2:$A$192,0))&amp;" | ",""))&amp;IF(M100="","",IFERROR(INDEX('Raw lists'!$A$2:$A$192,MATCH(M100,'Raw lists'!$A$2:$A$192,0))&amp;" | ",""))&amp;IF(N100="","",IFERROR(INDEX('Raw lists'!$A$2:$A$192,MATCH(N100,'Raw lists'!$A$2:$A$192,0))&amp;" | ",""))&amp;IF(O100="","",IFERROR(INDEX('Raw lists'!$A$2:$A$192,MATCH(O100,'Raw lists'!$A$2:$A$192,0))&amp;" | ",""))&amp;IF(P100="","",IFERROR(INDEX('Raw lists'!$A$2:$A$192,MATCH(P100,'Raw lists'!$A$2:$A$192,0))&amp;" | ","")),LEN(IF(K100="","",IFERROR(INDEX('Raw lists'!$A$2:$A$192,MATCH(K100,'Raw lists'!$A$2:$A$192,0))&amp;" | ",""))&amp;IF(L100="","",IFERROR(INDEX('Raw lists'!$A$2:$A$192,MATCH(L100,'Raw lists'!$A$2:$A$192,0))&amp;" | ",""))&amp;IF(M100="","",IFERROR(INDEX('Raw lists'!$A$2:$A$192,MATCH(M100,'Raw lists'!$A$2:$A$192,0))&amp;" | ",""))&amp;IF(N100="","",IFERROR(INDEX('Raw lists'!$A$2:$A$192,MATCH(N100,'Raw lists'!$A$2:$A$192,0))&amp;" | ",""))&amp;IF(O100="","",IFERROR(INDEX('Raw lists'!$A$2:$A$192,MATCH(O100,'Raw lists'!$A$2:$A$192,0))&amp;" | ",""))&amp;IF(P100="","",IFERROR(INDEX('Raw lists'!$A$2:$A$192,MATCH(P100,'Raw lists'!$A$2:$A$192,0))&amp;" | ","")))-3))</f>
        <v>Drilling</v>
      </c>
      <c r="D100" s="30" t="str">
        <f>IF(LEN(IF(K100="","",IFERROR(INDEX('Raw lists'!$B$2:$B$627,MATCH(K100,'Raw lists'!$B$2:$B$627,0))&amp;" | ",""))&amp;IF(L100="","",IFERROR(INDEX('Raw lists'!$B$2:$B$627,MATCH(L100,'Raw lists'!$B$2:$B$627,0))&amp;" | ",""))&amp;IF(M100="","",IFERROR(INDEX('Raw lists'!$B$2:$B$627,MATCH(M100,'Raw lists'!$B$2:$B$627,0))&amp;" | ",""))&amp;IF(N100="","",IFERROR(INDEX('Raw lists'!$B$2:$B$627,MATCH(N100,'Raw lists'!$B$2:$B$627,0))&amp;" | ",""))&amp;IF(O100="","",IFERROR(INDEX('Raw lists'!$B$2:$B$627,MATCH(O100,'Raw lists'!$B$2:$B$627,0))&amp;" | ",""))&amp;IF(P100="","",IFERROR(INDEX('Raw lists'!$B$2:$B$627,MATCH(P100,'Raw lists'!$B$2:$B$627,0))&amp;" | ","")))=0,"",LEFT(IF(K100="","",IFERROR(INDEX('Raw lists'!$B$2:$B$627,MATCH(K100,'Raw lists'!$B$2:$B$627,0))&amp;" | ",""))&amp;IF(L100="","",IFERROR(INDEX('Raw lists'!$B$2:$B$627,MATCH(L100,'Raw lists'!$B$2:$B$627,0))&amp;" | ",""))&amp;IF(M100="","",IFERROR(INDEX('Raw lists'!$B$2:$B$627,MATCH(M100,'Raw lists'!$B$2:$B$627,0))&amp;" | ",""))&amp;IF(N100="","",IFERROR(INDEX('Raw lists'!$B$2:$B$627,MATCH(N100,'Raw lists'!$B$2:$B$627,0))&amp;" | ",""))&amp;IF(O100="","",IFERROR(INDEX('Raw lists'!$B$2:$B$627,MATCH(O100,'Raw lists'!$B$2:$B$627,0))&amp;" | ",""))&amp;IF(P100="","",IFERROR(INDEX('Raw lists'!$B$2:$B$627,MATCH(P100,'Raw lists'!$B$2:$B$627,0))&amp;" | ","")),LEN(IF(K100="","",IFERROR(INDEX('Raw lists'!$B$2:$B$627,MATCH(K100,'Raw lists'!$B$2:$B$627,0))&amp;" | ",""))&amp;IF(L100="","",IFERROR(INDEX('Raw lists'!$B$2:$B$627,MATCH(L100,'Raw lists'!$B$2:$B$627,0))&amp;" | ",""))&amp;IF(M100="","",IFERROR(INDEX('Raw lists'!$B$2:$B$627,MATCH(M100,'Raw lists'!$B$2:$B$627,0))&amp;" | ",""))&amp;IF(N100="","",IFERROR(INDEX('Raw lists'!$B$2:$B$627,MATCH(N100,'Raw lists'!$B$2:$B$627,0))&amp;" | ",""))&amp;IF(O100="","",IFERROR(INDEX('Raw lists'!$B$2:$B$627,MATCH(O100,'Raw lists'!$B$2:$B$627,0))&amp;" | ",""))&amp;IF(P100="","",IFERROR(INDEX('Raw lists'!$B$2:$B$627,MATCH(P100,'Raw lists'!$B$2:$B$627,0))&amp;" | ","")))-3))</f>
        <v/>
      </c>
      <c r="E100" s="30" t="str">
        <f>IF(LEN(IF(K100="","",IFERROR(INDEX('Raw lists'!$C$2:$C$616,MATCH(K100,'Raw lists'!$C$2:$C$616,0))&amp;" | ",""))&amp;IF(L100="","",IFERROR(INDEX('Raw lists'!$C$2:$C$616,MATCH(L100,'Raw lists'!$C$2:$C$616,0))&amp;" | ",""))&amp;IF(M100="","",IFERROR(INDEX('Raw lists'!$C$2:$C$616,MATCH(M100,'Raw lists'!$C$2:$C$616,0))&amp;" | ",""))&amp;IF(N100="","",IFERROR(INDEX('Raw lists'!$C$2:$C$616,MATCH(N100,'Raw lists'!$C$2:$C$616,0))&amp;" | ",""))&amp;IF(O100="","",IFERROR(INDEX('Raw lists'!$C$2:$C$616,MATCH(O100,'Raw lists'!$C$2:$C$616,0))&amp;" | ",""))&amp;IF(P100="","",IFERROR(INDEX('Raw lists'!$C$2:$C$616,MATCH(P100,'Raw lists'!$C$2:$C$616,0))&amp;" | ","")))=0,"",LEFT(IF(K100="","",IFERROR(INDEX('Raw lists'!$C$2:$C$616,MATCH(K100,'Raw lists'!$C$2:$C$616,0))&amp;" | ",""))&amp;IF(L100="","",IFERROR(INDEX('Raw lists'!$C$2:$C$616,MATCH(L100,'Raw lists'!$C$2:$C$616,0))&amp;" | ",""))&amp;IF(M100="","",IFERROR(INDEX('Raw lists'!$C$2:$C$616,MATCH(M100,'Raw lists'!$C$2:$C$616,0))&amp;" | ",""))&amp;IF(N100="","",IFERROR(INDEX('Raw lists'!$C$2:$C$616,MATCH(N100,'Raw lists'!$C$2:$C$616,0))&amp;" | ",""))&amp;IF(O100="","",IFERROR(INDEX('Raw lists'!$C$2:$C$616,MATCH(O100,'Raw lists'!$C$2:$C$616,0))&amp;" | ",""))&amp;IF(P100="","",IFERROR(INDEX('Raw lists'!$C$2:$C$616,MATCH(P100,'Raw lists'!$C$2:$C$616,0))&amp;" | ","")),LEN(IF(K100="","",IFERROR(INDEX('Raw lists'!$C$2:$C$616,MATCH(K100,'Raw lists'!$C$2:$C$616,0))&amp;" | ",""))&amp;IF(L100="","",IFERROR(INDEX('Raw lists'!$C$2:$C$616,MATCH(L100,'Raw lists'!$C$2:$C$616,0))&amp;" | ",""))&amp;IF(M100="","",IFERROR(INDEX('Raw lists'!$C$2:$C$616,MATCH(M100,'Raw lists'!$C$2:$C$616,0))&amp;" | ",""))&amp;IF(N100="","",IFERROR(INDEX('Raw lists'!$C$2:$C$616,MATCH(N100,'Raw lists'!$C$2:$C$616,0))&amp;" | ",""))&amp;IF(O100="","",IFERROR(INDEX('Raw lists'!$C$2:$C$616,MATCH(O100,'Raw lists'!$C$2:$C$616,0))&amp;" | ",""))&amp;IF(P100="","",IFERROR(INDEX('Raw lists'!$C$2:$C$616,MATCH(P100,'Raw lists'!$C$2:$C$616,0))&amp;" | ","")))-3))</f>
        <v>Drilling</v>
      </c>
      <c r="F100" s="28" t="s">
        <v>54</v>
      </c>
      <c r="G100" s="30" t="s">
        <v>409</v>
      </c>
      <c r="H100" s="28">
        <f t="shared" si="2"/>
        <v>2</v>
      </c>
      <c r="I100" s="31" t="str">
        <f t="shared" si="3"/>
        <v>Gemini + YAKE</v>
      </c>
      <c r="K100" s="32" t="s">
        <v>408</v>
      </c>
      <c r="L100" s="32"/>
      <c r="M100" s="32"/>
      <c r="N100" s="32"/>
      <c r="O100" s="32"/>
      <c r="P100" s="32"/>
    </row>
    <row r="101" spans="1:16" ht="26.4" x14ac:dyDescent="0.3">
      <c r="A101" s="28">
        <v>100</v>
      </c>
      <c r="B101" s="29" t="s">
        <v>410</v>
      </c>
      <c r="C101" s="30" t="str">
        <f>IF(LEN(IF(K101="","",IFERROR(INDEX('Raw lists'!$A$2:$A$192,MATCH(K101,'Raw lists'!$A$2:$A$192,0))&amp;" | ",""))&amp;IF(L101="","",IFERROR(INDEX('Raw lists'!$A$2:$A$192,MATCH(L101,'Raw lists'!$A$2:$A$192,0))&amp;" | ",""))&amp;IF(M101="","",IFERROR(INDEX('Raw lists'!$A$2:$A$192,MATCH(M101,'Raw lists'!$A$2:$A$192,0))&amp;" | ",""))&amp;IF(N101="","",IFERROR(INDEX('Raw lists'!$A$2:$A$192,MATCH(N101,'Raw lists'!$A$2:$A$192,0))&amp;" | ",""))&amp;IF(O101="","",IFERROR(INDEX('Raw lists'!$A$2:$A$192,MATCH(O101,'Raw lists'!$A$2:$A$192,0))&amp;" | ",""))&amp;IF(P101="","",IFERROR(INDEX('Raw lists'!$A$2:$A$192,MATCH(P101,'Raw lists'!$A$2:$A$192,0))&amp;" | ","")))=0,"",LEFT(IF(K101="","",IFERROR(INDEX('Raw lists'!$A$2:$A$192,MATCH(K101,'Raw lists'!$A$2:$A$192,0))&amp;" | ",""))&amp;IF(L101="","",IFERROR(INDEX('Raw lists'!$A$2:$A$192,MATCH(L101,'Raw lists'!$A$2:$A$192,0))&amp;" | ",""))&amp;IF(M101="","",IFERROR(INDEX('Raw lists'!$A$2:$A$192,MATCH(M101,'Raw lists'!$A$2:$A$192,0))&amp;" | ",""))&amp;IF(N101="","",IFERROR(INDEX('Raw lists'!$A$2:$A$192,MATCH(N101,'Raw lists'!$A$2:$A$192,0))&amp;" | ",""))&amp;IF(O101="","",IFERROR(INDEX('Raw lists'!$A$2:$A$192,MATCH(O101,'Raw lists'!$A$2:$A$192,0))&amp;" | ",""))&amp;IF(P101="","",IFERROR(INDEX('Raw lists'!$A$2:$A$192,MATCH(P101,'Raw lists'!$A$2:$A$192,0))&amp;" | ","")),LEN(IF(K101="","",IFERROR(INDEX('Raw lists'!$A$2:$A$192,MATCH(K101,'Raw lists'!$A$2:$A$192,0))&amp;" | ",""))&amp;IF(L101="","",IFERROR(INDEX('Raw lists'!$A$2:$A$192,MATCH(L101,'Raw lists'!$A$2:$A$192,0))&amp;" | ",""))&amp;IF(M101="","",IFERROR(INDEX('Raw lists'!$A$2:$A$192,MATCH(M101,'Raw lists'!$A$2:$A$192,0))&amp;" | ",""))&amp;IF(N101="","",IFERROR(INDEX('Raw lists'!$A$2:$A$192,MATCH(N101,'Raw lists'!$A$2:$A$192,0))&amp;" | ",""))&amp;IF(O101="","",IFERROR(INDEX('Raw lists'!$A$2:$A$192,MATCH(O101,'Raw lists'!$A$2:$A$192,0))&amp;" | ",""))&amp;IF(P101="","",IFERROR(INDEX('Raw lists'!$A$2:$A$192,MATCH(P101,'Raw lists'!$A$2:$A$192,0))&amp;" | ","")))-3))</f>
        <v>Micromachining</v>
      </c>
      <c r="D101" s="30" t="str">
        <f>IF(LEN(IF(K101="","",IFERROR(INDEX('Raw lists'!$B$2:$B$627,MATCH(K101,'Raw lists'!$B$2:$B$627,0))&amp;" | ",""))&amp;IF(L101="","",IFERROR(INDEX('Raw lists'!$B$2:$B$627,MATCH(L101,'Raw lists'!$B$2:$B$627,0))&amp;" | ",""))&amp;IF(M101="","",IFERROR(INDEX('Raw lists'!$B$2:$B$627,MATCH(M101,'Raw lists'!$B$2:$B$627,0))&amp;" | ",""))&amp;IF(N101="","",IFERROR(INDEX('Raw lists'!$B$2:$B$627,MATCH(N101,'Raw lists'!$B$2:$B$627,0))&amp;" | ",""))&amp;IF(O101="","",IFERROR(INDEX('Raw lists'!$B$2:$B$627,MATCH(O101,'Raw lists'!$B$2:$B$627,0))&amp;" | ",""))&amp;IF(P101="","",IFERROR(INDEX('Raw lists'!$B$2:$B$627,MATCH(P101,'Raw lists'!$B$2:$B$627,0))&amp;" | ","")))=0,"",LEFT(IF(K101="","",IFERROR(INDEX('Raw lists'!$B$2:$B$627,MATCH(K101,'Raw lists'!$B$2:$B$627,0))&amp;" | ",""))&amp;IF(L101="","",IFERROR(INDEX('Raw lists'!$B$2:$B$627,MATCH(L101,'Raw lists'!$B$2:$B$627,0))&amp;" | ",""))&amp;IF(M101="","",IFERROR(INDEX('Raw lists'!$B$2:$B$627,MATCH(M101,'Raw lists'!$B$2:$B$627,0))&amp;" | ",""))&amp;IF(N101="","",IFERROR(INDEX('Raw lists'!$B$2:$B$627,MATCH(N101,'Raw lists'!$B$2:$B$627,0))&amp;" | ",""))&amp;IF(O101="","",IFERROR(INDEX('Raw lists'!$B$2:$B$627,MATCH(O101,'Raw lists'!$B$2:$B$627,0))&amp;" | ",""))&amp;IF(P101="","",IFERROR(INDEX('Raw lists'!$B$2:$B$627,MATCH(P101,'Raw lists'!$B$2:$B$627,0))&amp;" | ","")),LEN(IF(K101="","",IFERROR(INDEX('Raw lists'!$B$2:$B$627,MATCH(K101,'Raw lists'!$B$2:$B$627,0))&amp;" | ",""))&amp;IF(L101="","",IFERROR(INDEX('Raw lists'!$B$2:$B$627,MATCH(L101,'Raw lists'!$B$2:$B$627,0))&amp;" | ",""))&amp;IF(M101="","",IFERROR(INDEX('Raw lists'!$B$2:$B$627,MATCH(M101,'Raw lists'!$B$2:$B$627,0))&amp;" | ",""))&amp;IF(N101="","",IFERROR(INDEX('Raw lists'!$B$2:$B$627,MATCH(N101,'Raw lists'!$B$2:$B$627,0))&amp;" | ",""))&amp;IF(O101="","",IFERROR(INDEX('Raw lists'!$B$2:$B$627,MATCH(O101,'Raw lists'!$B$2:$B$627,0))&amp;" | ",""))&amp;IF(P101="","",IFERROR(INDEX('Raw lists'!$B$2:$B$627,MATCH(P101,'Raw lists'!$B$2:$B$627,0))&amp;" | ","")))-3))</f>
        <v/>
      </c>
      <c r="E101" s="30" t="str">
        <f>IF(LEN(IF(K101="","",IFERROR(INDEX('Raw lists'!$C$2:$C$616,MATCH(K101,'Raw lists'!$C$2:$C$616,0))&amp;" | ",""))&amp;IF(L101="","",IFERROR(INDEX('Raw lists'!$C$2:$C$616,MATCH(L101,'Raw lists'!$C$2:$C$616,0))&amp;" | ",""))&amp;IF(M101="","",IFERROR(INDEX('Raw lists'!$C$2:$C$616,MATCH(M101,'Raw lists'!$C$2:$C$616,0))&amp;" | ",""))&amp;IF(N101="","",IFERROR(INDEX('Raw lists'!$C$2:$C$616,MATCH(N101,'Raw lists'!$C$2:$C$616,0))&amp;" | ",""))&amp;IF(O101="","",IFERROR(INDEX('Raw lists'!$C$2:$C$616,MATCH(O101,'Raw lists'!$C$2:$C$616,0))&amp;" | ",""))&amp;IF(P101="","",IFERROR(INDEX('Raw lists'!$C$2:$C$616,MATCH(P101,'Raw lists'!$C$2:$C$616,0))&amp;" | ","")))=0,"",LEFT(IF(K101="","",IFERROR(INDEX('Raw lists'!$C$2:$C$616,MATCH(K101,'Raw lists'!$C$2:$C$616,0))&amp;" | ",""))&amp;IF(L101="","",IFERROR(INDEX('Raw lists'!$C$2:$C$616,MATCH(L101,'Raw lists'!$C$2:$C$616,0))&amp;" | ",""))&amp;IF(M101="","",IFERROR(INDEX('Raw lists'!$C$2:$C$616,MATCH(M101,'Raw lists'!$C$2:$C$616,0))&amp;" | ",""))&amp;IF(N101="","",IFERROR(INDEX('Raw lists'!$C$2:$C$616,MATCH(N101,'Raw lists'!$C$2:$C$616,0))&amp;" | ",""))&amp;IF(O101="","",IFERROR(INDEX('Raw lists'!$C$2:$C$616,MATCH(O101,'Raw lists'!$C$2:$C$616,0))&amp;" | ",""))&amp;IF(P101="","",IFERROR(INDEX('Raw lists'!$C$2:$C$616,MATCH(P101,'Raw lists'!$C$2:$C$616,0))&amp;" | ","")),LEN(IF(K101="","",IFERROR(INDEX('Raw lists'!$C$2:$C$616,MATCH(K101,'Raw lists'!$C$2:$C$616,0))&amp;" | ",""))&amp;IF(L101="","",IFERROR(INDEX('Raw lists'!$C$2:$C$616,MATCH(L101,'Raw lists'!$C$2:$C$616,0))&amp;" | ",""))&amp;IF(M101="","",IFERROR(INDEX('Raw lists'!$C$2:$C$616,MATCH(M101,'Raw lists'!$C$2:$C$616,0))&amp;" | ",""))&amp;IF(N101="","",IFERROR(INDEX('Raw lists'!$C$2:$C$616,MATCH(N101,'Raw lists'!$C$2:$C$616,0))&amp;" | ",""))&amp;IF(O101="","",IFERROR(INDEX('Raw lists'!$C$2:$C$616,MATCH(O101,'Raw lists'!$C$2:$C$616,0))&amp;" | ",""))&amp;IF(P101="","",IFERROR(INDEX('Raw lists'!$C$2:$C$616,MATCH(P101,'Raw lists'!$C$2:$C$616,0))&amp;" | ","")))-3))</f>
        <v/>
      </c>
      <c r="F101" s="28" t="s">
        <v>54</v>
      </c>
      <c r="G101" s="30" t="s">
        <v>411</v>
      </c>
      <c r="H101" s="28">
        <f t="shared" si="2"/>
        <v>1</v>
      </c>
      <c r="I101" s="31" t="str">
        <f t="shared" si="3"/>
        <v>Only Gemini</v>
      </c>
      <c r="K101" s="32" t="s">
        <v>410</v>
      </c>
      <c r="L101" s="32" t="s">
        <v>412</v>
      </c>
      <c r="M101" s="32"/>
      <c r="N101" s="32"/>
      <c r="O101" s="32"/>
      <c r="P101" s="32"/>
    </row>
    <row r="102" spans="1:16" ht="26.4" x14ac:dyDescent="0.3">
      <c r="A102" s="28">
        <v>101</v>
      </c>
      <c r="B102" s="29" t="s">
        <v>413</v>
      </c>
      <c r="C102" s="30" t="str">
        <f>IF(LEN(IF(K102="","",IFERROR(INDEX('Raw lists'!$A$2:$A$192,MATCH(K102,'Raw lists'!$A$2:$A$192,0))&amp;" | ",""))&amp;IF(L102="","",IFERROR(INDEX('Raw lists'!$A$2:$A$192,MATCH(L102,'Raw lists'!$A$2:$A$192,0))&amp;" | ",""))&amp;IF(M102="","",IFERROR(INDEX('Raw lists'!$A$2:$A$192,MATCH(M102,'Raw lists'!$A$2:$A$192,0))&amp;" | ",""))&amp;IF(N102="","",IFERROR(INDEX('Raw lists'!$A$2:$A$192,MATCH(N102,'Raw lists'!$A$2:$A$192,0))&amp;" | ",""))&amp;IF(O102="","",IFERROR(INDEX('Raw lists'!$A$2:$A$192,MATCH(O102,'Raw lists'!$A$2:$A$192,0))&amp;" | ",""))&amp;IF(P102="","",IFERROR(INDEX('Raw lists'!$A$2:$A$192,MATCH(P102,'Raw lists'!$A$2:$A$192,0))&amp;" | ","")))=0,"",LEFT(IF(K102="","",IFERROR(INDEX('Raw lists'!$A$2:$A$192,MATCH(K102,'Raw lists'!$A$2:$A$192,0))&amp;" | ",""))&amp;IF(L102="","",IFERROR(INDEX('Raw lists'!$A$2:$A$192,MATCH(L102,'Raw lists'!$A$2:$A$192,0))&amp;" | ",""))&amp;IF(M102="","",IFERROR(INDEX('Raw lists'!$A$2:$A$192,MATCH(M102,'Raw lists'!$A$2:$A$192,0))&amp;" | ",""))&amp;IF(N102="","",IFERROR(INDEX('Raw lists'!$A$2:$A$192,MATCH(N102,'Raw lists'!$A$2:$A$192,0))&amp;" | ",""))&amp;IF(O102="","",IFERROR(INDEX('Raw lists'!$A$2:$A$192,MATCH(O102,'Raw lists'!$A$2:$A$192,0))&amp;" | ",""))&amp;IF(P102="","",IFERROR(INDEX('Raw lists'!$A$2:$A$192,MATCH(P102,'Raw lists'!$A$2:$A$192,0))&amp;" | ","")),LEN(IF(K102="","",IFERROR(INDEX('Raw lists'!$A$2:$A$192,MATCH(K102,'Raw lists'!$A$2:$A$192,0))&amp;" | ",""))&amp;IF(L102="","",IFERROR(INDEX('Raw lists'!$A$2:$A$192,MATCH(L102,'Raw lists'!$A$2:$A$192,0))&amp;" | ",""))&amp;IF(M102="","",IFERROR(INDEX('Raw lists'!$A$2:$A$192,MATCH(M102,'Raw lists'!$A$2:$A$192,0))&amp;" | ",""))&amp;IF(N102="","",IFERROR(INDEX('Raw lists'!$A$2:$A$192,MATCH(N102,'Raw lists'!$A$2:$A$192,0))&amp;" | ",""))&amp;IF(O102="","",IFERROR(INDEX('Raw lists'!$A$2:$A$192,MATCH(O102,'Raw lists'!$A$2:$A$192,0))&amp;" | ",""))&amp;IF(P102="","",IFERROR(INDEX('Raw lists'!$A$2:$A$192,MATCH(P102,'Raw lists'!$A$2:$A$192,0))&amp;" | ","")))-3))</f>
        <v>Surveying</v>
      </c>
      <c r="D102" s="30" t="str">
        <f>IF(LEN(IF(K102="","",IFERROR(INDEX('Raw lists'!$B$2:$B$627,MATCH(K102,'Raw lists'!$B$2:$B$627,0))&amp;" | ",""))&amp;IF(L102="","",IFERROR(INDEX('Raw lists'!$B$2:$B$627,MATCH(L102,'Raw lists'!$B$2:$B$627,0))&amp;" | ",""))&amp;IF(M102="","",IFERROR(INDEX('Raw lists'!$B$2:$B$627,MATCH(M102,'Raw lists'!$B$2:$B$627,0))&amp;" | ",""))&amp;IF(N102="","",IFERROR(INDEX('Raw lists'!$B$2:$B$627,MATCH(N102,'Raw lists'!$B$2:$B$627,0))&amp;" | ",""))&amp;IF(O102="","",IFERROR(INDEX('Raw lists'!$B$2:$B$627,MATCH(O102,'Raw lists'!$B$2:$B$627,0))&amp;" | ",""))&amp;IF(P102="","",IFERROR(INDEX('Raw lists'!$B$2:$B$627,MATCH(P102,'Raw lists'!$B$2:$B$627,0))&amp;" | ","")))=0,"",LEFT(IF(K102="","",IFERROR(INDEX('Raw lists'!$B$2:$B$627,MATCH(K102,'Raw lists'!$B$2:$B$627,0))&amp;" | ",""))&amp;IF(L102="","",IFERROR(INDEX('Raw lists'!$B$2:$B$627,MATCH(L102,'Raw lists'!$B$2:$B$627,0))&amp;" | ",""))&amp;IF(M102="","",IFERROR(INDEX('Raw lists'!$B$2:$B$627,MATCH(M102,'Raw lists'!$B$2:$B$627,0))&amp;" | ",""))&amp;IF(N102="","",IFERROR(INDEX('Raw lists'!$B$2:$B$627,MATCH(N102,'Raw lists'!$B$2:$B$627,0))&amp;" | ",""))&amp;IF(O102="","",IFERROR(INDEX('Raw lists'!$B$2:$B$627,MATCH(O102,'Raw lists'!$B$2:$B$627,0))&amp;" | ",""))&amp;IF(P102="","",IFERROR(INDEX('Raw lists'!$B$2:$B$627,MATCH(P102,'Raw lists'!$B$2:$B$627,0))&amp;" | ","")),LEN(IF(K102="","",IFERROR(INDEX('Raw lists'!$B$2:$B$627,MATCH(K102,'Raw lists'!$B$2:$B$627,0))&amp;" | ",""))&amp;IF(L102="","",IFERROR(INDEX('Raw lists'!$B$2:$B$627,MATCH(L102,'Raw lists'!$B$2:$B$627,0))&amp;" | ",""))&amp;IF(M102="","",IFERROR(INDEX('Raw lists'!$B$2:$B$627,MATCH(M102,'Raw lists'!$B$2:$B$627,0))&amp;" | ",""))&amp;IF(N102="","",IFERROR(INDEX('Raw lists'!$B$2:$B$627,MATCH(N102,'Raw lists'!$B$2:$B$627,0))&amp;" | ",""))&amp;IF(O102="","",IFERROR(INDEX('Raw lists'!$B$2:$B$627,MATCH(O102,'Raw lists'!$B$2:$B$627,0))&amp;" | ",""))&amp;IF(P102="","",IFERROR(INDEX('Raw lists'!$B$2:$B$627,MATCH(P102,'Raw lists'!$B$2:$B$627,0))&amp;" | ","")))-3))</f>
        <v/>
      </c>
      <c r="E102" s="30" t="str">
        <f>IF(LEN(IF(K102="","",IFERROR(INDEX('Raw lists'!$C$2:$C$616,MATCH(K102,'Raw lists'!$C$2:$C$616,0))&amp;" | ",""))&amp;IF(L102="","",IFERROR(INDEX('Raw lists'!$C$2:$C$616,MATCH(L102,'Raw lists'!$C$2:$C$616,0))&amp;" | ",""))&amp;IF(M102="","",IFERROR(INDEX('Raw lists'!$C$2:$C$616,MATCH(M102,'Raw lists'!$C$2:$C$616,0))&amp;" | ",""))&amp;IF(N102="","",IFERROR(INDEX('Raw lists'!$C$2:$C$616,MATCH(N102,'Raw lists'!$C$2:$C$616,0))&amp;" | ",""))&amp;IF(O102="","",IFERROR(INDEX('Raw lists'!$C$2:$C$616,MATCH(O102,'Raw lists'!$C$2:$C$616,0))&amp;" | ",""))&amp;IF(P102="","",IFERROR(INDEX('Raw lists'!$C$2:$C$616,MATCH(P102,'Raw lists'!$C$2:$C$616,0))&amp;" | ","")))=0,"",LEFT(IF(K102="","",IFERROR(INDEX('Raw lists'!$C$2:$C$616,MATCH(K102,'Raw lists'!$C$2:$C$616,0))&amp;" | ",""))&amp;IF(L102="","",IFERROR(INDEX('Raw lists'!$C$2:$C$616,MATCH(L102,'Raw lists'!$C$2:$C$616,0))&amp;" | ",""))&amp;IF(M102="","",IFERROR(INDEX('Raw lists'!$C$2:$C$616,MATCH(M102,'Raw lists'!$C$2:$C$616,0))&amp;" | ",""))&amp;IF(N102="","",IFERROR(INDEX('Raw lists'!$C$2:$C$616,MATCH(N102,'Raw lists'!$C$2:$C$616,0))&amp;" | ",""))&amp;IF(O102="","",IFERROR(INDEX('Raw lists'!$C$2:$C$616,MATCH(O102,'Raw lists'!$C$2:$C$616,0))&amp;" | ",""))&amp;IF(P102="","",IFERROR(INDEX('Raw lists'!$C$2:$C$616,MATCH(P102,'Raw lists'!$C$2:$C$616,0))&amp;" | ","")),LEN(IF(K102="","",IFERROR(INDEX('Raw lists'!$C$2:$C$616,MATCH(K102,'Raw lists'!$C$2:$C$616,0))&amp;" | ",""))&amp;IF(L102="","",IFERROR(INDEX('Raw lists'!$C$2:$C$616,MATCH(L102,'Raw lists'!$C$2:$C$616,0))&amp;" | ",""))&amp;IF(M102="","",IFERROR(INDEX('Raw lists'!$C$2:$C$616,MATCH(M102,'Raw lists'!$C$2:$C$616,0))&amp;" | ",""))&amp;IF(N102="","",IFERROR(INDEX('Raw lists'!$C$2:$C$616,MATCH(N102,'Raw lists'!$C$2:$C$616,0))&amp;" | ",""))&amp;IF(O102="","",IFERROR(INDEX('Raw lists'!$C$2:$C$616,MATCH(O102,'Raw lists'!$C$2:$C$616,0))&amp;" | ",""))&amp;IF(P102="","",IFERROR(INDEX('Raw lists'!$C$2:$C$616,MATCH(P102,'Raw lists'!$C$2:$C$616,0))&amp;" | ","")))-3))</f>
        <v>Surveying</v>
      </c>
      <c r="F102" s="28" t="s">
        <v>54</v>
      </c>
      <c r="G102" s="30" t="s">
        <v>414</v>
      </c>
      <c r="H102" s="28">
        <f t="shared" si="2"/>
        <v>2</v>
      </c>
      <c r="I102" s="31" t="str">
        <f t="shared" si="3"/>
        <v>Gemini + YAKE</v>
      </c>
      <c r="K102" s="32" t="s">
        <v>413</v>
      </c>
      <c r="L102" s="32"/>
      <c r="M102" s="32"/>
      <c r="N102" s="32"/>
      <c r="O102" s="32"/>
      <c r="P102" s="32"/>
    </row>
    <row r="103" spans="1:16" ht="26.4" x14ac:dyDescent="0.3">
      <c r="A103" s="28">
        <v>102</v>
      </c>
      <c r="B103" s="29" t="s">
        <v>415</v>
      </c>
      <c r="C103" s="30" t="str">
        <f>IF(LEN(IF(K103="","",IFERROR(INDEX('Raw lists'!$A$2:$A$192,MATCH(K103,'Raw lists'!$A$2:$A$192,0))&amp;" | ",""))&amp;IF(L103="","",IFERROR(INDEX('Raw lists'!$A$2:$A$192,MATCH(L103,'Raw lists'!$A$2:$A$192,0))&amp;" | ",""))&amp;IF(M103="","",IFERROR(INDEX('Raw lists'!$A$2:$A$192,MATCH(M103,'Raw lists'!$A$2:$A$192,0))&amp;" | ",""))&amp;IF(N103="","",IFERROR(INDEX('Raw lists'!$A$2:$A$192,MATCH(N103,'Raw lists'!$A$2:$A$192,0))&amp;" | ",""))&amp;IF(O103="","",IFERROR(INDEX('Raw lists'!$A$2:$A$192,MATCH(O103,'Raw lists'!$A$2:$A$192,0))&amp;" | ",""))&amp;IF(P103="","",IFERROR(INDEX('Raw lists'!$A$2:$A$192,MATCH(P103,'Raw lists'!$A$2:$A$192,0))&amp;" | ","")))=0,"",LEFT(IF(K103="","",IFERROR(INDEX('Raw lists'!$A$2:$A$192,MATCH(K103,'Raw lists'!$A$2:$A$192,0))&amp;" | ",""))&amp;IF(L103="","",IFERROR(INDEX('Raw lists'!$A$2:$A$192,MATCH(L103,'Raw lists'!$A$2:$A$192,0))&amp;" | ",""))&amp;IF(M103="","",IFERROR(INDEX('Raw lists'!$A$2:$A$192,MATCH(M103,'Raw lists'!$A$2:$A$192,0))&amp;" | ",""))&amp;IF(N103="","",IFERROR(INDEX('Raw lists'!$A$2:$A$192,MATCH(N103,'Raw lists'!$A$2:$A$192,0))&amp;" | ",""))&amp;IF(O103="","",IFERROR(INDEX('Raw lists'!$A$2:$A$192,MATCH(O103,'Raw lists'!$A$2:$A$192,0))&amp;" | ",""))&amp;IF(P103="","",IFERROR(INDEX('Raw lists'!$A$2:$A$192,MATCH(P103,'Raw lists'!$A$2:$A$192,0))&amp;" | ","")),LEN(IF(K103="","",IFERROR(INDEX('Raw lists'!$A$2:$A$192,MATCH(K103,'Raw lists'!$A$2:$A$192,0))&amp;" | ",""))&amp;IF(L103="","",IFERROR(INDEX('Raw lists'!$A$2:$A$192,MATCH(L103,'Raw lists'!$A$2:$A$192,0))&amp;" | ",""))&amp;IF(M103="","",IFERROR(INDEX('Raw lists'!$A$2:$A$192,MATCH(M103,'Raw lists'!$A$2:$A$192,0))&amp;" | ",""))&amp;IF(N103="","",IFERROR(INDEX('Raw lists'!$A$2:$A$192,MATCH(N103,'Raw lists'!$A$2:$A$192,0))&amp;" | ",""))&amp;IF(O103="","",IFERROR(INDEX('Raw lists'!$A$2:$A$192,MATCH(O103,'Raw lists'!$A$2:$A$192,0))&amp;" | ",""))&amp;IF(P103="","",IFERROR(INDEX('Raw lists'!$A$2:$A$192,MATCH(P103,'Raw lists'!$A$2:$A$192,0))&amp;" | ","")))-3))</f>
        <v/>
      </c>
      <c r="D103" s="30" t="str">
        <f>IF(LEN(IF(K103="","",IFERROR(INDEX('Raw lists'!$B$2:$B$627,MATCH(K103,'Raw lists'!$B$2:$B$627,0))&amp;" | ",""))&amp;IF(L103="","",IFERROR(INDEX('Raw lists'!$B$2:$B$627,MATCH(L103,'Raw lists'!$B$2:$B$627,0))&amp;" | ",""))&amp;IF(M103="","",IFERROR(INDEX('Raw lists'!$B$2:$B$627,MATCH(M103,'Raw lists'!$B$2:$B$627,0))&amp;" | ",""))&amp;IF(N103="","",IFERROR(INDEX('Raw lists'!$B$2:$B$627,MATCH(N103,'Raw lists'!$B$2:$B$627,0))&amp;" | ",""))&amp;IF(O103="","",IFERROR(INDEX('Raw lists'!$B$2:$B$627,MATCH(O103,'Raw lists'!$B$2:$B$627,0))&amp;" | ",""))&amp;IF(P103="","",IFERROR(INDEX('Raw lists'!$B$2:$B$627,MATCH(P103,'Raw lists'!$B$2:$B$627,0))&amp;" | ","")))=0,"",LEFT(IF(K103="","",IFERROR(INDEX('Raw lists'!$B$2:$B$627,MATCH(K103,'Raw lists'!$B$2:$B$627,0))&amp;" | ",""))&amp;IF(L103="","",IFERROR(INDEX('Raw lists'!$B$2:$B$627,MATCH(L103,'Raw lists'!$B$2:$B$627,0))&amp;" | ",""))&amp;IF(M103="","",IFERROR(INDEX('Raw lists'!$B$2:$B$627,MATCH(M103,'Raw lists'!$B$2:$B$627,0))&amp;" | ",""))&amp;IF(N103="","",IFERROR(INDEX('Raw lists'!$B$2:$B$627,MATCH(N103,'Raw lists'!$B$2:$B$627,0))&amp;" | ",""))&amp;IF(O103="","",IFERROR(INDEX('Raw lists'!$B$2:$B$627,MATCH(O103,'Raw lists'!$B$2:$B$627,0))&amp;" | ",""))&amp;IF(P103="","",IFERROR(INDEX('Raw lists'!$B$2:$B$627,MATCH(P103,'Raw lists'!$B$2:$B$627,0))&amp;" | ","")),LEN(IF(K103="","",IFERROR(INDEX('Raw lists'!$B$2:$B$627,MATCH(K103,'Raw lists'!$B$2:$B$627,0))&amp;" | ",""))&amp;IF(L103="","",IFERROR(INDEX('Raw lists'!$B$2:$B$627,MATCH(L103,'Raw lists'!$B$2:$B$627,0))&amp;" | ",""))&amp;IF(M103="","",IFERROR(INDEX('Raw lists'!$B$2:$B$627,MATCH(M103,'Raw lists'!$B$2:$B$627,0))&amp;" | ",""))&amp;IF(N103="","",IFERROR(INDEX('Raw lists'!$B$2:$B$627,MATCH(N103,'Raw lists'!$B$2:$B$627,0))&amp;" | ",""))&amp;IF(O103="","",IFERROR(INDEX('Raw lists'!$B$2:$B$627,MATCH(O103,'Raw lists'!$B$2:$B$627,0))&amp;" | ",""))&amp;IF(P103="","",IFERROR(INDEX('Raw lists'!$B$2:$B$627,MATCH(P103,'Raw lists'!$B$2:$B$627,0))&amp;" | ","")))-3))</f>
        <v>Laser Radar</v>
      </c>
      <c r="E103" s="30" t="str">
        <f>IF(LEN(IF(K103="","",IFERROR(INDEX('Raw lists'!$C$2:$C$616,MATCH(K103,'Raw lists'!$C$2:$C$616,0))&amp;" | ",""))&amp;IF(L103="","",IFERROR(INDEX('Raw lists'!$C$2:$C$616,MATCH(L103,'Raw lists'!$C$2:$C$616,0))&amp;" | ",""))&amp;IF(M103="","",IFERROR(INDEX('Raw lists'!$C$2:$C$616,MATCH(M103,'Raw lists'!$C$2:$C$616,0))&amp;" | ",""))&amp;IF(N103="","",IFERROR(INDEX('Raw lists'!$C$2:$C$616,MATCH(N103,'Raw lists'!$C$2:$C$616,0))&amp;" | ",""))&amp;IF(O103="","",IFERROR(INDEX('Raw lists'!$C$2:$C$616,MATCH(O103,'Raw lists'!$C$2:$C$616,0))&amp;" | ",""))&amp;IF(P103="","",IFERROR(INDEX('Raw lists'!$C$2:$C$616,MATCH(P103,'Raw lists'!$C$2:$C$616,0))&amp;" | ","")))=0,"",LEFT(IF(K103="","",IFERROR(INDEX('Raw lists'!$C$2:$C$616,MATCH(K103,'Raw lists'!$C$2:$C$616,0))&amp;" | ",""))&amp;IF(L103="","",IFERROR(INDEX('Raw lists'!$C$2:$C$616,MATCH(L103,'Raw lists'!$C$2:$C$616,0))&amp;" | ",""))&amp;IF(M103="","",IFERROR(INDEX('Raw lists'!$C$2:$C$616,MATCH(M103,'Raw lists'!$C$2:$C$616,0))&amp;" | ",""))&amp;IF(N103="","",IFERROR(INDEX('Raw lists'!$C$2:$C$616,MATCH(N103,'Raw lists'!$C$2:$C$616,0))&amp;" | ",""))&amp;IF(O103="","",IFERROR(INDEX('Raw lists'!$C$2:$C$616,MATCH(O103,'Raw lists'!$C$2:$C$616,0))&amp;" | ",""))&amp;IF(P103="","",IFERROR(INDEX('Raw lists'!$C$2:$C$616,MATCH(P103,'Raw lists'!$C$2:$C$616,0))&amp;" | ","")),LEN(IF(K103="","",IFERROR(INDEX('Raw lists'!$C$2:$C$616,MATCH(K103,'Raw lists'!$C$2:$C$616,0))&amp;" | ",""))&amp;IF(L103="","",IFERROR(INDEX('Raw lists'!$C$2:$C$616,MATCH(L103,'Raw lists'!$C$2:$C$616,0))&amp;" | ",""))&amp;IF(M103="","",IFERROR(INDEX('Raw lists'!$C$2:$C$616,MATCH(M103,'Raw lists'!$C$2:$C$616,0))&amp;" | ",""))&amp;IF(N103="","",IFERROR(INDEX('Raw lists'!$C$2:$C$616,MATCH(N103,'Raw lists'!$C$2:$C$616,0))&amp;" | ",""))&amp;IF(O103="","",IFERROR(INDEX('Raw lists'!$C$2:$C$616,MATCH(O103,'Raw lists'!$C$2:$C$616,0))&amp;" | ",""))&amp;IF(P103="","",IFERROR(INDEX('Raw lists'!$C$2:$C$616,MATCH(P103,'Raw lists'!$C$2:$C$616,0))&amp;" | ","")))-3))</f>
        <v/>
      </c>
      <c r="F103" s="28" t="s">
        <v>54</v>
      </c>
      <c r="G103" s="30" t="s">
        <v>416</v>
      </c>
      <c r="H103" s="28">
        <f t="shared" si="2"/>
        <v>1</v>
      </c>
      <c r="I103" s="31" t="str">
        <f t="shared" si="3"/>
        <v>Only RAKE</v>
      </c>
      <c r="K103" s="32" t="s">
        <v>417</v>
      </c>
      <c r="L103" s="32" t="s">
        <v>418</v>
      </c>
      <c r="M103" s="32"/>
      <c r="N103" s="32"/>
      <c r="O103" s="32"/>
      <c r="P103" s="32"/>
    </row>
    <row r="104" spans="1:16" x14ac:dyDescent="0.3">
      <c r="A104" s="28">
        <v>103</v>
      </c>
      <c r="B104" s="29" t="s">
        <v>419</v>
      </c>
      <c r="C104" s="30" t="str">
        <f>IF(LEN(IF(K104="","",IFERROR(INDEX('Raw lists'!$A$2:$A$192,MATCH(K104,'Raw lists'!$A$2:$A$192,0))&amp;" | ",""))&amp;IF(L104="","",IFERROR(INDEX('Raw lists'!$A$2:$A$192,MATCH(L104,'Raw lists'!$A$2:$A$192,0))&amp;" | ",""))&amp;IF(M104="","",IFERROR(INDEX('Raw lists'!$A$2:$A$192,MATCH(M104,'Raw lists'!$A$2:$A$192,0))&amp;" | ",""))&amp;IF(N104="","",IFERROR(INDEX('Raw lists'!$A$2:$A$192,MATCH(N104,'Raw lists'!$A$2:$A$192,0))&amp;" | ",""))&amp;IF(O104="","",IFERROR(INDEX('Raw lists'!$A$2:$A$192,MATCH(O104,'Raw lists'!$A$2:$A$192,0))&amp;" | ",""))&amp;IF(P104="","",IFERROR(INDEX('Raw lists'!$A$2:$A$192,MATCH(P104,'Raw lists'!$A$2:$A$192,0))&amp;" | ","")))=0,"",LEFT(IF(K104="","",IFERROR(INDEX('Raw lists'!$A$2:$A$192,MATCH(K104,'Raw lists'!$A$2:$A$192,0))&amp;" | ",""))&amp;IF(L104="","",IFERROR(INDEX('Raw lists'!$A$2:$A$192,MATCH(L104,'Raw lists'!$A$2:$A$192,0))&amp;" | ",""))&amp;IF(M104="","",IFERROR(INDEX('Raw lists'!$A$2:$A$192,MATCH(M104,'Raw lists'!$A$2:$A$192,0))&amp;" | ",""))&amp;IF(N104="","",IFERROR(INDEX('Raw lists'!$A$2:$A$192,MATCH(N104,'Raw lists'!$A$2:$A$192,0))&amp;" | ",""))&amp;IF(O104="","",IFERROR(INDEX('Raw lists'!$A$2:$A$192,MATCH(O104,'Raw lists'!$A$2:$A$192,0))&amp;" | ",""))&amp;IF(P104="","",IFERROR(INDEX('Raw lists'!$A$2:$A$192,MATCH(P104,'Raw lists'!$A$2:$A$192,0))&amp;" | ","")),LEN(IF(K104="","",IFERROR(INDEX('Raw lists'!$A$2:$A$192,MATCH(K104,'Raw lists'!$A$2:$A$192,0))&amp;" | ",""))&amp;IF(L104="","",IFERROR(INDEX('Raw lists'!$A$2:$A$192,MATCH(L104,'Raw lists'!$A$2:$A$192,0))&amp;" | ",""))&amp;IF(M104="","",IFERROR(INDEX('Raw lists'!$A$2:$A$192,MATCH(M104,'Raw lists'!$A$2:$A$192,0))&amp;" | ",""))&amp;IF(N104="","",IFERROR(INDEX('Raw lists'!$A$2:$A$192,MATCH(N104,'Raw lists'!$A$2:$A$192,0))&amp;" | ",""))&amp;IF(O104="","",IFERROR(INDEX('Raw lists'!$A$2:$A$192,MATCH(O104,'Raw lists'!$A$2:$A$192,0))&amp;" | ",""))&amp;IF(P104="","",IFERROR(INDEX('Raw lists'!$A$2:$A$192,MATCH(P104,'Raw lists'!$A$2:$A$192,0))&amp;" | ","")))-3))</f>
        <v/>
      </c>
      <c r="D104" s="30" t="str">
        <f>IF(LEN(IF(K104="","",IFERROR(INDEX('Raw lists'!$B$2:$B$627,MATCH(K104,'Raw lists'!$B$2:$B$627,0))&amp;" | ",""))&amp;IF(L104="","",IFERROR(INDEX('Raw lists'!$B$2:$B$627,MATCH(L104,'Raw lists'!$B$2:$B$627,0))&amp;" | ",""))&amp;IF(M104="","",IFERROR(INDEX('Raw lists'!$B$2:$B$627,MATCH(M104,'Raw lists'!$B$2:$B$627,0))&amp;" | ",""))&amp;IF(N104="","",IFERROR(INDEX('Raw lists'!$B$2:$B$627,MATCH(N104,'Raw lists'!$B$2:$B$627,0))&amp;" | ",""))&amp;IF(O104="","",IFERROR(INDEX('Raw lists'!$B$2:$B$627,MATCH(O104,'Raw lists'!$B$2:$B$627,0))&amp;" | ",""))&amp;IF(P104="","",IFERROR(INDEX('Raw lists'!$B$2:$B$627,MATCH(P104,'Raw lists'!$B$2:$B$627,0))&amp;" | ","")))=0,"",LEFT(IF(K104="","",IFERROR(INDEX('Raw lists'!$B$2:$B$627,MATCH(K104,'Raw lists'!$B$2:$B$627,0))&amp;" | ",""))&amp;IF(L104="","",IFERROR(INDEX('Raw lists'!$B$2:$B$627,MATCH(L104,'Raw lists'!$B$2:$B$627,0))&amp;" | ",""))&amp;IF(M104="","",IFERROR(INDEX('Raw lists'!$B$2:$B$627,MATCH(M104,'Raw lists'!$B$2:$B$627,0))&amp;" | ",""))&amp;IF(N104="","",IFERROR(INDEX('Raw lists'!$B$2:$B$627,MATCH(N104,'Raw lists'!$B$2:$B$627,0))&amp;" | ",""))&amp;IF(O104="","",IFERROR(INDEX('Raw lists'!$B$2:$B$627,MATCH(O104,'Raw lists'!$B$2:$B$627,0))&amp;" | ",""))&amp;IF(P104="","",IFERROR(INDEX('Raw lists'!$B$2:$B$627,MATCH(P104,'Raw lists'!$B$2:$B$627,0))&amp;" | ","")),LEN(IF(K104="","",IFERROR(INDEX('Raw lists'!$B$2:$B$627,MATCH(K104,'Raw lists'!$B$2:$B$627,0))&amp;" | ",""))&amp;IF(L104="","",IFERROR(INDEX('Raw lists'!$B$2:$B$627,MATCH(L104,'Raw lists'!$B$2:$B$627,0))&amp;" | ",""))&amp;IF(M104="","",IFERROR(INDEX('Raw lists'!$B$2:$B$627,MATCH(M104,'Raw lists'!$B$2:$B$627,0))&amp;" | ",""))&amp;IF(N104="","",IFERROR(INDEX('Raw lists'!$B$2:$B$627,MATCH(N104,'Raw lists'!$B$2:$B$627,0))&amp;" | ",""))&amp;IF(O104="","",IFERROR(INDEX('Raw lists'!$B$2:$B$627,MATCH(O104,'Raw lists'!$B$2:$B$627,0))&amp;" | ",""))&amp;IF(P104="","",IFERROR(INDEX('Raw lists'!$B$2:$B$627,MATCH(P104,'Raw lists'!$B$2:$B$627,0))&amp;" | ","")))-3))</f>
        <v>2 Medicine</v>
      </c>
      <c r="E104" s="30" t="str">
        <f>IF(LEN(IF(K104="","",IFERROR(INDEX('Raw lists'!$C$2:$C$616,MATCH(K104,'Raw lists'!$C$2:$C$616,0))&amp;" | ",""))&amp;IF(L104="","",IFERROR(INDEX('Raw lists'!$C$2:$C$616,MATCH(L104,'Raw lists'!$C$2:$C$616,0))&amp;" | ",""))&amp;IF(M104="","",IFERROR(INDEX('Raw lists'!$C$2:$C$616,MATCH(M104,'Raw lists'!$C$2:$C$616,0))&amp;" | ",""))&amp;IF(N104="","",IFERROR(INDEX('Raw lists'!$C$2:$C$616,MATCH(N104,'Raw lists'!$C$2:$C$616,0))&amp;" | ",""))&amp;IF(O104="","",IFERROR(INDEX('Raw lists'!$C$2:$C$616,MATCH(O104,'Raw lists'!$C$2:$C$616,0))&amp;" | ",""))&amp;IF(P104="","",IFERROR(INDEX('Raw lists'!$C$2:$C$616,MATCH(P104,'Raw lists'!$C$2:$C$616,0))&amp;" | ","")))=0,"",LEFT(IF(K104="","",IFERROR(INDEX('Raw lists'!$C$2:$C$616,MATCH(K104,'Raw lists'!$C$2:$C$616,0))&amp;" | ",""))&amp;IF(L104="","",IFERROR(INDEX('Raw lists'!$C$2:$C$616,MATCH(L104,'Raw lists'!$C$2:$C$616,0))&amp;" | ",""))&amp;IF(M104="","",IFERROR(INDEX('Raw lists'!$C$2:$C$616,MATCH(M104,'Raw lists'!$C$2:$C$616,0))&amp;" | ",""))&amp;IF(N104="","",IFERROR(INDEX('Raw lists'!$C$2:$C$616,MATCH(N104,'Raw lists'!$C$2:$C$616,0))&amp;" | ",""))&amp;IF(O104="","",IFERROR(INDEX('Raw lists'!$C$2:$C$616,MATCH(O104,'Raw lists'!$C$2:$C$616,0))&amp;" | ",""))&amp;IF(P104="","",IFERROR(INDEX('Raw lists'!$C$2:$C$616,MATCH(P104,'Raw lists'!$C$2:$C$616,0))&amp;" | ","")),LEN(IF(K104="","",IFERROR(INDEX('Raw lists'!$C$2:$C$616,MATCH(K104,'Raw lists'!$C$2:$C$616,0))&amp;" | ",""))&amp;IF(L104="","",IFERROR(INDEX('Raw lists'!$C$2:$C$616,MATCH(L104,'Raw lists'!$C$2:$C$616,0))&amp;" | ",""))&amp;IF(M104="","",IFERROR(INDEX('Raw lists'!$C$2:$C$616,MATCH(M104,'Raw lists'!$C$2:$C$616,0))&amp;" | ",""))&amp;IF(N104="","",IFERROR(INDEX('Raw lists'!$C$2:$C$616,MATCH(N104,'Raw lists'!$C$2:$C$616,0))&amp;" | ",""))&amp;IF(O104="","",IFERROR(INDEX('Raw lists'!$C$2:$C$616,MATCH(O104,'Raw lists'!$C$2:$C$616,0))&amp;" | ",""))&amp;IF(P104="","",IFERROR(INDEX('Raw lists'!$C$2:$C$616,MATCH(P104,'Raw lists'!$C$2:$C$616,0))&amp;" | ","")))-3))</f>
        <v>2 Medicine | Medicine</v>
      </c>
      <c r="F104" s="28" t="s">
        <v>54</v>
      </c>
      <c r="G104" s="30" t="s">
        <v>420</v>
      </c>
      <c r="H104" s="28">
        <f t="shared" si="2"/>
        <v>2</v>
      </c>
      <c r="I104" s="31" t="str">
        <f t="shared" si="3"/>
        <v>RAKE + YAKE</v>
      </c>
      <c r="K104" s="32" t="s">
        <v>421</v>
      </c>
      <c r="L104" s="32" t="s">
        <v>422</v>
      </c>
      <c r="M104" s="32"/>
      <c r="N104" s="32"/>
      <c r="O104" s="32"/>
      <c r="P104" s="32"/>
    </row>
    <row r="105" spans="1:16" ht="26.4" x14ac:dyDescent="0.3">
      <c r="A105" s="28">
        <v>104</v>
      </c>
      <c r="B105" s="29" t="s">
        <v>423</v>
      </c>
      <c r="C105" s="30" t="str">
        <f>IF(LEN(IF(K105="","",IFERROR(INDEX('Raw lists'!$A$2:$A$192,MATCH(K105,'Raw lists'!$A$2:$A$192,0))&amp;" | ",""))&amp;IF(L105="","",IFERROR(INDEX('Raw lists'!$A$2:$A$192,MATCH(L105,'Raw lists'!$A$2:$A$192,0))&amp;" | ",""))&amp;IF(M105="","",IFERROR(INDEX('Raw lists'!$A$2:$A$192,MATCH(M105,'Raw lists'!$A$2:$A$192,0))&amp;" | ",""))&amp;IF(N105="","",IFERROR(INDEX('Raw lists'!$A$2:$A$192,MATCH(N105,'Raw lists'!$A$2:$A$192,0))&amp;" | ",""))&amp;IF(O105="","",IFERROR(INDEX('Raw lists'!$A$2:$A$192,MATCH(O105,'Raw lists'!$A$2:$A$192,0))&amp;" | ",""))&amp;IF(P105="","",IFERROR(INDEX('Raw lists'!$A$2:$A$192,MATCH(P105,'Raw lists'!$A$2:$A$192,0))&amp;" | ","")))=0,"",LEFT(IF(K105="","",IFERROR(INDEX('Raw lists'!$A$2:$A$192,MATCH(K105,'Raw lists'!$A$2:$A$192,0))&amp;" | ",""))&amp;IF(L105="","",IFERROR(INDEX('Raw lists'!$A$2:$A$192,MATCH(L105,'Raw lists'!$A$2:$A$192,0))&amp;" | ",""))&amp;IF(M105="","",IFERROR(INDEX('Raw lists'!$A$2:$A$192,MATCH(M105,'Raw lists'!$A$2:$A$192,0))&amp;" | ",""))&amp;IF(N105="","",IFERROR(INDEX('Raw lists'!$A$2:$A$192,MATCH(N105,'Raw lists'!$A$2:$A$192,0))&amp;" | ",""))&amp;IF(O105="","",IFERROR(INDEX('Raw lists'!$A$2:$A$192,MATCH(O105,'Raw lists'!$A$2:$A$192,0))&amp;" | ",""))&amp;IF(P105="","",IFERROR(INDEX('Raw lists'!$A$2:$A$192,MATCH(P105,'Raw lists'!$A$2:$A$192,0))&amp;" | ","")),LEN(IF(K105="","",IFERROR(INDEX('Raw lists'!$A$2:$A$192,MATCH(K105,'Raw lists'!$A$2:$A$192,0))&amp;" | ",""))&amp;IF(L105="","",IFERROR(INDEX('Raw lists'!$A$2:$A$192,MATCH(L105,'Raw lists'!$A$2:$A$192,0))&amp;" | ",""))&amp;IF(M105="","",IFERROR(INDEX('Raw lists'!$A$2:$A$192,MATCH(M105,'Raw lists'!$A$2:$A$192,0))&amp;" | ",""))&amp;IF(N105="","",IFERROR(INDEX('Raw lists'!$A$2:$A$192,MATCH(N105,'Raw lists'!$A$2:$A$192,0))&amp;" | ",""))&amp;IF(O105="","",IFERROR(INDEX('Raw lists'!$A$2:$A$192,MATCH(O105,'Raw lists'!$A$2:$A$192,0))&amp;" | ",""))&amp;IF(P105="","",IFERROR(INDEX('Raw lists'!$A$2:$A$192,MATCH(P105,'Raw lists'!$A$2:$A$192,0))&amp;" | ","")))-3))</f>
        <v>Bloodless Cancer Surgeries | Bloodless Cancer</v>
      </c>
      <c r="D105" s="30" t="str">
        <f>IF(LEN(IF(K105="","",IFERROR(INDEX('Raw lists'!$B$2:$B$627,MATCH(K105,'Raw lists'!$B$2:$B$627,0))&amp;" | ",""))&amp;IF(L105="","",IFERROR(INDEX('Raw lists'!$B$2:$B$627,MATCH(L105,'Raw lists'!$B$2:$B$627,0))&amp;" | ",""))&amp;IF(M105="","",IFERROR(INDEX('Raw lists'!$B$2:$B$627,MATCH(M105,'Raw lists'!$B$2:$B$627,0))&amp;" | ",""))&amp;IF(N105="","",IFERROR(INDEX('Raw lists'!$B$2:$B$627,MATCH(N105,'Raw lists'!$B$2:$B$627,0))&amp;" | ",""))&amp;IF(O105="","",IFERROR(INDEX('Raw lists'!$B$2:$B$627,MATCH(O105,'Raw lists'!$B$2:$B$627,0))&amp;" | ",""))&amp;IF(P105="","",IFERROR(INDEX('Raw lists'!$B$2:$B$627,MATCH(P105,'Raw lists'!$B$2:$B$627,0))&amp;" | ","")))=0,"",LEFT(IF(K105="","",IFERROR(INDEX('Raw lists'!$B$2:$B$627,MATCH(K105,'Raw lists'!$B$2:$B$627,0))&amp;" | ",""))&amp;IF(L105="","",IFERROR(INDEX('Raw lists'!$B$2:$B$627,MATCH(L105,'Raw lists'!$B$2:$B$627,0))&amp;" | ",""))&amp;IF(M105="","",IFERROR(INDEX('Raw lists'!$B$2:$B$627,MATCH(M105,'Raw lists'!$B$2:$B$627,0))&amp;" | ",""))&amp;IF(N105="","",IFERROR(INDEX('Raw lists'!$B$2:$B$627,MATCH(N105,'Raw lists'!$B$2:$B$627,0))&amp;" | ",""))&amp;IF(O105="","",IFERROR(INDEX('Raw lists'!$B$2:$B$627,MATCH(O105,'Raw lists'!$B$2:$B$627,0))&amp;" | ",""))&amp;IF(P105="","",IFERROR(INDEX('Raw lists'!$B$2:$B$627,MATCH(P105,'Raw lists'!$B$2:$B$627,0))&amp;" | ","")),LEN(IF(K105="","",IFERROR(INDEX('Raw lists'!$B$2:$B$627,MATCH(K105,'Raw lists'!$B$2:$B$627,0))&amp;" | ",""))&amp;IF(L105="","",IFERROR(INDEX('Raw lists'!$B$2:$B$627,MATCH(L105,'Raw lists'!$B$2:$B$627,0))&amp;" | ",""))&amp;IF(M105="","",IFERROR(INDEX('Raw lists'!$B$2:$B$627,MATCH(M105,'Raw lists'!$B$2:$B$627,0))&amp;" | ",""))&amp;IF(N105="","",IFERROR(INDEX('Raw lists'!$B$2:$B$627,MATCH(N105,'Raw lists'!$B$2:$B$627,0))&amp;" | ",""))&amp;IF(O105="","",IFERROR(INDEX('Raw lists'!$B$2:$B$627,MATCH(O105,'Raw lists'!$B$2:$B$627,0))&amp;" | ",""))&amp;IF(P105="","",IFERROR(INDEX('Raw lists'!$B$2:$B$627,MATCH(P105,'Raw lists'!$B$2:$B$627,0))&amp;" | ","")))-3))</f>
        <v>Bloodless Cancer Surgeries</v>
      </c>
      <c r="E105" s="30" t="str">
        <f>IF(LEN(IF(K105="","",IFERROR(INDEX('Raw lists'!$C$2:$C$616,MATCH(K105,'Raw lists'!$C$2:$C$616,0))&amp;" | ",""))&amp;IF(L105="","",IFERROR(INDEX('Raw lists'!$C$2:$C$616,MATCH(L105,'Raw lists'!$C$2:$C$616,0))&amp;" | ",""))&amp;IF(M105="","",IFERROR(INDEX('Raw lists'!$C$2:$C$616,MATCH(M105,'Raw lists'!$C$2:$C$616,0))&amp;" | ",""))&amp;IF(N105="","",IFERROR(INDEX('Raw lists'!$C$2:$C$616,MATCH(N105,'Raw lists'!$C$2:$C$616,0))&amp;" | ",""))&amp;IF(O105="","",IFERROR(INDEX('Raw lists'!$C$2:$C$616,MATCH(O105,'Raw lists'!$C$2:$C$616,0))&amp;" | ",""))&amp;IF(P105="","",IFERROR(INDEX('Raw lists'!$C$2:$C$616,MATCH(P105,'Raw lists'!$C$2:$C$616,0))&amp;" | ","")))=0,"",LEFT(IF(K105="","",IFERROR(INDEX('Raw lists'!$C$2:$C$616,MATCH(K105,'Raw lists'!$C$2:$C$616,0))&amp;" | ",""))&amp;IF(L105="","",IFERROR(INDEX('Raw lists'!$C$2:$C$616,MATCH(L105,'Raw lists'!$C$2:$C$616,0))&amp;" | ",""))&amp;IF(M105="","",IFERROR(INDEX('Raw lists'!$C$2:$C$616,MATCH(M105,'Raw lists'!$C$2:$C$616,0))&amp;" | ",""))&amp;IF(N105="","",IFERROR(INDEX('Raw lists'!$C$2:$C$616,MATCH(N105,'Raw lists'!$C$2:$C$616,0))&amp;" | ",""))&amp;IF(O105="","",IFERROR(INDEX('Raw lists'!$C$2:$C$616,MATCH(O105,'Raw lists'!$C$2:$C$616,0))&amp;" | ",""))&amp;IF(P105="","",IFERROR(INDEX('Raw lists'!$C$2:$C$616,MATCH(P105,'Raw lists'!$C$2:$C$616,0))&amp;" | ","")),LEN(IF(K105="","",IFERROR(INDEX('Raw lists'!$C$2:$C$616,MATCH(K105,'Raw lists'!$C$2:$C$616,0))&amp;" | ",""))&amp;IF(L105="","",IFERROR(INDEX('Raw lists'!$C$2:$C$616,MATCH(L105,'Raw lists'!$C$2:$C$616,0))&amp;" | ",""))&amp;IF(M105="","",IFERROR(INDEX('Raw lists'!$C$2:$C$616,MATCH(M105,'Raw lists'!$C$2:$C$616,0))&amp;" | ",""))&amp;IF(N105="","",IFERROR(INDEX('Raw lists'!$C$2:$C$616,MATCH(N105,'Raw lists'!$C$2:$C$616,0))&amp;" | ",""))&amp;IF(O105="","",IFERROR(INDEX('Raw lists'!$C$2:$C$616,MATCH(O105,'Raw lists'!$C$2:$C$616,0))&amp;" | ",""))&amp;IF(P105="","",IFERROR(INDEX('Raw lists'!$C$2:$C$616,MATCH(P105,'Raw lists'!$C$2:$C$616,0))&amp;" | ","")))-3))</f>
        <v>Bloodless Cancer Surgeries | Bloodless Cancer</v>
      </c>
      <c r="F105" s="28" t="s">
        <v>54</v>
      </c>
      <c r="G105" s="30" t="s">
        <v>424</v>
      </c>
      <c r="H105" s="28">
        <f t="shared" si="2"/>
        <v>3</v>
      </c>
      <c r="I105" s="31" t="str">
        <f t="shared" si="3"/>
        <v>All three</v>
      </c>
      <c r="K105" s="32" t="s">
        <v>425</v>
      </c>
      <c r="L105" s="32" t="s">
        <v>426</v>
      </c>
      <c r="M105" s="32" t="s">
        <v>427</v>
      </c>
      <c r="N105" s="32"/>
      <c r="O105" s="32"/>
      <c r="P105" s="32"/>
    </row>
    <row r="106" spans="1:16" x14ac:dyDescent="0.3">
      <c r="A106" s="28">
        <v>105</v>
      </c>
      <c r="B106" s="29" t="s">
        <v>428</v>
      </c>
      <c r="C106" s="30" t="str">
        <f>IF(LEN(IF(K106="","",IFERROR(INDEX('Raw lists'!$A$2:$A$192,MATCH(K106,'Raw lists'!$A$2:$A$192,0))&amp;" | ",""))&amp;IF(L106="","",IFERROR(INDEX('Raw lists'!$A$2:$A$192,MATCH(L106,'Raw lists'!$A$2:$A$192,0))&amp;" | ",""))&amp;IF(M106="","",IFERROR(INDEX('Raw lists'!$A$2:$A$192,MATCH(M106,'Raw lists'!$A$2:$A$192,0))&amp;" | ",""))&amp;IF(N106="","",IFERROR(INDEX('Raw lists'!$A$2:$A$192,MATCH(N106,'Raw lists'!$A$2:$A$192,0))&amp;" | ",""))&amp;IF(O106="","",IFERROR(INDEX('Raw lists'!$A$2:$A$192,MATCH(O106,'Raw lists'!$A$2:$A$192,0))&amp;" | ",""))&amp;IF(P106="","",IFERROR(INDEX('Raw lists'!$A$2:$A$192,MATCH(P106,'Raw lists'!$A$2:$A$192,0))&amp;" | ","")))=0,"",LEFT(IF(K106="","",IFERROR(INDEX('Raw lists'!$A$2:$A$192,MATCH(K106,'Raw lists'!$A$2:$A$192,0))&amp;" | ",""))&amp;IF(L106="","",IFERROR(INDEX('Raw lists'!$A$2:$A$192,MATCH(L106,'Raw lists'!$A$2:$A$192,0))&amp;" | ",""))&amp;IF(M106="","",IFERROR(INDEX('Raw lists'!$A$2:$A$192,MATCH(M106,'Raw lists'!$A$2:$A$192,0))&amp;" | ",""))&amp;IF(N106="","",IFERROR(INDEX('Raw lists'!$A$2:$A$192,MATCH(N106,'Raw lists'!$A$2:$A$192,0))&amp;" | ",""))&amp;IF(O106="","",IFERROR(INDEX('Raw lists'!$A$2:$A$192,MATCH(O106,'Raw lists'!$A$2:$A$192,0))&amp;" | ",""))&amp;IF(P106="","",IFERROR(INDEX('Raw lists'!$A$2:$A$192,MATCH(P106,'Raw lists'!$A$2:$A$192,0))&amp;" | ","")),LEN(IF(K106="","",IFERROR(INDEX('Raw lists'!$A$2:$A$192,MATCH(K106,'Raw lists'!$A$2:$A$192,0))&amp;" | ",""))&amp;IF(L106="","",IFERROR(INDEX('Raw lists'!$A$2:$A$192,MATCH(L106,'Raw lists'!$A$2:$A$192,0))&amp;" | ",""))&amp;IF(M106="","",IFERROR(INDEX('Raw lists'!$A$2:$A$192,MATCH(M106,'Raw lists'!$A$2:$A$192,0))&amp;" | ",""))&amp;IF(N106="","",IFERROR(INDEX('Raw lists'!$A$2:$A$192,MATCH(N106,'Raw lists'!$A$2:$A$192,0))&amp;" | ",""))&amp;IF(O106="","",IFERROR(INDEX('Raw lists'!$A$2:$A$192,MATCH(O106,'Raw lists'!$A$2:$A$192,0))&amp;" | ",""))&amp;IF(P106="","",IFERROR(INDEX('Raw lists'!$A$2:$A$192,MATCH(P106,'Raw lists'!$A$2:$A$192,0))&amp;" | ","")))-3))</f>
        <v/>
      </c>
      <c r="D106" s="30" t="str">
        <f>IF(LEN(IF(K106="","",IFERROR(INDEX('Raw lists'!$B$2:$B$627,MATCH(K106,'Raw lists'!$B$2:$B$627,0))&amp;" | ",""))&amp;IF(L106="","",IFERROR(INDEX('Raw lists'!$B$2:$B$627,MATCH(L106,'Raw lists'!$B$2:$B$627,0))&amp;" | ",""))&amp;IF(M106="","",IFERROR(INDEX('Raw lists'!$B$2:$B$627,MATCH(M106,'Raw lists'!$B$2:$B$627,0))&amp;" | ",""))&amp;IF(N106="","",IFERROR(INDEX('Raw lists'!$B$2:$B$627,MATCH(N106,'Raw lists'!$B$2:$B$627,0))&amp;" | ",""))&amp;IF(O106="","",IFERROR(INDEX('Raw lists'!$B$2:$B$627,MATCH(O106,'Raw lists'!$B$2:$B$627,0))&amp;" | ",""))&amp;IF(P106="","",IFERROR(INDEX('Raw lists'!$B$2:$B$627,MATCH(P106,'Raw lists'!$B$2:$B$627,0))&amp;" | ","")))=0,"",LEFT(IF(K106="","",IFERROR(INDEX('Raw lists'!$B$2:$B$627,MATCH(K106,'Raw lists'!$B$2:$B$627,0))&amp;" | ",""))&amp;IF(L106="","",IFERROR(INDEX('Raw lists'!$B$2:$B$627,MATCH(L106,'Raw lists'!$B$2:$B$627,0))&amp;" | ",""))&amp;IF(M106="","",IFERROR(INDEX('Raw lists'!$B$2:$B$627,MATCH(M106,'Raw lists'!$B$2:$B$627,0))&amp;" | ",""))&amp;IF(N106="","",IFERROR(INDEX('Raw lists'!$B$2:$B$627,MATCH(N106,'Raw lists'!$B$2:$B$627,0))&amp;" | ",""))&amp;IF(O106="","",IFERROR(INDEX('Raw lists'!$B$2:$B$627,MATCH(O106,'Raw lists'!$B$2:$B$627,0))&amp;" | ",""))&amp;IF(P106="","",IFERROR(INDEX('Raw lists'!$B$2:$B$627,MATCH(P106,'Raw lists'!$B$2:$B$627,0))&amp;" | ","")),LEN(IF(K106="","",IFERROR(INDEX('Raw lists'!$B$2:$B$627,MATCH(K106,'Raw lists'!$B$2:$B$627,0))&amp;" | ",""))&amp;IF(L106="","",IFERROR(INDEX('Raw lists'!$B$2:$B$627,MATCH(L106,'Raw lists'!$B$2:$B$627,0))&amp;" | ",""))&amp;IF(M106="","",IFERROR(INDEX('Raw lists'!$B$2:$B$627,MATCH(M106,'Raw lists'!$B$2:$B$627,0))&amp;" | ",""))&amp;IF(N106="","",IFERROR(INDEX('Raw lists'!$B$2:$B$627,MATCH(N106,'Raw lists'!$B$2:$B$627,0))&amp;" | ",""))&amp;IF(O106="","",IFERROR(INDEX('Raw lists'!$B$2:$B$627,MATCH(O106,'Raw lists'!$B$2:$B$627,0))&amp;" | ",""))&amp;IF(P106="","",IFERROR(INDEX('Raw lists'!$B$2:$B$627,MATCH(P106,'Raw lists'!$B$2:$B$627,0))&amp;" | ","")))-3))</f>
        <v/>
      </c>
      <c r="E106" s="30" t="str">
        <f>IF(LEN(IF(K106="","",IFERROR(INDEX('Raw lists'!$C$2:$C$616,MATCH(K106,'Raw lists'!$C$2:$C$616,0))&amp;" | ",""))&amp;IF(L106="","",IFERROR(INDEX('Raw lists'!$C$2:$C$616,MATCH(L106,'Raw lists'!$C$2:$C$616,0))&amp;" | ",""))&amp;IF(M106="","",IFERROR(INDEX('Raw lists'!$C$2:$C$616,MATCH(M106,'Raw lists'!$C$2:$C$616,0))&amp;" | ",""))&amp;IF(N106="","",IFERROR(INDEX('Raw lists'!$C$2:$C$616,MATCH(N106,'Raw lists'!$C$2:$C$616,0))&amp;" | ",""))&amp;IF(O106="","",IFERROR(INDEX('Raw lists'!$C$2:$C$616,MATCH(O106,'Raw lists'!$C$2:$C$616,0))&amp;" | ",""))&amp;IF(P106="","",IFERROR(INDEX('Raw lists'!$C$2:$C$616,MATCH(P106,'Raw lists'!$C$2:$C$616,0))&amp;" | ","")))=0,"",LEFT(IF(K106="","",IFERROR(INDEX('Raw lists'!$C$2:$C$616,MATCH(K106,'Raw lists'!$C$2:$C$616,0))&amp;" | ",""))&amp;IF(L106="","",IFERROR(INDEX('Raw lists'!$C$2:$C$616,MATCH(L106,'Raw lists'!$C$2:$C$616,0))&amp;" | ",""))&amp;IF(M106="","",IFERROR(INDEX('Raw lists'!$C$2:$C$616,MATCH(M106,'Raw lists'!$C$2:$C$616,0))&amp;" | ",""))&amp;IF(N106="","",IFERROR(INDEX('Raw lists'!$C$2:$C$616,MATCH(N106,'Raw lists'!$C$2:$C$616,0))&amp;" | ",""))&amp;IF(O106="","",IFERROR(INDEX('Raw lists'!$C$2:$C$616,MATCH(O106,'Raw lists'!$C$2:$C$616,0))&amp;" | ",""))&amp;IF(P106="","",IFERROR(INDEX('Raw lists'!$C$2:$C$616,MATCH(P106,'Raw lists'!$C$2:$C$616,0))&amp;" | ","")),LEN(IF(K106="","",IFERROR(INDEX('Raw lists'!$C$2:$C$616,MATCH(K106,'Raw lists'!$C$2:$C$616,0))&amp;" | ",""))&amp;IF(L106="","",IFERROR(INDEX('Raw lists'!$C$2:$C$616,MATCH(L106,'Raw lists'!$C$2:$C$616,0))&amp;" | ",""))&amp;IF(M106="","",IFERROR(INDEX('Raw lists'!$C$2:$C$616,MATCH(M106,'Raw lists'!$C$2:$C$616,0))&amp;" | ",""))&amp;IF(N106="","",IFERROR(INDEX('Raw lists'!$C$2:$C$616,MATCH(N106,'Raw lists'!$C$2:$C$616,0))&amp;" | ",""))&amp;IF(O106="","",IFERROR(INDEX('Raw lists'!$C$2:$C$616,MATCH(O106,'Raw lists'!$C$2:$C$616,0))&amp;" | ",""))&amp;IF(P106="","",IFERROR(INDEX('Raw lists'!$C$2:$C$616,MATCH(P106,'Raw lists'!$C$2:$C$616,0))&amp;" | ","")))-3))</f>
        <v/>
      </c>
      <c r="F106" s="28" t="s">
        <v>54</v>
      </c>
      <c r="G106" s="30" t="s">
        <v>429</v>
      </c>
      <c r="H106" s="28">
        <f t="shared" si="2"/>
        <v>0</v>
      </c>
      <c r="I106" s="31" t="str">
        <f t="shared" si="3"/>
        <v>None</v>
      </c>
      <c r="K106" s="32" t="s">
        <v>428</v>
      </c>
      <c r="L106" s="32"/>
      <c r="M106" s="32"/>
      <c r="N106" s="32"/>
      <c r="O106" s="32"/>
      <c r="P106" s="32"/>
    </row>
    <row r="107" spans="1:16" ht="26.4" x14ac:dyDescent="0.3">
      <c r="A107" s="28">
        <v>106</v>
      </c>
      <c r="B107" s="29" t="s">
        <v>430</v>
      </c>
      <c r="C107" s="30" t="str">
        <f>IF(LEN(IF(K107="","",IFERROR(INDEX('Raw lists'!$A$2:$A$192,MATCH(K107,'Raw lists'!$A$2:$A$192,0))&amp;" | ",""))&amp;IF(L107="","",IFERROR(INDEX('Raw lists'!$A$2:$A$192,MATCH(L107,'Raw lists'!$A$2:$A$192,0))&amp;" | ",""))&amp;IF(M107="","",IFERROR(INDEX('Raw lists'!$A$2:$A$192,MATCH(M107,'Raw lists'!$A$2:$A$192,0))&amp;" | ",""))&amp;IF(N107="","",IFERROR(INDEX('Raw lists'!$A$2:$A$192,MATCH(N107,'Raw lists'!$A$2:$A$192,0))&amp;" | ",""))&amp;IF(O107="","",IFERROR(INDEX('Raw lists'!$A$2:$A$192,MATCH(O107,'Raw lists'!$A$2:$A$192,0))&amp;" | ",""))&amp;IF(P107="","",IFERROR(INDEX('Raw lists'!$A$2:$A$192,MATCH(P107,'Raw lists'!$A$2:$A$192,0))&amp;" | ","")))=0,"",LEFT(IF(K107="","",IFERROR(INDEX('Raw lists'!$A$2:$A$192,MATCH(K107,'Raw lists'!$A$2:$A$192,0))&amp;" | ",""))&amp;IF(L107="","",IFERROR(INDEX('Raw lists'!$A$2:$A$192,MATCH(L107,'Raw lists'!$A$2:$A$192,0))&amp;" | ",""))&amp;IF(M107="","",IFERROR(INDEX('Raw lists'!$A$2:$A$192,MATCH(M107,'Raw lists'!$A$2:$A$192,0))&amp;" | ",""))&amp;IF(N107="","",IFERROR(INDEX('Raw lists'!$A$2:$A$192,MATCH(N107,'Raw lists'!$A$2:$A$192,0))&amp;" | ",""))&amp;IF(O107="","",IFERROR(INDEX('Raw lists'!$A$2:$A$192,MATCH(O107,'Raw lists'!$A$2:$A$192,0))&amp;" | ",""))&amp;IF(P107="","",IFERROR(INDEX('Raw lists'!$A$2:$A$192,MATCH(P107,'Raw lists'!$A$2:$A$192,0))&amp;" | ","")),LEN(IF(K107="","",IFERROR(INDEX('Raw lists'!$A$2:$A$192,MATCH(K107,'Raw lists'!$A$2:$A$192,0))&amp;" | ",""))&amp;IF(L107="","",IFERROR(INDEX('Raw lists'!$A$2:$A$192,MATCH(L107,'Raw lists'!$A$2:$A$192,0))&amp;" | ",""))&amp;IF(M107="","",IFERROR(INDEX('Raw lists'!$A$2:$A$192,MATCH(M107,'Raw lists'!$A$2:$A$192,0))&amp;" | ",""))&amp;IF(N107="","",IFERROR(INDEX('Raw lists'!$A$2:$A$192,MATCH(N107,'Raw lists'!$A$2:$A$192,0))&amp;" | ",""))&amp;IF(O107="","",IFERROR(INDEX('Raw lists'!$A$2:$A$192,MATCH(O107,'Raw lists'!$A$2:$A$192,0))&amp;" | ",""))&amp;IF(P107="","",IFERROR(INDEX('Raw lists'!$A$2:$A$192,MATCH(P107,'Raw lists'!$A$2:$A$192,0))&amp;" | ","")))-3))</f>
        <v/>
      </c>
      <c r="D107" s="30" t="str">
        <f>IF(LEN(IF(K107="","",IFERROR(INDEX('Raw lists'!$B$2:$B$627,MATCH(K107,'Raw lists'!$B$2:$B$627,0))&amp;" | ",""))&amp;IF(L107="","",IFERROR(INDEX('Raw lists'!$B$2:$B$627,MATCH(L107,'Raw lists'!$B$2:$B$627,0))&amp;" | ",""))&amp;IF(M107="","",IFERROR(INDEX('Raw lists'!$B$2:$B$627,MATCH(M107,'Raw lists'!$B$2:$B$627,0))&amp;" | ",""))&amp;IF(N107="","",IFERROR(INDEX('Raw lists'!$B$2:$B$627,MATCH(N107,'Raw lists'!$B$2:$B$627,0))&amp;" | ",""))&amp;IF(O107="","",IFERROR(INDEX('Raw lists'!$B$2:$B$627,MATCH(O107,'Raw lists'!$B$2:$B$627,0))&amp;" | ",""))&amp;IF(P107="","",IFERROR(INDEX('Raw lists'!$B$2:$B$627,MATCH(P107,'Raw lists'!$B$2:$B$627,0))&amp;" | ","")))=0,"",LEFT(IF(K107="","",IFERROR(INDEX('Raw lists'!$B$2:$B$627,MATCH(K107,'Raw lists'!$B$2:$B$627,0))&amp;" | ",""))&amp;IF(L107="","",IFERROR(INDEX('Raw lists'!$B$2:$B$627,MATCH(L107,'Raw lists'!$B$2:$B$627,0))&amp;" | ",""))&amp;IF(M107="","",IFERROR(INDEX('Raw lists'!$B$2:$B$627,MATCH(M107,'Raw lists'!$B$2:$B$627,0))&amp;" | ",""))&amp;IF(N107="","",IFERROR(INDEX('Raw lists'!$B$2:$B$627,MATCH(N107,'Raw lists'!$B$2:$B$627,0))&amp;" | ",""))&amp;IF(O107="","",IFERROR(INDEX('Raw lists'!$B$2:$B$627,MATCH(O107,'Raw lists'!$B$2:$B$627,0))&amp;" | ",""))&amp;IF(P107="","",IFERROR(INDEX('Raw lists'!$B$2:$B$627,MATCH(P107,'Raw lists'!$B$2:$B$627,0))&amp;" | ","")),LEN(IF(K107="","",IFERROR(INDEX('Raw lists'!$B$2:$B$627,MATCH(K107,'Raw lists'!$B$2:$B$627,0))&amp;" | ",""))&amp;IF(L107="","",IFERROR(INDEX('Raw lists'!$B$2:$B$627,MATCH(L107,'Raw lists'!$B$2:$B$627,0))&amp;" | ",""))&amp;IF(M107="","",IFERROR(INDEX('Raw lists'!$B$2:$B$627,MATCH(M107,'Raw lists'!$B$2:$B$627,0))&amp;" | ",""))&amp;IF(N107="","",IFERROR(INDEX('Raw lists'!$B$2:$B$627,MATCH(N107,'Raw lists'!$B$2:$B$627,0))&amp;" | ",""))&amp;IF(O107="","",IFERROR(INDEX('Raw lists'!$B$2:$B$627,MATCH(O107,'Raw lists'!$B$2:$B$627,0))&amp;" | ",""))&amp;IF(P107="","",IFERROR(INDEX('Raw lists'!$B$2:$B$627,MATCH(P107,'Raw lists'!$B$2:$B$627,0))&amp;" | ","")))-3))</f>
        <v/>
      </c>
      <c r="E107" s="30" t="str">
        <f>IF(LEN(IF(K107="","",IFERROR(INDEX('Raw lists'!$C$2:$C$616,MATCH(K107,'Raw lists'!$C$2:$C$616,0))&amp;" | ",""))&amp;IF(L107="","",IFERROR(INDEX('Raw lists'!$C$2:$C$616,MATCH(L107,'Raw lists'!$C$2:$C$616,0))&amp;" | ",""))&amp;IF(M107="","",IFERROR(INDEX('Raw lists'!$C$2:$C$616,MATCH(M107,'Raw lists'!$C$2:$C$616,0))&amp;" | ",""))&amp;IF(N107="","",IFERROR(INDEX('Raw lists'!$C$2:$C$616,MATCH(N107,'Raw lists'!$C$2:$C$616,0))&amp;" | ",""))&amp;IF(O107="","",IFERROR(INDEX('Raw lists'!$C$2:$C$616,MATCH(O107,'Raw lists'!$C$2:$C$616,0))&amp;" | ",""))&amp;IF(P107="","",IFERROR(INDEX('Raw lists'!$C$2:$C$616,MATCH(P107,'Raw lists'!$C$2:$C$616,0))&amp;" | ","")))=0,"",LEFT(IF(K107="","",IFERROR(INDEX('Raw lists'!$C$2:$C$616,MATCH(K107,'Raw lists'!$C$2:$C$616,0))&amp;" | ",""))&amp;IF(L107="","",IFERROR(INDEX('Raw lists'!$C$2:$C$616,MATCH(L107,'Raw lists'!$C$2:$C$616,0))&amp;" | ",""))&amp;IF(M107="","",IFERROR(INDEX('Raw lists'!$C$2:$C$616,MATCH(M107,'Raw lists'!$C$2:$C$616,0))&amp;" | ",""))&amp;IF(N107="","",IFERROR(INDEX('Raw lists'!$C$2:$C$616,MATCH(N107,'Raw lists'!$C$2:$C$616,0))&amp;" | ",""))&amp;IF(O107="","",IFERROR(INDEX('Raw lists'!$C$2:$C$616,MATCH(O107,'Raw lists'!$C$2:$C$616,0))&amp;" | ",""))&amp;IF(P107="","",IFERROR(INDEX('Raw lists'!$C$2:$C$616,MATCH(P107,'Raw lists'!$C$2:$C$616,0))&amp;" | ","")),LEN(IF(K107="","",IFERROR(INDEX('Raw lists'!$C$2:$C$616,MATCH(K107,'Raw lists'!$C$2:$C$616,0))&amp;" | ",""))&amp;IF(L107="","",IFERROR(INDEX('Raw lists'!$C$2:$C$616,MATCH(L107,'Raw lists'!$C$2:$C$616,0))&amp;" | ",""))&amp;IF(M107="","",IFERROR(INDEX('Raw lists'!$C$2:$C$616,MATCH(M107,'Raw lists'!$C$2:$C$616,0))&amp;" | ",""))&amp;IF(N107="","",IFERROR(INDEX('Raw lists'!$C$2:$C$616,MATCH(N107,'Raw lists'!$C$2:$C$616,0))&amp;" | ",""))&amp;IF(O107="","",IFERROR(INDEX('Raw lists'!$C$2:$C$616,MATCH(O107,'Raw lists'!$C$2:$C$616,0))&amp;" | ",""))&amp;IF(P107="","",IFERROR(INDEX('Raw lists'!$C$2:$C$616,MATCH(P107,'Raw lists'!$C$2:$C$616,0))&amp;" | ","")))-3))</f>
        <v/>
      </c>
      <c r="F107" s="28" t="s">
        <v>54</v>
      </c>
      <c r="G107" s="30" t="s">
        <v>431</v>
      </c>
      <c r="H107" s="28">
        <f t="shared" si="2"/>
        <v>0</v>
      </c>
      <c r="I107" s="31" t="str">
        <f t="shared" si="3"/>
        <v>None</v>
      </c>
      <c r="K107" s="32" t="s">
        <v>430</v>
      </c>
      <c r="L107" s="32" t="s">
        <v>432</v>
      </c>
      <c r="M107" s="32"/>
      <c r="N107" s="32"/>
      <c r="O107" s="32"/>
      <c r="P107" s="32"/>
    </row>
    <row r="108" spans="1:16" x14ac:dyDescent="0.3">
      <c r="A108" s="28">
        <v>107</v>
      </c>
      <c r="B108" s="29" t="s">
        <v>433</v>
      </c>
      <c r="C108" s="30" t="str">
        <f>IF(LEN(IF(K108="","",IFERROR(INDEX('Raw lists'!$A$2:$A$192,MATCH(K108,'Raw lists'!$A$2:$A$192,0))&amp;" | ",""))&amp;IF(L108="","",IFERROR(INDEX('Raw lists'!$A$2:$A$192,MATCH(L108,'Raw lists'!$A$2:$A$192,0))&amp;" | ",""))&amp;IF(M108="","",IFERROR(INDEX('Raw lists'!$A$2:$A$192,MATCH(M108,'Raw lists'!$A$2:$A$192,0))&amp;" | ",""))&amp;IF(N108="","",IFERROR(INDEX('Raw lists'!$A$2:$A$192,MATCH(N108,'Raw lists'!$A$2:$A$192,0))&amp;" | ",""))&amp;IF(O108="","",IFERROR(INDEX('Raw lists'!$A$2:$A$192,MATCH(O108,'Raw lists'!$A$2:$A$192,0))&amp;" | ",""))&amp;IF(P108="","",IFERROR(INDEX('Raw lists'!$A$2:$A$192,MATCH(P108,'Raw lists'!$A$2:$A$192,0))&amp;" | ","")))=0,"",LEFT(IF(K108="","",IFERROR(INDEX('Raw lists'!$A$2:$A$192,MATCH(K108,'Raw lists'!$A$2:$A$192,0))&amp;" | ",""))&amp;IF(L108="","",IFERROR(INDEX('Raw lists'!$A$2:$A$192,MATCH(L108,'Raw lists'!$A$2:$A$192,0))&amp;" | ",""))&amp;IF(M108="","",IFERROR(INDEX('Raw lists'!$A$2:$A$192,MATCH(M108,'Raw lists'!$A$2:$A$192,0))&amp;" | ",""))&amp;IF(N108="","",IFERROR(INDEX('Raw lists'!$A$2:$A$192,MATCH(N108,'Raw lists'!$A$2:$A$192,0))&amp;" | ",""))&amp;IF(O108="","",IFERROR(INDEX('Raw lists'!$A$2:$A$192,MATCH(O108,'Raw lists'!$A$2:$A$192,0))&amp;" | ",""))&amp;IF(P108="","",IFERROR(INDEX('Raw lists'!$A$2:$A$192,MATCH(P108,'Raw lists'!$A$2:$A$192,0))&amp;" | ","")),LEN(IF(K108="","",IFERROR(INDEX('Raw lists'!$A$2:$A$192,MATCH(K108,'Raw lists'!$A$2:$A$192,0))&amp;" | ",""))&amp;IF(L108="","",IFERROR(INDEX('Raw lists'!$A$2:$A$192,MATCH(L108,'Raw lists'!$A$2:$A$192,0))&amp;" | ",""))&amp;IF(M108="","",IFERROR(INDEX('Raw lists'!$A$2:$A$192,MATCH(M108,'Raw lists'!$A$2:$A$192,0))&amp;" | ",""))&amp;IF(N108="","",IFERROR(INDEX('Raw lists'!$A$2:$A$192,MATCH(N108,'Raw lists'!$A$2:$A$192,0))&amp;" | ",""))&amp;IF(O108="","",IFERROR(INDEX('Raw lists'!$A$2:$A$192,MATCH(O108,'Raw lists'!$A$2:$A$192,0))&amp;" | ",""))&amp;IF(P108="","",IFERROR(INDEX('Raw lists'!$A$2:$A$192,MATCH(P108,'Raw lists'!$A$2:$A$192,0))&amp;" | ","")))-3))</f>
        <v/>
      </c>
      <c r="D108" s="30" t="str">
        <f>IF(LEN(IF(K108="","",IFERROR(INDEX('Raw lists'!$B$2:$B$627,MATCH(K108,'Raw lists'!$B$2:$B$627,0))&amp;" | ",""))&amp;IF(L108="","",IFERROR(INDEX('Raw lists'!$B$2:$B$627,MATCH(L108,'Raw lists'!$B$2:$B$627,0))&amp;" | ",""))&amp;IF(M108="","",IFERROR(INDEX('Raw lists'!$B$2:$B$627,MATCH(M108,'Raw lists'!$B$2:$B$627,0))&amp;" | ",""))&amp;IF(N108="","",IFERROR(INDEX('Raw lists'!$B$2:$B$627,MATCH(N108,'Raw lists'!$B$2:$B$627,0))&amp;" | ",""))&amp;IF(O108="","",IFERROR(INDEX('Raw lists'!$B$2:$B$627,MATCH(O108,'Raw lists'!$B$2:$B$627,0))&amp;" | ",""))&amp;IF(P108="","",IFERROR(INDEX('Raw lists'!$B$2:$B$627,MATCH(P108,'Raw lists'!$B$2:$B$627,0))&amp;" | ","")))=0,"",LEFT(IF(K108="","",IFERROR(INDEX('Raw lists'!$B$2:$B$627,MATCH(K108,'Raw lists'!$B$2:$B$627,0))&amp;" | ",""))&amp;IF(L108="","",IFERROR(INDEX('Raw lists'!$B$2:$B$627,MATCH(L108,'Raw lists'!$B$2:$B$627,0))&amp;" | ",""))&amp;IF(M108="","",IFERROR(INDEX('Raw lists'!$B$2:$B$627,MATCH(M108,'Raw lists'!$B$2:$B$627,0))&amp;" | ",""))&amp;IF(N108="","",IFERROR(INDEX('Raw lists'!$B$2:$B$627,MATCH(N108,'Raw lists'!$B$2:$B$627,0))&amp;" | ",""))&amp;IF(O108="","",IFERROR(INDEX('Raw lists'!$B$2:$B$627,MATCH(O108,'Raw lists'!$B$2:$B$627,0))&amp;" | ",""))&amp;IF(P108="","",IFERROR(INDEX('Raw lists'!$B$2:$B$627,MATCH(P108,'Raw lists'!$B$2:$B$627,0))&amp;" | ","")),LEN(IF(K108="","",IFERROR(INDEX('Raw lists'!$B$2:$B$627,MATCH(K108,'Raw lists'!$B$2:$B$627,0))&amp;" | ",""))&amp;IF(L108="","",IFERROR(INDEX('Raw lists'!$B$2:$B$627,MATCH(L108,'Raw lists'!$B$2:$B$627,0))&amp;" | ",""))&amp;IF(M108="","",IFERROR(INDEX('Raw lists'!$B$2:$B$627,MATCH(M108,'Raw lists'!$B$2:$B$627,0))&amp;" | ",""))&amp;IF(N108="","",IFERROR(INDEX('Raw lists'!$B$2:$B$627,MATCH(N108,'Raw lists'!$B$2:$B$627,0))&amp;" | ",""))&amp;IF(O108="","",IFERROR(INDEX('Raw lists'!$B$2:$B$627,MATCH(O108,'Raw lists'!$B$2:$B$627,0))&amp;" | ",""))&amp;IF(P108="","",IFERROR(INDEX('Raw lists'!$B$2:$B$627,MATCH(P108,'Raw lists'!$B$2:$B$627,0))&amp;" | ","")))-3))</f>
        <v>Laser Microprobes</v>
      </c>
      <c r="E108" s="30" t="str">
        <f>IF(LEN(IF(K108="","",IFERROR(INDEX('Raw lists'!$C$2:$C$616,MATCH(K108,'Raw lists'!$C$2:$C$616,0))&amp;" | ",""))&amp;IF(L108="","",IFERROR(INDEX('Raw lists'!$C$2:$C$616,MATCH(L108,'Raw lists'!$C$2:$C$616,0))&amp;" | ",""))&amp;IF(M108="","",IFERROR(INDEX('Raw lists'!$C$2:$C$616,MATCH(M108,'Raw lists'!$C$2:$C$616,0))&amp;" | ",""))&amp;IF(N108="","",IFERROR(INDEX('Raw lists'!$C$2:$C$616,MATCH(N108,'Raw lists'!$C$2:$C$616,0))&amp;" | ",""))&amp;IF(O108="","",IFERROR(INDEX('Raw lists'!$C$2:$C$616,MATCH(O108,'Raw lists'!$C$2:$C$616,0))&amp;" | ",""))&amp;IF(P108="","",IFERROR(INDEX('Raw lists'!$C$2:$C$616,MATCH(P108,'Raw lists'!$C$2:$C$616,0))&amp;" | ","")))=0,"",LEFT(IF(K108="","",IFERROR(INDEX('Raw lists'!$C$2:$C$616,MATCH(K108,'Raw lists'!$C$2:$C$616,0))&amp;" | ",""))&amp;IF(L108="","",IFERROR(INDEX('Raw lists'!$C$2:$C$616,MATCH(L108,'Raw lists'!$C$2:$C$616,0))&amp;" | ",""))&amp;IF(M108="","",IFERROR(INDEX('Raw lists'!$C$2:$C$616,MATCH(M108,'Raw lists'!$C$2:$C$616,0))&amp;" | ",""))&amp;IF(N108="","",IFERROR(INDEX('Raw lists'!$C$2:$C$616,MATCH(N108,'Raw lists'!$C$2:$C$616,0))&amp;" | ",""))&amp;IF(O108="","",IFERROR(INDEX('Raw lists'!$C$2:$C$616,MATCH(O108,'Raw lists'!$C$2:$C$616,0))&amp;" | ",""))&amp;IF(P108="","",IFERROR(INDEX('Raw lists'!$C$2:$C$616,MATCH(P108,'Raw lists'!$C$2:$C$616,0))&amp;" | ","")),LEN(IF(K108="","",IFERROR(INDEX('Raw lists'!$C$2:$C$616,MATCH(K108,'Raw lists'!$C$2:$C$616,0))&amp;" | ",""))&amp;IF(L108="","",IFERROR(INDEX('Raw lists'!$C$2:$C$616,MATCH(L108,'Raw lists'!$C$2:$C$616,0))&amp;" | ",""))&amp;IF(M108="","",IFERROR(INDEX('Raw lists'!$C$2:$C$616,MATCH(M108,'Raw lists'!$C$2:$C$616,0))&amp;" | ",""))&amp;IF(N108="","",IFERROR(INDEX('Raw lists'!$C$2:$C$616,MATCH(N108,'Raw lists'!$C$2:$C$616,0))&amp;" | ",""))&amp;IF(O108="","",IFERROR(INDEX('Raw lists'!$C$2:$C$616,MATCH(O108,'Raw lists'!$C$2:$C$616,0))&amp;" | ",""))&amp;IF(P108="","",IFERROR(INDEX('Raw lists'!$C$2:$C$616,MATCH(P108,'Raw lists'!$C$2:$C$616,0))&amp;" | ","")))-3))</f>
        <v/>
      </c>
      <c r="F108" s="28" t="s">
        <v>54</v>
      </c>
      <c r="G108" s="30" t="s">
        <v>434</v>
      </c>
      <c r="H108" s="28">
        <f t="shared" si="2"/>
        <v>1</v>
      </c>
      <c r="I108" s="31" t="str">
        <f t="shared" si="3"/>
        <v>Only RAKE</v>
      </c>
      <c r="K108" s="32" t="s">
        <v>435</v>
      </c>
      <c r="L108" s="32" t="s">
        <v>436</v>
      </c>
      <c r="M108" s="32"/>
      <c r="N108" s="32"/>
      <c r="O108" s="32"/>
      <c r="P108" s="32"/>
    </row>
    <row r="109" spans="1:16" x14ac:dyDescent="0.3">
      <c r="A109" s="28">
        <v>108</v>
      </c>
      <c r="B109" s="29" t="s">
        <v>437</v>
      </c>
      <c r="C109" s="30" t="str">
        <f>IF(LEN(IF(K109="","",IFERROR(INDEX('Raw lists'!$A$2:$A$192,MATCH(K109,'Raw lists'!$A$2:$A$192,0))&amp;" | ",""))&amp;IF(L109="","",IFERROR(INDEX('Raw lists'!$A$2:$A$192,MATCH(L109,'Raw lists'!$A$2:$A$192,0))&amp;" | ",""))&amp;IF(M109="","",IFERROR(INDEX('Raw lists'!$A$2:$A$192,MATCH(M109,'Raw lists'!$A$2:$A$192,0))&amp;" | ",""))&amp;IF(N109="","",IFERROR(INDEX('Raw lists'!$A$2:$A$192,MATCH(N109,'Raw lists'!$A$2:$A$192,0))&amp;" | ",""))&amp;IF(O109="","",IFERROR(INDEX('Raw lists'!$A$2:$A$192,MATCH(O109,'Raw lists'!$A$2:$A$192,0))&amp;" | ",""))&amp;IF(P109="","",IFERROR(INDEX('Raw lists'!$A$2:$A$192,MATCH(P109,'Raw lists'!$A$2:$A$192,0))&amp;" | ","")))=0,"",LEFT(IF(K109="","",IFERROR(INDEX('Raw lists'!$A$2:$A$192,MATCH(K109,'Raw lists'!$A$2:$A$192,0))&amp;" | ",""))&amp;IF(L109="","",IFERROR(INDEX('Raw lists'!$A$2:$A$192,MATCH(L109,'Raw lists'!$A$2:$A$192,0))&amp;" | ",""))&amp;IF(M109="","",IFERROR(INDEX('Raw lists'!$A$2:$A$192,MATCH(M109,'Raw lists'!$A$2:$A$192,0))&amp;" | ",""))&amp;IF(N109="","",IFERROR(INDEX('Raw lists'!$A$2:$A$192,MATCH(N109,'Raw lists'!$A$2:$A$192,0))&amp;" | ",""))&amp;IF(O109="","",IFERROR(INDEX('Raw lists'!$A$2:$A$192,MATCH(O109,'Raw lists'!$A$2:$A$192,0))&amp;" | ",""))&amp;IF(P109="","",IFERROR(INDEX('Raw lists'!$A$2:$A$192,MATCH(P109,'Raw lists'!$A$2:$A$192,0))&amp;" | ","")),LEN(IF(K109="","",IFERROR(INDEX('Raw lists'!$A$2:$A$192,MATCH(K109,'Raw lists'!$A$2:$A$192,0))&amp;" | ",""))&amp;IF(L109="","",IFERROR(INDEX('Raw lists'!$A$2:$A$192,MATCH(L109,'Raw lists'!$A$2:$A$192,0))&amp;" | ",""))&amp;IF(M109="","",IFERROR(INDEX('Raw lists'!$A$2:$A$192,MATCH(M109,'Raw lists'!$A$2:$A$192,0))&amp;" | ",""))&amp;IF(N109="","",IFERROR(INDEX('Raw lists'!$A$2:$A$192,MATCH(N109,'Raw lists'!$A$2:$A$192,0))&amp;" | ",""))&amp;IF(O109="","",IFERROR(INDEX('Raw lists'!$A$2:$A$192,MATCH(O109,'Raw lists'!$A$2:$A$192,0))&amp;" | ",""))&amp;IF(P109="","",IFERROR(INDEX('Raw lists'!$A$2:$A$192,MATCH(P109,'Raw lists'!$A$2:$A$192,0))&amp;" | ","")))-3))</f>
        <v>Cd Writer Devices</v>
      </c>
      <c r="D109" s="30" t="str">
        <f>IF(LEN(IF(K109="","",IFERROR(INDEX('Raw lists'!$B$2:$B$627,MATCH(K109,'Raw lists'!$B$2:$B$627,0))&amp;" | ",""))&amp;IF(L109="","",IFERROR(INDEX('Raw lists'!$B$2:$B$627,MATCH(L109,'Raw lists'!$B$2:$B$627,0))&amp;" | ",""))&amp;IF(M109="","",IFERROR(INDEX('Raw lists'!$B$2:$B$627,MATCH(M109,'Raw lists'!$B$2:$B$627,0))&amp;" | ",""))&amp;IF(N109="","",IFERROR(INDEX('Raw lists'!$B$2:$B$627,MATCH(N109,'Raw lists'!$B$2:$B$627,0))&amp;" | ",""))&amp;IF(O109="","",IFERROR(INDEX('Raw lists'!$B$2:$B$627,MATCH(O109,'Raw lists'!$B$2:$B$627,0))&amp;" | ",""))&amp;IF(P109="","",IFERROR(INDEX('Raw lists'!$B$2:$B$627,MATCH(P109,'Raw lists'!$B$2:$B$627,0))&amp;" | ","")))=0,"",LEFT(IF(K109="","",IFERROR(INDEX('Raw lists'!$B$2:$B$627,MATCH(K109,'Raw lists'!$B$2:$B$627,0))&amp;" | ",""))&amp;IF(L109="","",IFERROR(INDEX('Raw lists'!$B$2:$B$627,MATCH(L109,'Raw lists'!$B$2:$B$627,0))&amp;" | ",""))&amp;IF(M109="","",IFERROR(INDEX('Raw lists'!$B$2:$B$627,MATCH(M109,'Raw lists'!$B$2:$B$627,0))&amp;" | ",""))&amp;IF(N109="","",IFERROR(INDEX('Raw lists'!$B$2:$B$627,MATCH(N109,'Raw lists'!$B$2:$B$627,0))&amp;" | ",""))&amp;IF(O109="","",IFERROR(INDEX('Raw lists'!$B$2:$B$627,MATCH(O109,'Raw lists'!$B$2:$B$627,0))&amp;" | ",""))&amp;IF(P109="","",IFERROR(INDEX('Raw lists'!$B$2:$B$627,MATCH(P109,'Raw lists'!$B$2:$B$627,0))&amp;" | ","")),LEN(IF(K109="","",IFERROR(INDEX('Raw lists'!$B$2:$B$627,MATCH(K109,'Raw lists'!$B$2:$B$627,0))&amp;" | ",""))&amp;IF(L109="","",IFERROR(INDEX('Raw lists'!$B$2:$B$627,MATCH(L109,'Raw lists'!$B$2:$B$627,0))&amp;" | ",""))&amp;IF(M109="","",IFERROR(INDEX('Raw lists'!$B$2:$B$627,MATCH(M109,'Raw lists'!$B$2:$B$627,0))&amp;" | ",""))&amp;IF(N109="","",IFERROR(INDEX('Raw lists'!$B$2:$B$627,MATCH(N109,'Raw lists'!$B$2:$B$627,0))&amp;" | ",""))&amp;IF(O109="","",IFERROR(INDEX('Raw lists'!$B$2:$B$627,MATCH(O109,'Raw lists'!$B$2:$B$627,0))&amp;" | ",""))&amp;IF(P109="","",IFERROR(INDEX('Raw lists'!$B$2:$B$627,MATCH(P109,'Raw lists'!$B$2:$B$627,0))&amp;" | ","")))-3))</f>
        <v/>
      </c>
      <c r="E109" s="30" t="str">
        <f>IF(LEN(IF(K109="","",IFERROR(INDEX('Raw lists'!$C$2:$C$616,MATCH(K109,'Raw lists'!$C$2:$C$616,0))&amp;" | ",""))&amp;IF(L109="","",IFERROR(INDEX('Raw lists'!$C$2:$C$616,MATCH(L109,'Raw lists'!$C$2:$C$616,0))&amp;" | ",""))&amp;IF(M109="","",IFERROR(INDEX('Raw lists'!$C$2:$C$616,MATCH(M109,'Raw lists'!$C$2:$C$616,0))&amp;" | ",""))&amp;IF(N109="","",IFERROR(INDEX('Raw lists'!$C$2:$C$616,MATCH(N109,'Raw lists'!$C$2:$C$616,0))&amp;" | ",""))&amp;IF(O109="","",IFERROR(INDEX('Raw lists'!$C$2:$C$616,MATCH(O109,'Raw lists'!$C$2:$C$616,0))&amp;" | ",""))&amp;IF(P109="","",IFERROR(INDEX('Raw lists'!$C$2:$C$616,MATCH(P109,'Raw lists'!$C$2:$C$616,0))&amp;" | ","")))=0,"",LEFT(IF(K109="","",IFERROR(INDEX('Raw lists'!$C$2:$C$616,MATCH(K109,'Raw lists'!$C$2:$C$616,0))&amp;" | ",""))&amp;IF(L109="","",IFERROR(INDEX('Raw lists'!$C$2:$C$616,MATCH(L109,'Raw lists'!$C$2:$C$616,0))&amp;" | ",""))&amp;IF(M109="","",IFERROR(INDEX('Raw lists'!$C$2:$C$616,MATCH(M109,'Raw lists'!$C$2:$C$616,0))&amp;" | ",""))&amp;IF(N109="","",IFERROR(INDEX('Raw lists'!$C$2:$C$616,MATCH(N109,'Raw lists'!$C$2:$C$616,0))&amp;" | ",""))&amp;IF(O109="","",IFERROR(INDEX('Raw lists'!$C$2:$C$616,MATCH(O109,'Raw lists'!$C$2:$C$616,0))&amp;" | ",""))&amp;IF(P109="","",IFERROR(INDEX('Raw lists'!$C$2:$C$616,MATCH(P109,'Raw lists'!$C$2:$C$616,0))&amp;" | ","")),LEN(IF(K109="","",IFERROR(INDEX('Raw lists'!$C$2:$C$616,MATCH(K109,'Raw lists'!$C$2:$C$616,0))&amp;" | ",""))&amp;IF(L109="","",IFERROR(INDEX('Raw lists'!$C$2:$C$616,MATCH(L109,'Raw lists'!$C$2:$C$616,0))&amp;" | ",""))&amp;IF(M109="","",IFERROR(INDEX('Raw lists'!$C$2:$C$616,MATCH(M109,'Raw lists'!$C$2:$C$616,0))&amp;" | ",""))&amp;IF(N109="","",IFERROR(INDEX('Raw lists'!$C$2:$C$616,MATCH(N109,'Raw lists'!$C$2:$C$616,0))&amp;" | ",""))&amp;IF(O109="","",IFERROR(INDEX('Raw lists'!$C$2:$C$616,MATCH(O109,'Raw lists'!$C$2:$C$616,0))&amp;" | ",""))&amp;IF(P109="","",IFERROR(INDEX('Raw lists'!$C$2:$C$616,MATCH(P109,'Raw lists'!$C$2:$C$616,0))&amp;" | ","")))-3))</f>
        <v>Compact Disk</v>
      </c>
      <c r="F109" s="28" t="s">
        <v>54</v>
      </c>
      <c r="G109" s="30" t="s">
        <v>438</v>
      </c>
      <c r="H109" s="28">
        <f t="shared" si="2"/>
        <v>2</v>
      </c>
      <c r="I109" s="31" t="str">
        <f t="shared" si="3"/>
        <v>Gemini + YAKE</v>
      </c>
      <c r="K109" s="32" t="s">
        <v>439</v>
      </c>
      <c r="L109" s="32" t="s">
        <v>440</v>
      </c>
      <c r="M109" s="32" t="s">
        <v>441</v>
      </c>
      <c r="N109" s="32"/>
      <c r="O109" s="32"/>
      <c r="P109" s="32"/>
    </row>
    <row r="110" spans="1:16" x14ac:dyDescent="0.3">
      <c r="A110" s="28">
        <v>109</v>
      </c>
      <c r="B110" s="29" t="s">
        <v>442</v>
      </c>
      <c r="C110" s="30" t="str">
        <f>IF(LEN(IF(K110="","",IFERROR(INDEX('Raw lists'!$A$2:$A$192,MATCH(K110,'Raw lists'!$A$2:$A$192,0))&amp;" | ",""))&amp;IF(L110="","",IFERROR(INDEX('Raw lists'!$A$2:$A$192,MATCH(L110,'Raw lists'!$A$2:$A$192,0))&amp;" | ",""))&amp;IF(M110="","",IFERROR(INDEX('Raw lists'!$A$2:$A$192,MATCH(M110,'Raw lists'!$A$2:$A$192,0))&amp;" | ",""))&amp;IF(N110="","",IFERROR(INDEX('Raw lists'!$A$2:$A$192,MATCH(N110,'Raw lists'!$A$2:$A$192,0))&amp;" | ",""))&amp;IF(O110="","",IFERROR(INDEX('Raw lists'!$A$2:$A$192,MATCH(O110,'Raw lists'!$A$2:$A$192,0))&amp;" | ",""))&amp;IF(P110="","",IFERROR(INDEX('Raw lists'!$A$2:$A$192,MATCH(P110,'Raw lists'!$A$2:$A$192,0))&amp;" | ","")))=0,"",LEFT(IF(K110="","",IFERROR(INDEX('Raw lists'!$A$2:$A$192,MATCH(K110,'Raw lists'!$A$2:$A$192,0))&amp;" | ",""))&amp;IF(L110="","",IFERROR(INDEX('Raw lists'!$A$2:$A$192,MATCH(L110,'Raw lists'!$A$2:$A$192,0))&amp;" | ",""))&amp;IF(M110="","",IFERROR(INDEX('Raw lists'!$A$2:$A$192,MATCH(M110,'Raw lists'!$A$2:$A$192,0))&amp;" | ",""))&amp;IF(N110="","",IFERROR(INDEX('Raw lists'!$A$2:$A$192,MATCH(N110,'Raw lists'!$A$2:$A$192,0))&amp;" | ",""))&amp;IF(O110="","",IFERROR(INDEX('Raw lists'!$A$2:$A$192,MATCH(O110,'Raw lists'!$A$2:$A$192,0))&amp;" | ",""))&amp;IF(P110="","",IFERROR(INDEX('Raw lists'!$A$2:$A$192,MATCH(P110,'Raw lists'!$A$2:$A$192,0))&amp;" | ","")),LEN(IF(K110="","",IFERROR(INDEX('Raw lists'!$A$2:$A$192,MATCH(K110,'Raw lists'!$A$2:$A$192,0))&amp;" | ",""))&amp;IF(L110="","",IFERROR(INDEX('Raw lists'!$A$2:$A$192,MATCH(L110,'Raw lists'!$A$2:$A$192,0))&amp;" | ",""))&amp;IF(M110="","",IFERROR(INDEX('Raw lists'!$A$2:$A$192,MATCH(M110,'Raw lists'!$A$2:$A$192,0))&amp;" | ",""))&amp;IF(N110="","",IFERROR(INDEX('Raw lists'!$A$2:$A$192,MATCH(N110,'Raw lists'!$A$2:$A$192,0))&amp;" | ",""))&amp;IF(O110="","",IFERROR(INDEX('Raw lists'!$A$2:$A$192,MATCH(O110,'Raw lists'!$A$2:$A$192,0))&amp;" | ",""))&amp;IF(P110="","",IFERROR(INDEX('Raw lists'!$A$2:$A$192,MATCH(P110,'Raw lists'!$A$2:$A$192,0))&amp;" | ","")))-3))</f>
        <v>Laser Printers</v>
      </c>
      <c r="D110" s="30" t="str">
        <f>IF(LEN(IF(K110="","",IFERROR(INDEX('Raw lists'!$B$2:$B$627,MATCH(K110,'Raw lists'!$B$2:$B$627,0))&amp;" | ",""))&amp;IF(L110="","",IFERROR(INDEX('Raw lists'!$B$2:$B$627,MATCH(L110,'Raw lists'!$B$2:$B$627,0))&amp;" | ",""))&amp;IF(M110="","",IFERROR(INDEX('Raw lists'!$B$2:$B$627,MATCH(M110,'Raw lists'!$B$2:$B$627,0))&amp;" | ",""))&amp;IF(N110="","",IFERROR(INDEX('Raw lists'!$B$2:$B$627,MATCH(N110,'Raw lists'!$B$2:$B$627,0))&amp;" | ",""))&amp;IF(O110="","",IFERROR(INDEX('Raw lists'!$B$2:$B$627,MATCH(O110,'Raw lists'!$B$2:$B$627,0))&amp;" | ",""))&amp;IF(P110="","",IFERROR(INDEX('Raw lists'!$B$2:$B$627,MATCH(P110,'Raw lists'!$B$2:$B$627,0))&amp;" | ","")))=0,"",LEFT(IF(K110="","",IFERROR(INDEX('Raw lists'!$B$2:$B$627,MATCH(K110,'Raw lists'!$B$2:$B$627,0))&amp;" | ",""))&amp;IF(L110="","",IFERROR(INDEX('Raw lists'!$B$2:$B$627,MATCH(L110,'Raw lists'!$B$2:$B$627,0))&amp;" | ",""))&amp;IF(M110="","",IFERROR(INDEX('Raw lists'!$B$2:$B$627,MATCH(M110,'Raw lists'!$B$2:$B$627,0))&amp;" | ",""))&amp;IF(N110="","",IFERROR(INDEX('Raw lists'!$B$2:$B$627,MATCH(N110,'Raw lists'!$B$2:$B$627,0))&amp;" | ",""))&amp;IF(O110="","",IFERROR(INDEX('Raw lists'!$B$2:$B$627,MATCH(O110,'Raw lists'!$B$2:$B$627,0))&amp;" | ",""))&amp;IF(P110="","",IFERROR(INDEX('Raw lists'!$B$2:$B$627,MATCH(P110,'Raw lists'!$B$2:$B$627,0))&amp;" | ","")),LEN(IF(K110="","",IFERROR(INDEX('Raw lists'!$B$2:$B$627,MATCH(K110,'Raw lists'!$B$2:$B$627,0))&amp;" | ",""))&amp;IF(L110="","",IFERROR(INDEX('Raw lists'!$B$2:$B$627,MATCH(L110,'Raw lists'!$B$2:$B$627,0))&amp;" | ",""))&amp;IF(M110="","",IFERROR(INDEX('Raw lists'!$B$2:$B$627,MATCH(M110,'Raw lists'!$B$2:$B$627,0))&amp;" | ",""))&amp;IF(N110="","",IFERROR(INDEX('Raw lists'!$B$2:$B$627,MATCH(N110,'Raw lists'!$B$2:$B$627,0))&amp;" | ",""))&amp;IF(O110="","",IFERROR(INDEX('Raw lists'!$B$2:$B$627,MATCH(O110,'Raw lists'!$B$2:$B$627,0))&amp;" | ",""))&amp;IF(P110="","",IFERROR(INDEX('Raw lists'!$B$2:$B$627,MATCH(P110,'Raw lists'!$B$2:$B$627,0))&amp;" | ","")))-3))</f>
        <v>Laser Printers</v>
      </c>
      <c r="E110" s="30" t="str">
        <f>IF(LEN(IF(K110="","",IFERROR(INDEX('Raw lists'!$C$2:$C$616,MATCH(K110,'Raw lists'!$C$2:$C$616,0))&amp;" | ",""))&amp;IF(L110="","",IFERROR(INDEX('Raw lists'!$C$2:$C$616,MATCH(L110,'Raw lists'!$C$2:$C$616,0))&amp;" | ",""))&amp;IF(M110="","",IFERROR(INDEX('Raw lists'!$C$2:$C$616,MATCH(M110,'Raw lists'!$C$2:$C$616,0))&amp;" | ",""))&amp;IF(N110="","",IFERROR(INDEX('Raw lists'!$C$2:$C$616,MATCH(N110,'Raw lists'!$C$2:$C$616,0))&amp;" | ",""))&amp;IF(O110="","",IFERROR(INDEX('Raw lists'!$C$2:$C$616,MATCH(O110,'Raw lists'!$C$2:$C$616,0))&amp;" | ",""))&amp;IF(P110="","",IFERROR(INDEX('Raw lists'!$C$2:$C$616,MATCH(P110,'Raw lists'!$C$2:$C$616,0))&amp;" | ","")))=0,"",LEFT(IF(K110="","",IFERROR(INDEX('Raw lists'!$C$2:$C$616,MATCH(K110,'Raw lists'!$C$2:$C$616,0))&amp;" | ",""))&amp;IF(L110="","",IFERROR(INDEX('Raw lists'!$C$2:$C$616,MATCH(L110,'Raw lists'!$C$2:$C$616,0))&amp;" | ",""))&amp;IF(M110="","",IFERROR(INDEX('Raw lists'!$C$2:$C$616,MATCH(M110,'Raw lists'!$C$2:$C$616,0))&amp;" | ",""))&amp;IF(N110="","",IFERROR(INDEX('Raw lists'!$C$2:$C$616,MATCH(N110,'Raw lists'!$C$2:$C$616,0))&amp;" | ",""))&amp;IF(O110="","",IFERROR(INDEX('Raw lists'!$C$2:$C$616,MATCH(O110,'Raw lists'!$C$2:$C$616,0))&amp;" | ",""))&amp;IF(P110="","",IFERROR(INDEX('Raw lists'!$C$2:$C$616,MATCH(P110,'Raw lists'!$C$2:$C$616,0))&amp;" | ","")),LEN(IF(K110="","",IFERROR(INDEX('Raw lists'!$C$2:$C$616,MATCH(K110,'Raw lists'!$C$2:$C$616,0))&amp;" | ",""))&amp;IF(L110="","",IFERROR(INDEX('Raw lists'!$C$2:$C$616,MATCH(L110,'Raw lists'!$C$2:$C$616,0))&amp;" | ",""))&amp;IF(M110="","",IFERROR(INDEX('Raw lists'!$C$2:$C$616,MATCH(M110,'Raw lists'!$C$2:$C$616,0))&amp;" | ",""))&amp;IF(N110="","",IFERROR(INDEX('Raw lists'!$C$2:$C$616,MATCH(N110,'Raw lists'!$C$2:$C$616,0))&amp;" | ",""))&amp;IF(O110="","",IFERROR(INDEX('Raw lists'!$C$2:$C$616,MATCH(O110,'Raw lists'!$C$2:$C$616,0))&amp;" | ",""))&amp;IF(P110="","",IFERROR(INDEX('Raw lists'!$C$2:$C$616,MATCH(P110,'Raw lists'!$C$2:$C$616,0))&amp;" | ","")))-3))</f>
        <v>Laser Printers</v>
      </c>
      <c r="F110" s="28" t="s">
        <v>54</v>
      </c>
      <c r="G110" s="30" t="s">
        <v>443</v>
      </c>
      <c r="H110" s="28">
        <f t="shared" si="2"/>
        <v>3</v>
      </c>
      <c r="I110" s="31" t="str">
        <f t="shared" si="3"/>
        <v>All three</v>
      </c>
      <c r="K110" s="32" t="s">
        <v>444</v>
      </c>
      <c r="L110" s="32"/>
      <c r="M110" s="32"/>
      <c r="N110" s="32"/>
      <c r="O110" s="32"/>
      <c r="P110" s="32"/>
    </row>
    <row r="111" spans="1:16" ht="39.6" x14ac:dyDescent="0.3">
      <c r="A111" s="28">
        <v>110</v>
      </c>
      <c r="B111" s="29" t="s">
        <v>445</v>
      </c>
      <c r="C111" s="30" t="str">
        <f>IF(LEN(IF(K111="","",IFERROR(INDEX('Raw lists'!$A$2:$A$192,MATCH(K111,'Raw lists'!$A$2:$A$192,0))&amp;" | ",""))&amp;IF(L111="","",IFERROR(INDEX('Raw lists'!$A$2:$A$192,MATCH(L111,'Raw lists'!$A$2:$A$192,0))&amp;" | ",""))&amp;IF(M111="","",IFERROR(INDEX('Raw lists'!$A$2:$A$192,MATCH(M111,'Raw lists'!$A$2:$A$192,0))&amp;" | ",""))&amp;IF(N111="","",IFERROR(INDEX('Raw lists'!$A$2:$A$192,MATCH(N111,'Raw lists'!$A$2:$A$192,0))&amp;" | ",""))&amp;IF(O111="","",IFERROR(INDEX('Raw lists'!$A$2:$A$192,MATCH(O111,'Raw lists'!$A$2:$A$192,0))&amp;" | ",""))&amp;IF(P111="","",IFERROR(INDEX('Raw lists'!$A$2:$A$192,MATCH(P111,'Raw lists'!$A$2:$A$192,0))&amp;" | ","")))=0,"",LEFT(IF(K111="","",IFERROR(INDEX('Raw lists'!$A$2:$A$192,MATCH(K111,'Raw lists'!$A$2:$A$192,0))&amp;" | ",""))&amp;IF(L111="","",IFERROR(INDEX('Raw lists'!$A$2:$A$192,MATCH(L111,'Raw lists'!$A$2:$A$192,0))&amp;" | ",""))&amp;IF(M111="","",IFERROR(INDEX('Raw lists'!$A$2:$A$192,MATCH(M111,'Raw lists'!$A$2:$A$192,0))&amp;" | ",""))&amp;IF(N111="","",IFERROR(INDEX('Raw lists'!$A$2:$A$192,MATCH(N111,'Raw lists'!$A$2:$A$192,0))&amp;" | ",""))&amp;IF(O111="","",IFERROR(INDEX('Raw lists'!$A$2:$A$192,MATCH(O111,'Raw lists'!$A$2:$A$192,0))&amp;" | ",""))&amp;IF(P111="","",IFERROR(INDEX('Raw lists'!$A$2:$A$192,MATCH(P111,'Raw lists'!$A$2:$A$192,0))&amp;" | ","")),LEN(IF(K111="","",IFERROR(INDEX('Raw lists'!$A$2:$A$192,MATCH(K111,'Raw lists'!$A$2:$A$192,0))&amp;" | ",""))&amp;IF(L111="","",IFERROR(INDEX('Raw lists'!$A$2:$A$192,MATCH(L111,'Raw lists'!$A$2:$A$192,0))&amp;" | ",""))&amp;IF(M111="","",IFERROR(INDEX('Raw lists'!$A$2:$A$192,MATCH(M111,'Raw lists'!$A$2:$A$192,0))&amp;" | ",""))&amp;IF(N111="","",IFERROR(INDEX('Raw lists'!$A$2:$A$192,MATCH(N111,'Raw lists'!$A$2:$A$192,0))&amp;" | ",""))&amp;IF(O111="","",IFERROR(INDEX('Raw lists'!$A$2:$A$192,MATCH(O111,'Raw lists'!$A$2:$A$192,0))&amp;" | ",""))&amp;IF(P111="","",IFERROR(INDEX('Raw lists'!$A$2:$A$192,MATCH(P111,'Raw lists'!$A$2:$A$192,0))&amp;" | ","")))-3))</f>
        <v>Optic Fibre | Fibre Optics</v>
      </c>
      <c r="D111" s="30" t="str">
        <f>IF(LEN(IF(K111="","",IFERROR(INDEX('Raw lists'!$B$2:$B$627,MATCH(K111,'Raw lists'!$B$2:$B$627,0))&amp;" | ",""))&amp;IF(L111="","",IFERROR(INDEX('Raw lists'!$B$2:$B$627,MATCH(L111,'Raw lists'!$B$2:$B$627,0))&amp;" | ",""))&amp;IF(M111="","",IFERROR(INDEX('Raw lists'!$B$2:$B$627,MATCH(M111,'Raw lists'!$B$2:$B$627,0))&amp;" | ",""))&amp;IF(N111="","",IFERROR(INDEX('Raw lists'!$B$2:$B$627,MATCH(N111,'Raw lists'!$B$2:$B$627,0))&amp;" | ",""))&amp;IF(O111="","",IFERROR(INDEX('Raw lists'!$B$2:$B$627,MATCH(O111,'Raw lists'!$B$2:$B$627,0))&amp;" | ",""))&amp;IF(P111="","",IFERROR(INDEX('Raw lists'!$B$2:$B$627,MATCH(P111,'Raw lists'!$B$2:$B$627,0))&amp;" | ","")))=0,"",LEFT(IF(K111="","",IFERROR(INDEX('Raw lists'!$B$2:$B$627,MATCH(K111,'Raw lists'!$B$2:$B$627,0))&amp;" | ",""))&amp;IF(L111="","",IFERROR(INDEX('Raw lists'!$B$2:$B$627,MATCH(L111,'Raw lists'!$B$2:$B$627,0))&amp;" | ",""))&amp;IF(M111="","",IFERROR(INDEX('Raw lists'!$B$2:$B$627,MATCH(M111,'Raw lists'!$B$2:$B$627,0))&amp;" | ",""))&amp;IF(N111="","",IFERROR(INDEX('Raw lists'!$B$2:$B$627,MATCH(N111,'Raw lists'!$B$2:$B$627,0))&amp;" | ",""))&amp;IF(O111="","",IFERROR(INDEX('Raw lists'!$B$2:$B$627,MATCH(O111,'Raw lists'!$B$2:$B$627,0))&amp;" | ",""))&amp;IF(P111="","",IFERROR(INDEX('Raw lists'!$B$2:$B$627,MATCH(P111,'Raw lists'!$B$2:$B$627,0))&amp;" | ","")),LEN(IF(K111="","",IFERROR(INDEX('Raw lists'!$B$2:$B$627,MATCH(K111,'Raw lists'!$B$2:$B$627,0))&amp;" | ",""))&amp;IF(L111="","",IFERROR(INDEX('Raw lists'!$B$2:$B$627,MATCH(L111,'Raw lists'!$B$2:$B$627,0))&amp;" | ",""))&amp;IF(M111="","",IFERROR(INDEX('Raw lists'!$B$2:$B$627,MATCH(M111,'Raw lists'!$B$2:$B$627,0))&amp;" | ",""))&amp;IF(N111="","",IFERROR(INDEX('Raw lists'!$B$2:$B$627,MATCH(N111,'Raw lists'!$B$2:$B$627,0))&amp;" | ",""))&amp;IF(O111="","",IFERROR(INDEX('Raw lists'!$B$2:$B$627,MATCH(O111,'Raw lists'!$B$2:$B$627,0))&amp;" | ",""))&amp;IF(P111="","",IFERROR(INDEX('Raw lists'!$B$2:$B$627,MATCH(P111,'Raw lists'!$B$2:$B$627,0))&amp;" | ","")))-3))</f>
        <v>Optic Fibre | Optical Fibre | Optical Fibers | Fibre Optics</v>
      </c>
      <c r="E111" s="30" t="str">
        <f>IF(LEN(IF(K111="","",IFERROR(INDEX('Raw lists'!$C$2:$C$616,MATCH(K111,'Raw lists'!$C$2:$C$616,0))&amp;" | ",""))&amp;IF(L111="","",IFERROR(INDEX('Raw lists'!$C$2:$C$616,MATCH(L111,'Raw lists'!$C$2:$C$616,0))&amp;" | ",""))&amp;IF(M111="","",IFERROR(INDEX('Raw lists'!$C$2:$C$616,MATCH(M111,'Raw lists'!$C$2:$C$616,0))&amp;" | ",""))&amp;IF(N111="","",IFERROR(INDEX('Raw lists'!$C$2:$C$616,MATCH(N111,'Raw lists'!$C$2:$C$616,0))&amp;" | ",""))&amp;IF(O111="","",IFERROR(INDEX('Raw lists'!$C$2:$C$616,MATCH(O111,'Raw lists'!$C$2:$C$616,0))&amp;" | ",""))&amp;IF(P111="","",IFERROR(INDEX('Raw lists'!$C$2:$C$616,MATCH(P111,'Raw lists'!$C$2:$C$616,0))&amp;" | ","")))=0,"",LEFT(IF(K111="","",IFERROR(INDEX('Raw lists'!$C$2:$C$616,MATCH(K111,'Raw lists'!$C$2:$C$616,0))&amp;" | ",""))&amp;IF(L111="","",IFERROR(INDEX('Raw lists'!$C$2:$C$616,MATCH(L111,'Raw lists'!$C$2:$C$616,0))&amp;" | ",""))&amp;IF(M111="","",IFERROR(INDEX('Raw lists'!$C$2:$C$616,MATCH(M111,'Raw lists'!$C$2:$C$616,0))&amp;" | ",""))&amp;IF(N111="","",IFERROR(INDEX('Raw lists'!$C$2:$C$616,MATCH(N111,'Raw lists'!$C$2:$C$616,0))&amp;" | ",""))&amp;IF(O111="","",IFERROR(INDEX('Raw lists'!$C$2:$C$616,MATCH(O111,'Raw lists'!$C$2:$C$616,0))&amp;" | ",""))&amp;IF(P111="","",IFERROR(INDEX('Raw lists'!$C$2:$C$616,MATCH(P111,'Raw lists'!$C$2:$C$616,0))&amp;" | ","")),LEN(IF(K111="","",IFERROR(INDEX('Raw lists'!$C$2:$C$616,MATCH(K111,'Raw lists'!$C$2:$C$616,0))&amp;" | ",""))&amp;IF(L111="","",IFERROR(INDEX('Raw lists'!$C$2:$C$616,MATCH(L111,'Raw lists'!$C$2:$C$616,0))&amp;" | ",""))&amp;IF(M111="","",IFERROR(INDEX('Raw lists'!$C$2:$C$616,MATCH(M111,'Raw lists'!$C$2:$C$616,0))&amp;" | ",""))&amp;IF(N111="","",IFERROR(INDEX('Raw lists'!$C$2:$C$616,MATCH(N111,'Raw lists'!$C$2:$C$616,0))&amp;" | ",""))&amp;IF(O111="","",IFERROR(INDEX('Raw lists'!$C$2:$C$616,MATCH(O111,'Raw lists'!$C$2:$C$616,0))&amp;" | ",""))&amp;IF(P111="","",IFERROR(INDEX('Raw lists'!$C$2:$C$616,MATCH(P111,'Raw lists'!$C$2:$C$616,0))&amp;" | ","")))-3))</f>
        <v>Optic Fibre | Optical Fibre | Optical Fiber | Optical Fibers | Fibre Optics</v>
      </c>
      <c r="F111" s="28" t="s">
        <v>17</v>
      </c>
      <c r="G111" s="30" t="s">
        <v>446</v>
      </c>
      <c r="H111" s="28">
        <f t="shared" si="2"/>
        <v>3</v>
      </c>
      <c r="I111" s="31" t="str">
        <f t="shared" si="3"/>
        <v>All three</v>
      </c>
      <c r="K111" s="32" t="s">
        <v>447</v>
      </c>
      <c r="L111" s="32" t="s">
        <v>448</v>
      </c>
      <c r="M111" s="32" t="s">
        <v>449</v>
      </c>
      <c r="N111" s="32" t="s">
        <v>450</v>
      </c>
      <c r="O111" s="32" t="s">
        <v>451</v>
      </c>
      <c r="P111" s="32" t="s">
        <v>452</v>
      </c>
    </row>
    <row r="112" spans="1:16" x14ac:dyDescent="0.3">
      <c r="A112" s="28">
        <v>111</v>
      </c>
      <c r="B112" s="29" t="s">
        <v>453</v>
      </c>
      <c r="C112" s="30" t="str">
        <f>IF(LEN(IF(K112="","",IFERROR(INDEX('Raw lists'!$A$2:$A$192,MATCH(K112,'Raw lists'!$A$2:$A$192,0))&amp;" | ",""))&amp;IF(L112="","",IFERROR(INDEX('Raw lists'!$A$2:$A$192,MATCH(L112,'Raw lists'!$A$2:$A$192,0))&amp;" | ",""))&amp;IF(M112="","",IFERROR(INDEX('Raw lists'!$A$2:$A$192,MATCH(M112,'Raw lists'!$A$2:$A$192,0))&amp;" | ",""))&amp;IF(N112="","",IFERROR(INDEX('Raw lists'!$A$2:$A$192,MATCH(N112,'Raw lists'!$A$2:$A$192,0))&amp;" | ",""))&amp;IF(O112="","",IFERROR(INDEX('Raw lists'!$A$2:$A$192,MATCH(O112,'Raw lists'!$A$2:$A$192,0))&amp;" | ",""))&amp;IF(P112="","",IFERROR(INDEX('Raw lists'!$A$2:$A$192,MATCH(P112,'Raw lists'!$A$2:$A$192,0))&amp;" | ","")))=0,"",LEFT(IF(K112="","",IFERROR(INDEX('Raw lists'!$A$2:$A$192,MATCH(K112,'Raw lists'!$A$2:$A$192,0))&amp;" | ",""))&amp;IF(L112="","",IFERROR(INDEX('Raw lists'!$A$2:$A$192,MATCH(L112,'Raw lists'!$A$2:$A$192,0))&amp;" | ",""))&amp;IF(M112="","",IFERROR(INDEX('Raw lists'!$A$2:$A$192,MATCH(M112,'Raw lists'!$A$2:$A$192,0))&amp;" | ",""))&amp;IF(N112="","",IFERROR(INDEX('Raw lists'!$A$2:$A$192,MATCH(N112,'Raw lists'!$A$2:$A$192,0))&amp;" | ",""))&amp;IF(O112="","",IFERROR(INDEX('Raw lists'!$A$2:$A$192,MATCH(O112,'Raw lists'!$A$2:$A$192,0))&amp;" | ",""))&amp;IF(P112="","",IFERROR(INDEX('Raw lists'!$A$2:$A$192,MATCH(P112,'Raw lists'!$A$2:$A$192,0))&amp;" | ","")),LEN(IF(K112="","",IFERROR(INDEX('Raw lists'!$A$2:$A$192,MATCH(K112,'Raw lists'!$A$2:$A$192,0))&amp;" | ",""))&amp;IF(L112="","",IFERROR(INDEX('Raw lists'!$A$2:$A$192,MATCH(L112,'Raw lists'!$A$2:$A$192,0))&amp;" | ",""))&amp;IF(M112="","",IFERROR(INDEX('Raw lists'!$A$2:$A$192,MATCH(M112,'Raw lists'!$A$2:$A$192,0))&amp;" | ",""))&amp;IF(N112="","",IFERROR(INDEX('Raw lists'!$A$2:$A$192,MATCH(N112,'Raw lists'!$A$2:$A$192,0))&amp;" | ",""))&amp;IF(O112="","",IFERROR(INDEX('Raw lists'!$A$2:$A$192,MATCH(O112,'Raw lists'!$A$2:$A$192,0))&amp;" | ",""))&amp;IF(P112="","",IFERROR(INDEX('Raw lists'!$A$2:$A$192,MATCH(P112,'Raw lists'!$A$2:$A$192,0))&amp;" | ","")))-3))</f>
        <v/>
      </c>
      <c r="D112" s="30" t="str">
        <f>IF(LEN(IF(K112="","",IFERROR(INDEX('Raw lists'!$B$2:$B$627,MATCH(K112,'Raw lists'!$B$2:$B$627,0))&amp;" | ",""))&amp;IF(L112="","",IFERROR(INDEX('Raw lists'!$B$2:$B$627,MATCH(L112,'Raw lists'!$B$2:$B$627,0))&amp;" | ",""))&amp;IF(M112="","",IFERROR(INDEX('Raw lists'!$B$2:$B$627,MATCH(M112,'Raw lists'!$B$2:$B$627,0))&amp;" | ",""))&amp;IF(N112="","",IFERROR(INDEX('Raw lists'!$B$2:$B$627,MATCH(N112,'Raw lists'!$B$2:$B$627,0))&amp;" | ",""))&amp;IF(O112="","",IFERROR(INDEX('Raw lists'!$B$2:$B$627,MATCH(O112,'Raw lists'!$B$2:$B$627,0))&amp;" | ",""))&amp;IF(P112="","",IFERROR(INDEX('Raw lists'!$B$2:$B$627,MATCH(P112,'Raw lists'!$B$2:$B$627,0))&amp;" | ","")))=0,"",LEFT(IF(K112="","",IFERROR(INDEX('Raw lists'!$B$2:$B$627,MATCH(K112,'Raw lists'!$B$2:$B$627,0))&amp;" | ",""))&amp;IF(L112="","",IFERROR(INDEX('Raw lists'!$B$2:$B$627,MATCH(L112,'Raw lists'!$B$2:$B$627,0))&amp;" | ",""))&amp;IF(M112="","",IFERROR(INDEX('Raw lists'!$B$2:$B$627,MATCH(M112,'Raw lists'!$B$2:$B$627,0))&amp;" | ",""))&amp;IF(N112="","",IFERROR(INDEX('Raw lists'!$B$2:$B$627,MATCH(N112,'Raw lists'!$B$2:$B$627,0))&amp;" | ",""))&amp;IF(O112="","",IFERROR(INDEX('Raw lists'!$B$2:$B$627,MATCH(O112,'Raw lists'!$B$2:$B$627,0))&amp;" | ",""))&amp;IF(P112="","",IFERROR(INDEX('Raw lists'!$B$2:$B$627,MATCH(P112,'Raw lists'!$B$2:$B$627,0))&amp;" | ","")),LEN(IF(K112="","",IFERROR(INDEX('Raw lists'!$B$2:$B$627,MATCH(K112,'Raw lists'!$B$2:$B$627,0))&amp;" | ",""))&amp;IF(L112="","",IFERROR(INDEX('Raw lists'!$B$2:$B$627,MATCH(L112,'Raw lists'!$B$2:$B$627,0))&amp;" | ",""))&amp;IF(M112="","",IFERROR(INDEX('Raw lists'!$B$2:$B$627,MATCH(M112,'Raw lists'!$B$2:$B$627,0))&amp;" | ",""))&amp;IF(N112="","",IFERROR(INDEX('Raw lists'!$B$2:$B$627,MATCH(N112,'Raw lists'!$B$2:$B$627,0))&amp;" | ",""))&amp;IF(O112="","",IFERROR(INDEX('Raw lists'!$B$2:$B$627,MATCH(O112,'Raw lists'!$B$2:$B$627,0))&amp;" | ",""))&amp;IF(P112="","",IFERROR(INDEX('Raw lists'!$B$2:$B$627,MATCH(P112,'Raw lists'!$B$2:$B$627,0))&amp;" | ","")))-3))</f>
        <v>Core | Core Material</v>
      </c>
      <c r="E112" s="30" t="str">
        <f>IF(LEN(IF(K112="","",IFERROR(INDEX('Raw lists'!$C$2:$C$616,MATCH(K112,'Raw lists'!$C$2:$C$616,0))&amp;" | ",""))&amp;IF(L112="","",IFERROR(INDEX('Raw lists'!$C$2:$C$616,MATCH(L112,'Raw lists'!$C$2:$C$616,0))&amp;" | ",""))&amp;IF(M112="","",IFERROR(INDEX('Raw lists'!$C$2:$C$616,MATCH(M112,'Raw lists'!$C$2:$C$616,0))&amp;" | ",""))&amp;IF(N112="","",IFERROR(INDEX('Raw lists'!$C$2:$C$616,MATCH(N112,'Raw lists'!$C$2:$C$616,0))&amp;" | ",""))&amp;IF(O112="","",IFERROR(INDEX('Raw lists'!$C$2:$C$616,MATCH(O112,'Raw lists'!$C$2:$C$616,0))&amp;" | ",""))&amp;IF(P112="","",IFERROR(INDEX('Raw lists'!$C$2:$C$616,MATCH(P112,'Raw lists'!$C$2:$C$616,0))&amp;" | ","")))=0,"",LEFT(IF(K112="","",IFERROR(INDEX('Raw lists'!$C$2:$C$616,MATCH(K112,'Raw lists'!$C$2:$C$616,0))&amp;" | ",""))&amp;IF(L112="","",IFERROR(INDEX('Raw lists'!$C$2:$C$616,MATCH(L112,'Raw lists'!$C$2:$C$616,0))&amp;" | ",""))&amp;IF(M112="","",IFERROR(INDEX('Raw lists'!$C$2:$C$616,MATCH(M112,'Raw lists'!$C$2:$C$616,0))&amp;" | ",""))&amp;IF(N112="","",IFERROR(INDEX('Raw lists'!$C$2:$C$616,MATCH(N112,'Raw lists'!$C$2:$C$616,0))&amp;" | ",""))&amp;IF(O112="","",IFERROR(INDEX('Raw lists'!$C$2:$C$616,MATCH(O112,'Raw lists'!$C$2:$C$616,0))&amp;" | ",""))&amp;IF(P112="","",IFERROR(INDEX('Raw lists'!$C$2:$C$616,MATCH(P112,'Raw lists'!$C$2:$C$616,0))&amp;" | ","")),LEN(IF(K112="","",IFERROR(INDEX('Raw lists'!$C$2:$C$616,MATCH(K112,'Raw lists'!$C$2:$C$616,0))&amp;" | ",""))&amp;IF(L112="","",IFERROR(INDEX('Raw lists'!$C$2:$C$616,MATCH(L112,'Raw lists'!$C$2:$C$616,0))&amp;" | ",""))&amp;IF(M112="","",IFERROR(INDEX('Raw lists'!$C$2:$C$616,MATCH(M112,'Raw lists'!$C$2:$C$616,0))&amp;" | ",""))&amp;IF(N112="","",IFERROR(INDEX('Raw lists'!$C$2:$C$616,MATCH(N112,'Raw lists'!$C$2:$C$616,0))&amp;" | ",""))&amp;IF(O112="","",IFERROR(INDEX('Raw lists'!$C$2:$C$616,MATCH(O112,'Raw lists'!$C$2:$C$616,0))&amp;" | ",""))&amp;IF(P112="","",IFERROR(INDEX('Raw lists'!$C$2:$C$616,MATCH(P112,'Raw lists'!$C$2:$C$616,0))&amp;" | ","")))-3))</f>
        <v>Core | Core Material</v>
      </c>
      <c r="F112" s="28" t="s">
        <v>17</v>
      </c>
      <c r="G112" s="30" t="s">
        <v>454</v>
      </c>
      <c r="H112" s="28">
        <f t="shared" si="2"/>
        <v>2</v>
      </c>
      <c r="I112" s="31" t="str">
        <f t="shared" si="3"/>
        <v>RAKE + YAKE</v>
      </c>
      <c r="K112" s="32" t="s">
        <v>17</v>
      </c>
      <c r="L112" s="32" t="s">
        <v>455</v>
      </c>
      <c r="M112" s="32"/>
      <c r="N112" s="32"/>
      <c r="O112" s="32"/>
      <c r="P112" s="32"/>
    </row>
    <row r="113" spans="1:16" x14ac:dyDescent="0.3">
      <c r="A113" s="28">
        <v>112</v>
      </c>
      <c r="B113" s="29" t="s">
        <v>456</v>
      </c>
      <c r="C113" s="30" t="str">
        <f>IF(LEN(IF(K113="","",IFERROR(INDEX('Raw lists'!$A$2:$A$192,MATCH(K113,'Raw lists'!$A$2:$A$192,0))&amp;" | ",""))&amp;IF(L113="","",IFERROR(INDEX('Raw lists'!$A$2:$A$192,MATCH(L113,'Raw lists'!$A$2:$A$192,0))&amp;" | ",""))&amp;IF(M113="","",IFERROR(INDEX('Raw lists'!$A$2:$A$192,MATCH(M113,'Raw lists'!$A$2:$A$192,0))&amp;" | ",""))&amp;IF(N113="","",IFERROR(INDEX('Raw lists'!$A$2:$A$192,MATCH(N113,'Raw lists'!$A$2:$A$192,0))&amp;" | ",""))&amp;IF(O113="","",IFERROR(INDEX('Raw lists'!$A$2:$A$192,MATCH(O113,'Raw lists'!$A$2:$A$192,0))&amp;" | ",""))&amp;IF(P113="","",IFERROR(INDEX('Raw lists'!$A$2:$A$192,MATCH(P113,'Raw lists'!$A$2:$A$192,0))&amp;" | ","")))=0,"",LEFT(IF(K113="","",IFERROR(INDEX('Raw lists'!$A$2:$A$192,MATCH(K113,'Raw lists'!$A$2:$A$192,0))&amp;" | ",""))&amp;IF(L113="","",IFERROR(INDEX('Raw lists'!$A$2:$A$192,MATCH(L113,'Raw lists'!$A$2:$A$192,0))&amp;" | ",""))&amp;IF(M113="","",IFERROR(INDEX('Raw lists'!$A$2:$A$192,MATCH(M113,'Raw lists'!$A$2:$A$192,0))&amp;" | ",""))&amp;IF(N113="","",IFERROR(INDEX('Raw lists'!$A$2:$A$192,MATCH(N113,'Raw lists'!$A$2:$A$192,0))&amp;" | ",""))&amp;IF(O113="","",IFERROR(INDEX('Raw lists'!$A$2:$A$192,MATCH(O113,'Raw lists'!$A$2:$A$192,0))&amp;" | ",""))&amp;IF(P113="","",IFERROR(INDEX('Raw lists'!$A$2:$A$192,MATCH(P113,'Raw lists'!$A$2:$A$192,0))&amp;" | ","")),LEN(IF(K113="","",IFERROR(INDEX('Raw lists'!$A$2:$A$192,MATCH(K113,'Raw lists'!$A$2:$A$192,0))&amp;" | ",""))&amp;IF(L113="","",IFERROR(INDEX('Raw lists'!$A$2:$A$192,MATCH(L113,'Raw lists'!$A$2:$A$192,0))&amp;" | ",""))&amp;IF(M113="","",IFERROR(INDEX('Raw lists'!$A$2:$A$192,MATCH(M113,'Raw lists'!$A$2:$A$192,0))&amp;" | ",""))&amp;IF(N113="","",IFERROR(INDEX('Raw lists'!$A$2:$A$192,MATCH(N113,'Raw lists'!$A$2:$A$192,0))&amp;" | ",""))&amp;IF(O113="","",IFERROR(INDEX('Raw lists'!$A$2:$A$192,MATCH(O113,'Raw lists'!$A$2:$A$192,0))&amp;" | ",""))&amp;IF(P113="","",IFERROR(INDEX('Raw lists'!$A$2:$A$192,MATCH(P113,'Raw lists'!$A$2:$A$192,0))&amp;" | ","")))-3))</f>
        <v/>
      </c>
      <c r="D113" s="30" t="str">
        <f>IF(LEN(IF(K113="","",IFERROR(INDEX('Raw lists'!$B$2:$B$627,MATCH(K113,'Raw lists'!$B$2:$B$627,0))&amp;" | ",""))&amp;IF(L113="","",IFERROR(INDEX('Raw lists'!$B$2:$B$627,MATCH(L113,'Raw lists'!$B$2:$B$627,0))&amp;" | ",""))&amp;IF(M113="","",IFERROR(INDEX('Raw lists'!$B$2:$B$627,MATCH(M113,'Raw lists'!$B$2:$B$627,0))&amp;" | ",""))&amp;IF(N113="","",IFERROR(INDEX('Raw lists'!$B$2:$B$627,MATCH(N113,'Raw lists'!$B$2:$B$627,0))&amp;" | ",""))&amp;IF(O113="","",IFERROR(INDEX('Raw lists'!$B$2:$B$627,MATCH(O113,'Raw lists'!$B$2:$B$627,0))&amp;" | ",""))&amp;IF(P113="","",IFERROR(INDEX('Raw lists'!$B$2:$B$627,MATCH(P113,'Raw lists'!$B$2:$B$627,0))&amp;" | ","")))=0,"",LEFT(IF(K113="","",IFERROR(INDEX('Raw lists'!$B$2:$B$627,MATCH(K113,'Raw lists'!$B$2:$B$627,0))&amp;" | ",""))&amp;IF(L113="","",IFERROR(INDEX('Raw lists'!$B$2:$B$627,MATCH(L113,'Raw lists'!$B$2:$B$627,0))&amp;" | ",""))&amp;IF(M113="","",IFERROR(INDEX('Raw lists'!$B$2:$B$627,MATCH(M113,'Raw lists'!$B$2:$B$627,0))&amp;" | ",""))&amp;IF(N113="","",IFERROR(INDEX('Raw lists'!$B$2:$B$627,MATCH(N113,'Raw lists'!$B$2:$B$627,0))&amp;" | ",""))&amp;IF(O113="","",IFERROR(INDEX('Raw lists'!$B$2:$B$627,MATCH(O113,'Raw lists'!$B$2:$B$627,0))&amp;" | ",""))&amp;IF(P113="","",IFERROR(INDEX('Raw lists'!$B$2:$B$627,MATCH(P113,'Raw lists'!$B$2:$B$627,0))&amp;" | ","")),LEN(IF(K113="","",IFERROR(INDEX('Raw lists'!$B$2:$B$627,MATCH(K113,'Raw lists'!$B$2:$B$627,0))&amp;" | ",""))&amp;IF(L113="","",IFERROR(INDEX('Raw lists'!$B$2:$B$627,MATCH(L113,'Raw lists'!$B$2:$B$627,0))&amp;" | ",""))&amp;IF(M113="","",IFERROR(INDEX('Raw lists'!$B$2:$B$627,MATCH(M113,'Raw lists'!$B$2:$B$627,0))&amp;" | ",""))&amp;IF(N113="","",IFERROR(INDEX('Raw lists'!$B$2:$B$627,MATCH(N113,'Raw lists'!$B$2:$B$627,0))&amp;" | ",""))&amp;IF(O113="","",IFERROR(INDEX('Raw lists'!$B$2:$B$627,MATCH(O113,'Raw lists'!$B$2:$B$627,0))&amp;" | ",""))&amp;IF(P113="","",IFERROR(INDEX('Raw lists'!$B$2:$B$627,MATCH(P113,'Raw lists'!$B$2:$B$627,0))&amp;" | ","")))-3))</f>
        <v>Cladding | Clad Material</v>
      </c>
      <c r="E113" s="30" t="str">
        <f>IF(LEN(IF(K113="","",IFERROR(INDEX('Raw lists'!$C$2:$C$616,MATCH(K113,'Raw lists'!$C$2:$C$616,0))&amp;" | ",""))&amp;IF(L113="","",IFERROR(INDEX('Raw lists'!$C$2:$C$616,MATCH(L113,'Raw lists'!$C$2:$C$616,0))&amp;" | ",""))&amp;IF(M113="","",IFERROR(INDEX('Raw lists'!$C$2:$C$616,MATCH(M113,'Raw lists'!$C$2:$C$616,0))&amp;" | ",""))&amp;IF(N113="","",IFERROR(INDEX('Raw lists'!$C$2:$C$616,MATCH(N113,'Raw lists'!$C$2:$C$616,0))&amp;" | ",""))&amp;IF(O113="","",IFERROR(INDEX('Raw lists'!$C$2:$C$616,MATCH(O113,'Raw lists'!$C$2:$C$616,0))&amp;" | ",""))&amp;IF(P113="","",IFERROR(INDEX('Raw lists'!$C$2:$C$616,MATCH(P113,'Raw lists'!$C$2:$C$616,0))&amp;" | ","")))=0,"",LEFT(IF(K113="","",IFERROR(INDEX('Raw lists'!$C$2:$C$616,MATCH(K113,'Raw lists'!$C$2:$C$616,0))&amp;" | ",""))&amp;IF(L113="","",IFERROR(INDEX('Raw lists'!$C$2:$C$616,MATCH(L113,'Raw lists'!$C$2:$C$616,0))&amp;" | ",""))&amp;IF(M113="","",IFERROR(INDEX('Raw lists'!$C$2:$C$616,MATCH(M113,'Raw lists'!$C$2:$C$616,0))&amp;" | ",""))&amp;IF(N113="","",IFERROR(INDEX('Raw lists'!$C$2:$C$616,MATCH(N113,'Raw lists'!$C$2:$C$616,0))&amp;" | ",""))&amp;IF(O113="","",IFERROR(INDEX('Raw lists'!$C$2:$C$616,MATCH(O113,'Raw lists'!$C$2:$C$616,0))&amp;" | ",""))&amp;IF(P113="","",IFERROR(INDEX('Raw lists'!$C$2:$C$616,MATCH(P113,'Raw lists'!$C$2:$C$616,0))&amp;" | ","")),LEN(IF(K113="","",IFERROR(INDEX('Raw lists'!$C$2:$C$616,MATCH(K113,'Raw lists'!$C$2:$C$616,0))&amp;" | ",""))&amp;IF(L113="","",IFERROR(INDEX('Raw lists'!$C$2:$C$616,MATCH(L113,'Raw lists'!$C$2:$C$616,0))&amp;" | ",""))&amp;IF(M113="","",IFERROR(INDEX('Raw lists'!$C$2:$C$616,MATCH(M113,'Raw lists'!$C$2:$C$616,0))&amp;" | ",""))&amp;IF(N113="","",IFERROR(INDEX('Raw lists'!$C$2:$C$616,MATCH(N113,'Raw lists'!$C$2:$C$616,0))&amp;" | ",""))&amp;IF(O113="","",IFERROR(INDEX('Raw lists'!$C$2:$C$616,MATCH(O113,'Raw lists'!$C$2:$C$616,0))&amp;" | ",""))&amp;IF(P113="","",IFERROR(INDEX('Raw lists'!$C$2:$C$616,MATCH(P113,'Raw lists'!$C$2:$C$616,0))&amp;" | ","")))-3))</f>
        <v>Cladding | Clad Material</v>
      </c>
      <c r="F113" s="28" t="s">
        <v>17</v>
      </c>
      <c r="G113" s="30" t="s">
        <v>457</v>
      </c>
      <c r="H113" s="28">
        <f t="shared" si="2"/>
        <v>2</v>
      </c>
      <c r="I113" s="31" t="str">
        <f t="shared" si="3"/>
        <v>RAKE + YAKE</v>
      </c>
      <c r="K113" s="32" t="s">
        <v>456</v>
      </c>
      <c r="L113" s="32" t="s">
        <v>458</v>
      </c>
      <c r="M113" s="32"/>
      <c r="N113" s="32"/>
      <c r="O113" s="32"/>
      <c r="P113" s="32"/>
    </row>
    <row r="114" spans="1:16" x14ac:dyDescent="0.3">
      <c r="A114" s="28">
        <v>113</v>
      </c>
      <c r="B114" s="29" t="s">
        <v>459</v>
      </c>
      <c r="C114" s="30" t="str">
        <f>IF(LEN(IF(K114="","",IFERROR(INDEX('Raw lists'!$A$2:$A$192,MATCH(K114,'Raw lists'!$A$2:$A$192,0))&amp;" | ",""))&amp;IF(L114="","",IFERROR(INDEX('Raw lists'!$A$2:$A$192,MATCH(L114,'Raw lists'!$A$2:$A$192,0))&amp;" | ",""))&amp;IF(M114="","",IFERROR(INDEX('Raw lists'!$A$2:$A$192,MATCH(M114,'Raw lists'!$A$2:$A$192,0))&amp;" | ",""))&amp;IF(N114="","",IFERROR(INDEX('Raw lists'!$A$2:$A$192,MATCH(N114,'Raw lists'!$A$2:$A$192,0))&amp;" | ",""))&amp;IF(O114="","",IFERROR(INDEX('Raw lists'!$A$2:$A$192,MATCH(O114,'Raw lists'!$A$2:$A$192,0))&amp;" | ",""))&amp;IF(P114="","",IFERROR(INDEX('Raw lists'!$A$2:$A$192,MATCH(P114,'Raw lists'!$A$2:$A$192,0))&amp;" | ","")))=0,"",LEFT(IF(K114="","",IFERROR(INDEX('Raw lists'!$A$2:$A$192,MATCH(K114,'Raw lists'!$A$2:$A$192,0))&amp;" | ",""))&amp;IF(L114="","",IFERROR(INDEX('Raw lists'!$A$2:$A$192,MATCH(L114,'Raw lists'!$A$2:$A$192,0))&amp;" | ",""))&amp;IF(M114="","",IFERROR(INDEX('Raw lists'!$A$2:$A$192,MATCH(M114,'Raw lists'!$A$2:$A$192,0))&amp;" | ",""))&amp;IF(N114="","",IFERROR(INDEX('Raw lists'!$A$2:$A$192,MATCH(N114,'Raw lists'!$A$2:$A$192,0))&amp;" | ",""))&amp;IF(O114="","",IFERROR(INDEX('Raw lists'!$A$2:$A$192,MATCH(O114,'Raw lists'!$A$2:$A$192,0))&amp;" | ",""))&amp;IF(P114="","",IFERROR(INDEX('Raw lists'!$A$2:$A$192,MATCH(P114,'Raw lists'!$A$2:$A$192,0))&amp;" | ","")),LEN(IF(K114="","",IFERROR(INDEX('Raw lists'!$A$2:$A$192,MATCH(K114,'Raw lists'!$A$2:$A$192,0))&amp;" | ",""))&amp;IF(L114="","",IFERROR(INDEX('Raw lists'!$A$2:$A$192,MATCH(L114,'Raw lists'!$A$2:$A$192,0))&amp;" | ",""))&amp;IF(M114="","",IFERROR(INDEX('Raw lists'!$A$2:$A$192,MATCH(M114,'Raw lists'!$A$2:$A$192,0))&amp;" | ",""))&amp;IF(N114="","",IFERROR(INDEX('Raw lists'!$A$2:$A$192,MATCH(N114,'Raw lists'!$A$2:$A$192,0))&amp;" | ",""))&amp;IF(O114="","",IFERROR(INDEX('Raw lists'!$A$2:$A$192,MATCH(O114,'Raw lists'!$A$2:$A$192,0))&amp;" | ",""))&amp;IF(P114="","",IFERROR(INDEX('Raw lists'!$A$2:$A$192,MATCH(P114,'Raw lists'!$A$2:$A$192,0))&amp;" | ","")))-3))</f>
        <v/>
      </c>
      <c r="D114" s="30" t="str">
        <f>IF(LEN(IF(K114="","",IFERROR(INDEX('Raw lists'!$B$2:$B$627,MATCH(K114,'Raw lists'!$B$2:$B$627,0))&amp;" | ",""))&amp;IF(L114="","",IFERROR(INDEX('Raw lists'!$B$2:$B$627,MATCH(L114,'Raw lists'!$B$2:$B$627,0))&amp;" | ",""))&amp;IF(M114="","",IFERROR(INDEX('Raw lists'!$B$2:$B$627,MATCH(M114,'Raw lists'!$B$2:$B$627,0))&amp;" | ",""))&amp;IF(N114="","",IFERROR(INDEX('Raw lists'!$B$2:$B$627,MATCH(N114,'Raw lists'!$B$2:$B$627,0))&amp;" | ",""))&amp;IF(O114="","",IFERROR(INDEX('Raw lists'!$B$2:$B$627,MATCH(O114,'Raw lists'!$B$2:$B$627,0))&amp;" | ",""))&amp;IF(P114="","",IFERROR(INDEX('Raw lists'!$B$2:$B$627,MATCH(P114,'Raw lists'!$B$2:$B$627,0))&amp;" | ","")))=0,"",LEFT(IF(K114="","",IFERROR(INDEX('Raw lists'!$B$2:$B$627,MATCH(K114,'Raw lists'!$B$2:$B$627,0))&amp;" | ",""))&amp;IF(L114="","",IFERROR(INDEX('Raw lists'!$B$2:$B$627,MATCH(L114,'Raw lists'!$B$2:$B$627,0))&amp;" | ",""))&amp;IF(M114="","",IFERROR(INDEX('Raw lists'!$B$2:$B$627,MATCH(M114,'Raw lists'!$B$2:$B$627,0))&amp;" | ",""))&amp;IF(N114="","",IFERROR(INDEX('Raw lists'!$B$2:$B$627,MATCH(N114,'Raw lists'!$B$2:$B$627,0))&amp;" | ",""))&amp;IF(O114="","",IFERROR(INDEX('Raw lists'!$B$2:$B$627,MATCH(O114,'Raw lists'!$B$2:$B$627,0))&amp;" | ",""))&amp;IF(P114="","",IFERROR(INDEX('Raw lists'!$B$2:$B$627,MATCH(P114,'Raw lists'!$B$2:$B$627,0))&amp;" | ","")),LEN(IF(K114="","",IFERROR(INDEX('Raw lists'!$B$2:$B$627,MATCH(K114,'Raw lists'!$B$2:$B$627,0))&amp;" | ",""))&amp;IF(L114="","",IFERROR(INDEX('Raw lists'!$B$2:$B$627,MATCH(L114,'Raw lists'!$B$2:$B$627,0))&amp;" | ",""))&amp;IF(M114="","",IFERROR(INDEX('Raw lists'!$B$2:$B$627,MATCH(M114,'Raw lists'!$B$2:$B$627,0))&amp;" | ",""))&amp;IF(N114="","",IFERROR(INDEX('Raw lists'!$B$2:$B$627,MATCH(N114,'Raw lists'!$B$2:$B$627,0))&amp;" | ",""))&amp;IF(O114="","",IFERROR(INDEX('Raw lists'!$B$2:$B$627,MATCH(O114,'Raw lists'!$B$2:$B$627,0))&amp;" | ",""))&amp;IF(P114="","",IFERROR(INDEX('Raw lists'!$B$2:$B$627,MATCH(P114,'Raw lists'!$B$2:$B$627,0))&amp;" | ","")))-3))</f>
        <v/>
      </c>
      <c r="E114" s="30" t="str">
        <f>IF(LEN(IF(K114="","",IFERROR(INDEX('Raw lists'!$C$2:$C$616,MATCH(K114,'Raw lists'!$C$2:$C$616,0))&amp;" | ",""))&amp;IF(L114="","",IFERROR(INDEX('Raw lists'!$C$2:$C$616,MATCH(L114,'Raw lists'!$C$2:$C$616,0))&amp;" | ",""))&amp;IF(M114="","",IFERROR(INDEX('Raw lists'!$C$2:$C$616,MATCH(M114,'Raw lists'!$C$2:$C$616,0))&amp;" | ",""))&amp;IF(N114="","",IFERROR(INDEX('Raw lists'!$C$2:$C$616,MATCH(N114,'Raw lists'!$C$2:$C$616,0))&amp;" | ",""))&amp;IF(O114="","",IFERROR(INDEX('Raw lists'!$C$2:$C$616,MATCH(O114,'Raw lists'!$C$2:$C$616,0))&amp;" | ",""))&amp;IF(P114="","",IFERROR(INDEX('Raw lists'!$C$2:$C$616,MATCH(P114,'Raw lists'!$C$2:$C$616,0))&amp;" | ","")))=0,"",LEFT(IF(K114="","",IFERROR(INDEX('Raw lists'!$C$2:$C$616,MATCH(K114,'Raw lists'!$C$2:$C$616,0))&amp;" | ",""))&amp;IF(L114="","",IFERROR(INDEX('Raw lists'!$C$2:$C$616,MATCH(L114,'Raw lists'!$C$2:$C$616,0))&amp;" | ",""))&amp;IF(M114="","",IFERROR(INDEX('Raw lists'!$C$2:$C$616,MATCH(M114,'Raw lists'!$C$2:$C$616,0))&amp;" | ",""))&amp;IF(N114="","",IFERROR(INDEX('Raw lists'!$C$2:$C$616,MATCH(N114,'Raw lists'!$C$2:$C$616,0))&amp;" | ",""))&amp;IF(O114="","",IFERROR(INDEX('Raw lists'!$C$2:$C$616,MATCH(O114,'Raw lists'!$C$2:$C$616,0))&amp;" | ",""))&amp;IF(P114="","",IFERROR(INDEX('Raw lists'!$C$2:$C$616,MATCH(P114,'Raw lists'!$C$2:$C$616,0))&amp;" | ","")),LEN(IF(K114="","",IFERROR(INDEX('Raw lists'!$C$2:$C$616,MATCH(K114,'Raw lists'!$C$2:$C$616,0))&amp;" | ",""))&amp;IF(L114="","",IFERROR(INDEX('Raw lists'!$C$2:$C$616,MATCH(L114,'Raw lists'!$C$2:$C$616,0))&amp;" | ",""))&amp;IF(M114="","",IFERROR(INDEX('Raw lists'!$C$2:$C$616,MATCH(M114,'Raw lists'!$C$2:$C$616,0))&amp;" | ",""))&amp;IF(N114="","",IFERROR(INDEX('Raw lists'!$C$2:$C$616,MATCH(N114,'Raw lists'!$C$2:$C$616,0))&amp;" | ",""))&amp;IF(O114="","",IFERROR(INDEX('Raw lists'!$C$2:$C$616,MATCH(O114,'Raw lists'!$C$2:$C$616,0))&amp;" | ",""))&amp;IF(P114="","",IFERROR(INDEX('Raw lists'!$C$2:$C$616,MATCH(P114,'Raw lists'!$C$2:$C$616,0))&amp;" | ","")))-3))</f>
        <v/>
      </c>
      <c r="F114" s="28" t="s">
        <v>17</v>
      </c>
      <c r="G114" s="30" t="s">
        <v>460</v>
      </c>
      <c r="H114" s="28">
        <f t="shared" si="2"/>
        <v>0</v>
      </c>
      <c r="I114" s="31" t="str">
        <f t="shared" si="3"/>
        <v>None</v>
      </c>
      <c r="K114" s="32" t="s">
        <v>461</v>
      </c>
      <c r="L114" s="32" t="s">
        <v>462</v>
      </c>
      <c r="M114" s="32"/>
      <c r="N114" s="32"/>
      <c r="O114" s="32"/>
      <c r="P114" s="32"/>
    </row>
    <row r="115" spans="1:16" ht="26.4" x14ac:dyDescent="0.3">
      <c r="A115" s="28">
        <v>114</v>
      </c>
      <c r="B115" s="29" t="s">
        <v>463</v>
      </c>
      <c r="C115" s="30" t="str">
        <f>IF(LEN(IF(K115="","",IFERROR(INDEX('Raw lists'!$A$2:$A$192,MATCH(K115,'Raw lists'!$A$2:$A$192,0))&amp;" | ",""))&amp;IF(L115="","",IFERROR(INDEX('Raw lists'!$A$2:$A$192,MATCH(L115,'Raw lists'!$A$2:$A$192,0))&amp;" | ",""))&amp;IF(M115="","",IFERROR(INDEX('Raw lists'!$A$2:$A$192,MATCH(M115,'Raw lists'!$A$2:$A$192,0))&amp;" | ",""))&amp;IF(N115="","",IFERROR(INDEX('Raw lists'!$A$2:$A$192,MATCH(N115,'Raw lists'!$A$2:$A$192,0))&amp;" | ",""))&amp;IF(O115="","",IFERROR(INDEX('Raw lists'!$A$2:$A$192,MATCH(O115,'Raw lists'!$A$2:$A$192,0))&amp;" | ",""))&amp;IF(P115="","",IFERROR(INDEX('Raw lists'!$A$2:$A$192,MATCH(P115,'Raw lists'!$A$2:$A$192,0))&amp;" | ","")))=0,"",LEFT(IF(K115="","",IFERROR(INDEX('Raw lists'!$A$2:$A$192,MATCH(K115,'Raw lists'!$A$2:$A$192,0))&amp;" | ",""))&amp;IF(L115="","",IFERROR(INDEX('Raw lists'!$A$2:$A$192,MATCH(L115,'Raw lists'!$A$2:$A$192,0))&amp;" | ",""))&amp;IF(M115="","",IFERROR(INDEX('Raw lists'!$A$2:$A$192,MATCH(M115,'Raw lists'!$A$2:$A$192,0))&amp;" | ",""))&amp;IF(N115="","",IFERROR(INDEX('Raw lists'!$A$2:$A$192,MATCH(N115,'Raw lists'!$A$2:$A$192,0))&amp;" | ",""))&amp;IF(O115="","",IFERROR(INDEX('Raw lists'!$A$2:$A$192,MATCH(O115,'Raw lists'!$A$2:$A$192,0))&amp;" | ",""))&amp;IF(P115="","",IFERROR(INDEX('Raw lists'!$A$2:$A$192,MATCH(P115,'Raw lists'!$A$2:$A$192,0))&amp;" | ","")),LEN(IF(K115="","",IFERROR(INDEX('Raw lists'!$A$2:$A$192,MATCH(K115,'Raw lists'!$A$2:$A$192,0))&amp;" | ",""))&amp;IF(L115="","",IFERROR(INDEX('Raw lists'!$A$2:$A$192,MATCH(L115,'Raw lists'!$A$2:$A$192,0))&amp;" | ",""))&amp;IF(M115="","",IFERROR(INDEX('Raw lists'!$A$2:$A$192,MATCH(M115,'Raw lists'!$A$2:$A$192,0))&amp;" | ",""))&amp;IF(N115="","",IFERROR(INDEX('Raw lists'!$A$2:$A$192,MATCH(N115,'Raw lists'!$A$2:$A$192,0))&amp;" | ",""))&amp;IF(O115="","",IFERROR(INDEX('Raw lists'!$A$2:$A$192,MATCH(O115,'Raw lists'!$A$2:$A$192,0))&amp;" | ",""))&amp;IF(P115="","",IFERROR(INDEX('Raw lists'!$A$2:$A$192,MATCH(P115,'Raw lists'!$A$2:$A$192,0))&amp;" | ","")))-3))</f>
        <v/>
      </c>
      <c r="D115" s="30" t="str">
        <f>IF(LEN(IF(K115="","",IFERROR(INDEX('Raw lists'!$B$2:$B$627,MATCH(K115,'Raw lists'!$B$2:$B$627,0))&amp;" | ",""))&amp;IF(L115="","",IFERROR(INDEX('Raw lists'!$B$2:$B$627,MATCH(L115,'Raw lists'!$B$2:$B$627,0))&amp;" | ",""))&amp;IF(M115="","",IFERROR(INDEX('Raw lists'!$B$2:$B$627,MATCH(M115,'Raw lists'!$B$2:$B$627,0))&amp;" | ",""))&amp;IF(N115="","",IFERROR(INDEX('Raw lists'!$B$2:$B$627,MATCH(N115,'Raw lists'!$B$2:$B$627,0))&amp;" | ",""))&amp;IF(O115="","",IFERROR(INDEX('Raw lists'!$B$2:$B$627,MATCH(O115,'Raw lists'!$B$2:$B$627,0))&amp;" | ",""))&amp;IF(P115="","",IFERROR(INDEX('Raw lists'!$B$2:$B$627,MATCH(P115,'Raw lists'!$B$2:$B$627,0))&amp;" | ","")))=0,"",LEFT(IF(K115="","",IFERROR(INDEX('Raw lists'!$B$2:$B$627,MATCH(K115,'Raw lists'!$B$2:$B$627,0))&amp;" | ",""))&amp;IF(L115="","",IFERROR(INDEX('Raw lists'!$B$2:$B$627,MATCH(L115,'Raw lists'!$B$2:$B$627,0))&amp;" | ",""))&amp;IF(M115="","",IFERROR(INDEX('Raw lists'!$B$2:$B$627,MATCH(M115,'Raw lists'!$B$2:$B$627,0))&amp;" | ",""))&amp;IF(N115="","",IFERROR(INDEX('Raw lists'!$B$2:$B$627,MATCH(N115,'Raw lists'!$B$2:$B$627,0))&amp;" | ",""))&amp;IF(O115="","",IFERROR(INDEX('Raw lists'!$B$2:$B$627,MATCH(O115,'Raw lists'!$B$2:$B$627,0))&amp;" | ",""))&amp;IF(P115="","",IFERROR(INDEX('Raw lists'!$B$2:$B$627,MATCH(P115,'Raw lists'!$B$2:$B$627,0))&amp;" | ","")),LEN(IF(K115="","",IFERROR(INDEX('Raw lists'!$B$2:$B$627,MATCH(K115,'Raw lists'!$B$2:$B$627,0))&amp;" | ",""))&amp;IF(L115="","",IFERROR(INDEX('Raw lists'!$B$2:$B$627,MATCH(L115,'Raw lists'!$B$2:$B$627,0))&amp;" | ",""))&amp;IF(M115="","",IFERROR(INDEX('Raw lists'!$B$2:$B$627,MATCH(M115,'Raw lists'!$B$2:$B$627,0))&amp;" | ",""))&amp;IF(N115="","",IFERROR(INDEX('Raw lists'!$B$2:$B$627,MATCH(N115,'Raw lists'!$B$2:$B$627,0))&amp;" | ",""))&amp;IF(O115="","",IFERROR(INDEX('Raw lists'!$B$2:$B$627,MATCH(O115,'Raw lists'!$B$2:$B$627,0))&amp;" | ",""))&amp;IF(P115="","",IFERROR(INDEX('Raw lists'!$B$2:$B$627,MATCH(P115,'Raw lists'!$B$2:$B$627,0))&amp;" | ","")))-3))</f>
        <v>Cladding Interface | Cladding Boundary</v>
      </c>
      <c r="E115" s="30" t="str">
        <f>IF(LEN(IF(K115="","",IFERROR(INDEX('Raw lists'!$C$2:$C$616,MATCH(K115,'Raw lists'!$C$2:$C$616,0))&amp;" | ",""))&amp;IF(L115="","",IFERROR(INDEX('Raw lists'!$C$2:$C$616,MATCH(L115,'Raw lists'!$C$2:$C$616,0))&amp;" | ",""))&amp;IF(M115="","",IFERROR(INDEX('Raw lists'!$C$2:$C$616,MATCH(M115,'Raw lists'!$C$2:$C$616,0))&amp;" | ",""))&amp;IF(N115="","",IFERROR(INDEX('Raw lists'!$C$2:$C$616,MATCH(N115,'Raw lists'!$C$2:$C$616,0))&amp;" | ",""))&amp;IF(O115="","",IFERROR(INDEX('Raw lists'!$C$2:$C$616,MATCH(O115,'Raw lists'!$C$2:$C$616,0))&amp;" | ",""))&amp;IF(P115="","",IFERROR(INDEX('Raw lists'!$C$2:$C$616,MATCH(P115,'Raw lists'!$C$2:$C$616,0))&amp;" | ","")))=0,"",LEFT(IF(K115="","",IFERROR(INDEX('Raw lists'!$C$2:$C$616,MATCH(K115,'Raw lists'!$C$2:$C$616,0))&amp;" | ",""))&amp;IF(L115="","",IFERROR(INDEX('Raw lists'!$C$2:$C$616,MATCH(L115,'Raw lists'!$C$2:$C$616,0))&amp;" | ",""))&amp;IF(M115="","",IFERROR(INDEX('Raw lists'!$C$2:$C$616,MATCH(M115,'Raw lists'!$C$2:$C$616,0))&amp;" | ",""))&amp;IF(N115="","",IFERROR(INDEX('Raw lists'!$C$2:$C$616,MATCH(N115,'Raw lists'!$C$2:$C$616,0))&amp;" | ",""))&amp;IF(O115="","",IFERROR(INDEX('Raw lists'!$C$2:$C$616,MATCH(O115,'Raw lists'!$C$2:$C$616,0))&amp;" | ",""))&amp;IF(P115="","",IFERROR(INDEX('Raw lists'!$C$2:$C$616,MATCH(P115,'Raw lists'!$C$2:$C$616,0))&amp;" | ","")),LEN(IF(K115="","",IFERROR(INDEX('Raw lists'!$C$2:$C$616,MATCH(K115,'Raw lists'!$C$2:$C$616,0))&amp;" | ",""))&amp;IF(L115="","",IFERROR(INDEX('Raw lists'!$C$2:$C$616,MATCH(L115,'Raw lists'!$C$2:$C$616,0))&amp;" | ",""))&amp;IF(M115="","",IFERROR(INDEX('Raw lists'!$C$2:$C$616,MATCH(M115,'Raw lists'!$C$2:$C$616,0))&amp;" | ",""))&amp;IF(N115="","",IFERROR(INDEX('Raw lists'!$C$2:$C$616,MATCH(N115,'Raw lists'!$C$2:$C$616,0))&amp;" | ",""))&amp;IF(O115="","",IFERROR(INDEX('Raw lists'!$C$2:$C$616,MATCH(O115,'Raw lists'!$C$2:$C$616,0))&amp;" | ",""))&amp;IF(P115="","",IFERROR(INDEX('Raw lists'!$C$2:$C$616,MATCH(P115,'Raw lists'!$C$2:$C$616,0))&amp;" | ","")))-3))</f>
        <v>Core-cladding Interface</v>
      </c>
      <c r="F115" s="28" t="s">
        <v>17</v>
      </c>
      <c r="G115" s="30" t="s">
        <v>464</v>
      </c>
      <c r="H115" s="28">
        <f t="shared" si="2"/>
        <v>2</v>
      </c>
      <c r="I115" s="31" t="str">
        <f t="shared" si="3"/>
        <v>RAKE + YAKE</v>
      </c>
      <c r="K115" s="32" t="s">
        <v>465</v>
      </c>
      <c r="L115" s="32" t="s">
        <v>466</v>
      </c>
      <c r="M115" s="32" t="s">
        <v>467</v>
      </c>
      <c r="N115" s="32"/>
      <c r="O115" s="32"/>
      <c r="P115" s="32"/>
    </row>
    <row r="116" spans="1:16" ht="26.4" x14ac:dyDescent="0.3">
      <c r="A116" s="28">
        <v>115</v>
      </c>
      <c r="B116" s="29" t="s">
        <v>468</v>
      </c>
      <c r="C116" s="30" t="str">
        <f>IF(LEN(IF(K116="","",IFERROR(INDEX('Raw lists'!$A$2:$A$192,MATCH(K116,'Raw lists'!$A$2:$A$192,0))&amp;" | ",""))&amp;IF(L116="","",IFERROR(INDEX('Raw lists'!$A$2:$A$192,MATCH(L116,'Raw lists'!$A$2:$A$192,0))&amp;" | ",""))&amp;IF(M116="","",IFERROR(INDEX('Raw lists'!$A$2:$A$192,MATCH(M116,'Raw lists'!$A$2:$A$192,0))&amp;" | ",""))&amp;IF(N116="","",IFERROR(INDEX('Raw lists'!$A$2:$A$192,MATCH(N116,'Raw lists'!$A$2:$A$192,0))&amp;" | ",""))&amp;IF(O116="","",IFERROR(INDEX('Raw lists'!$A$2:$A$192,MATCH(O116,'Raw lists'!$A$2:$A$192,0))&amp;" | ",""))&amp;IF(P116="","",IFERROR(INDEX('Raw lists'!$A$2:$A$192,MATCH(P116,'Raw lists'!$A$2:$A$192,0))&amp;" | ","")))=0,"",LEFT(IF(K116="","",IFERROR(INDEX('Raw lists'!$A$2:$A$192,MATCH(K116,'Raw lists'!$A$2:$A$192,0))&amp;" | ",""))&amp;IF(L116="","",IFERROR(INDEX('Raw lists'!$A$2:$A$192,MATCH(L116,'Raw lists'!$A$2:$A$192,0))&amp;" | ",""))&amp;IF(M116="","",IFERROR(INDEX('Raw lists'!$A$2:$A$192,MATCH(M116,'Raw lists'!$A$2:$A$192,0))&amp;" | ",""))&amp;IF(N116="","",IFERROR(INDEX('Raw lists'!$A$2:$A$192,MATCH(N116,'Raw lists'!$A$2:$A$192,0))&amp;" | ",""))&amp;IF(O116="","",IFERROR(INDEX('Raw lists'!$A$2:$A$192,MATCH(O116,'Raw lists'!$A$2:$A$192,0))&amp;" | ",""))&amp;IF(P116="","",IFERROR(INDEX('Raw lists'!$A$2:$A$192,MATCH(P116,'Raw lists'!$A$2:$A$192,0))&amp;" | ","")),LEN(IF(K116="","",IFERROR(INDEX('Raw lists'!$A$2:$A$192,MATCH(K116,'Raw lists'!$A$2:$A$192,0))&amp;" | ",""))&amp;IF(L116="","",IFERROR(INDEX('Raw lists'!$A$2:$A$192,MATCH(L116,'Raw lists'!$A$2:$A$192,0))&amp;" | ",""))&amp;IF(M116="","",IFERROR(INDEX('Raw lists'!$A$2:$A$192,MATCH(M116,'Raw lists'!$A$2:$A$192,0))&amp;" | ",""))&amp;IF(N116="","",IFERROR(INDEX('Raw lists'!$A$2:$A$192,MATCH(N116,'Raw lists'!$A$2:$A$192,0))&amp;" | ",""))&amp;IF(O116="","",IFERROR(INDEX('Raw lists'!$A$2:$A$192,MATCH(O116,'Raw lists'!$A$2:$A$192,0))&amp;" | ",""))&amp;IF(P116="","",IFERROR(INDEX('Raw lists'!$A$2:$A$192,MATCH(P116,'Raw lists'!$A$2:$A$192,0))&amp;" | ","")))-3))</f>
        <v>Acceptance Angle | Acceptance Angle, Acceptance Cone</v>
      </c>
      <c r="D116" s="30" t="str">
        <f>IF(LEN(IF(K116="","",IFERROR(INDEX('Raw lists'!$B$2:$B$627,MATCH(K116,'Raw lists'!$B$2:$B$627,0))&amp;" | ",""))&amp;IF(L116="","",IFERROR(INDEX('Raw lists'!$B$2:$B$627,MATCH(L116,'Raw lists'!$B$2:$B$627,0))&amp;" | ",""))&amp;IF(M116="","",IFERROR(INDEX('Raw lists'!$B$2:$B$627,MATCH(M116,'Raw lists'!$B$2:$B$627,0))&amp;" | ",""))&amp;IF(N116="","",IFERROR(INDEX('Raw lists'!$B$2:$B$627,MATCH(N116,'Raw lists'!$B$2:$B$627,0))&amp;" | ",""))&amp;IF(O116="","",IFERROR(INDEX('Raw lists'!$B$2:$B$627,MATCH(O116,'Raw lists'!$B$2:$B$627,0))&amp;" | ",""))&amp;IF(P116="","",IFERROR(INDEX('Raw lists'!$B$2:$B$627,MATCH(P116,'Raw lists'!$B$2:$B$627,0))&amp;" | ","")))=0,"",LEFT(IF(K116="","",IFERROR(INDEX('Raw lists'!$B$2:$B$627,MATCH(K116,'Raw lists'!$B$2:$B$627,0))&amp;" | ",""))&amp;IF(L116="","",IFERROR(INDEX('Raw lists'!$B$2:$B$627,MATCH(L116,'Raw lists'!$B$2:$B$627,0))&amp;" | ",""))&amp;IF(M116="","",IFERROR(INDEX('Raw lists'!$B$2:$B$627,MATCH(M116,'Raw lists'!$B$2:$B$627,0))&amp;" | ",""))&amp;IF(N116="","",IFERROR(INDEX('Raw lists'!$B$2:$B$627,MATCH(N116,'Raw lists'!$B$2:$B$627,0))&amp;" | ",""))&amp;IF(O116="","",IFERROR(INDEX('Raw lists'!$B$2:$B$627,MATCH(O116,'Raw lists'!$B$2:$B$627,0))&amp;" | ",""))&amp;IF(P116="","",IFERROR(INDEX('Raw lists'!$B$2:$B$627,MATCH(P116,'Raw lists'!$B$2:$B$627,0))&amp;" | ","")),LEN(IF(K116="","",IFERROR(INDEX('Raw lists'!$B$2:$B$627,MATCH(K116,'Raw lists'!$B$2:$B$627,0))&amp;" | ",""))&amp;IF(L116="","",IFERROR(INDEX('Raw lists'!$B$2:$B$627,MATCH(L116,'Raw lists'!$B$2:$B$627,0))&amp;" | ",""))&amp;IF(M116="","",IFERROR(INDEX('Raw lists'!$B$2:$B$627,MATCH(M116,'Raw lists'!$B$2:$B$627,0))&amp;" | ",""))&amp;IF(N116="","",IFERROR(INDEX('Raw lists'!$B$2:$B$627,MATCH(N116,'Raw lists'!$B$2:$B$627,0))&amp;" | ",""))&amp;IF(O116="","",IFERROR(INDEX('Raw lists'!$B$2:$B$627,MATCH(O116,'Raw lists'!$B$2:$B$627,0))&amp;" | ",""))&amp;IF(P116="","",IFERROR(INDEX('Raw lists'!$B$2:$B$627,MATCH(P116,'Raw lists'!$B$2:$B$627,0))&amp;" | ","")))-3))</f>
        <v>Acceptance Angle</v>
      </c>
      <c r="E116" s="30" t="str">
        <f>IF(LEN(IF(K116="","",IFERROR(INDEX('Raw lists'!$C$2:$C$616,MATCH(K116,'Raw lists'!$C$2:$C$616,0))&amp;" | ",""))&amp;IF(L116="","",IFERROR(INDEX('Raw lists'!$C$2:$C$616,MATCH(L116,'Raw lists'!$C$2:$C$616,0))&amp;" | ",""))&amp;IF(M116="","",IFERROR(INDEX('Raw lists'!$C$2:$C$616,MATCH(M116,'Raw lists'!$C$2:$C$616,0))&amp;" | ",""))&amp;IF(N116="","",IFERROR(INDEX('Raw lists'!$C$2:$C$616,MATCH(N116,'Raw lists'!$C$2:$C$616,0))&amp;" | ",""))&amp;IF(O116="","",IFERROR(INDEX('Raw lists'!$C$2:$C$616,MATCH(O116,'Raw lists'!$C$2:$C$616,0))&amp;" | ",""))&amp;IF(P116="","",IFERROR(INDEX('Raw lists'!$C$2:$C$616,MATCH(P116,'Raw lists'!$C$2:$C$616,0))&amp;" | ","")))=0,"",LEFT(IF(K116="","",IFERROR(INDEX('Raw lists'!$C$2:$C$616,MATCH(K116,'Raw lists'!$C$2:$C$616,0))&amp;" | ",""))&amp;IF(L116="","",IFERROR(INDEX('Raw lists'!$C$2:$C$616,MATCH(L116,'Raw lists'!$C$2:$C$616,0))&amp;" | ",""))&amp;IF(M116="","",IFERROR(INDEX('Raw lists'!$C$2:$C$616,MATCH(M116,'Raw lists'!$C$2:$C$616,0))&amp;" | ",""))&amp;IF(N116="","",IFERROR(INDEX('Raw lists'!$C$2:$C$616,MATCH(N116,'Raw lists'!$C$2:$C$616,0))&amp;" | ",""))&amp;IF(O116="","",IFERROR(INDEX('Raw lists'!$C$2:$C$616,MATCH(O116,'Raw lists'!$C$2:$C$616,0))&amp;" | ",""))&amp;IF(P116="","",IFERROR(INDEX('Raw lists'!$C$2:$C$616,MATCH(P116,'Raw lists'!$C$2:$C$616,0))&amp;" | ","")),LEN(IF(K116="","",IFERROR(INDEX('Raw lists'!$C$2:$C$616,MATCH(K116,'Raw lists'!$C$2:$C$616,0))&amp;" | ",""))&amp;IF(L116="","",IFERROR(INDEX('Raw lists'!$C$2:$C$616,MATCH(L116,'Raw lists'!$C$2:$C$616,0))&amp;" | ",""))&amp;IF(M116="","",IFERROR(INDEX('Raw lists'!$C$2:$C$616,MATCH(M116,'Raw lists'!$C$2:$C$616,0))&amp;" | ",""))&amp;IF(N116="","",IFERROR(INDEX('Raw lists'!$C$2:$C$616,MATCH(N116,'Raw lists'!$C$2:$C$616,0))&amp;" | ",""))&amp;IF(O116="","",IFERROR(INDEX('Raw lists'!$C$2:$C$616,MATCH(O116,'Raw lists'!$C$2:$C$616,0))&amp;" | ",""))&amp;IF(P116="","",IFERROR(INDEX('Raw lists'!$C$2:$C$616,MATCH(P116,'Raw lists'!$C$2:$C$616,0))&amp;" | ","")))-3))</f>
        <v>Acceptance Angle | Angle Of Acceptance | Acceptance Angles</v>
      </c>
      <c r="F116" s="28" t="s">
        <v>17</v>
      </c>
      <c r="G116" s="30" t="s">
        <v>469</v>
      </c>
      <c r="H116" s="28">
        <f t="shared" si="2"/>
        <v>3</v>
      </c>
      <c r="I116" s="31" t="str">
        <f t="shared" si="3"/>
        <v>All three</v>
      </c>
      <c r="K116" s="32" t="s">
        <v>470</v>
      </c>
      <c r="L116" s="32" t="s">
        <v>471</v>
      </c>
      <c r="M116" s="32" t="s">
        <v>472</v>
      </c>
      <c r="N116" s="32" t="s">
        <v>473</v>
      </c>
      <c r="O116" s="32"/>
      <c r="P116" s="32"/>
    </row>
    <row r="117" spans="1:16" ht="26.4" x14ac:dyDescent="0.3">
      <c r="A117" s="28">
        <v>116</v>
      </c>
      <c r="B117" s="29" t="s">
        <v>474</v>
      </c>
      <c r="C117" s="30" t="str">
        <f>IF(LEN(IF(K117="","",IFERROR(INDEX('Raw lists'!$A$2:$A$192,MATCH(K117,'Raw lists'!$A$2:$A$192,0))&amp;" | ",""))&amp;IF(L117="","",IFERROR(INDEX('Raw lists'!$A$2:$A$192,MATCH(L117,'Raw lists'!$A$2:$A$192,0))&amp;" | ",""))&amp;IF(M117="","",IFERROR(INDEX('Raw lists'!$A$2:$A$192,MATCH(M117,'Raw lists'!$A$2:$A$192,0))&amp;" | ",""))&amp;IF(N117="","",IFERROR(INDEX('Raw lists'!$A$2:$A$192,MATCH(N117,'Raw lists'!$A$2:$A$192,0))&amp;" | ",""))&amp;IF(O117="","",IFERROR(INDEX('Raw lists'!$A$2:$A$192,MATCH(O117,'Raw lists'!$A$2:$A$192,0))&amp;" | ",""))&amp;IF(P117="","",IFERROR(INDEX('Raw lists'!$A$2:$A$192,MATCH(P117,'Raw lists'!$A$2:$A$192,0))&amp;" | ","")))=0,"",LEFT(IF(K117="","",IFERROR(INDEX('Raw lists'!$A$2:$A$192,MATCH(K117,'Raw lists'!$A$2:$A$192,0))&amp;" | ",""))&amp;IF(L117="","",IFERROR(INDEX('Raw lists'!$A$2:$A$192,MATCH(L117,'Raw lists'!$A$2:$A$192,0))&amp;" | ",""))&amp;IF(M117="","",IFERROR(INDEX('Raw lists'!$A$2:$A$192,MATCH(M117,'Raw lists'!$A$2:$A$192,0))&amp;" | ",""))&amp;IF(N117="","",IFERROR(INDEX('Raw lists'!$A$2:$A$192,MATCH(N117,'Raw lists'!$A$2:$A$192,0))&amp;" | ",""))&amp;IF(O117="","",IFERROR(INDEX('Raw lists'!$A$2:$A$192,MATCH(O117,'Raw lists'!$A$2:$A$192,0))&amp;" | ",""))&amp;IF(P117="","",IFERROR(INDEX('Raw lists'!$A$2:$A$192,MATCH(P117,'Raw lists'!$A$2:$A$192,0))&amp;" | ","")),LEN(IF(K117="","",IFERROR(INDEX('Raw lists'!$A$2:$A$192,MATCH(K117,'Raw lists'!$A$2:$A$192,0))&amp;" | ",""))&amp;IF(L117="","",IFERROR(INDEX('Raw lists'!$A$2:$A$192,MATCH(L117,'Raw lists'!$A$2:$A$192,0))&amp;" | ",""))&amp;IF(M117="","",IFERROR(INDEX('Raw lists'!$A$2:$A$192,MATCH(M117,'Raw lists'!$A$2:$A$192,0))&amp;" | ",""))&amp;IF(N117="","",IFERROR(INDEX('Raw lists'!$A$2:$A$192,MATCH(N117,'Raw lists'!$A$2:$A$192,0))&amp;" | ",""))&amp;IF(O117="","",IFERROR(INDEX('Raw lists'!$A$2:$A$192,MATCH(O117,'Raw lists'!$A$2:$A$192,0))&amp;" | ",""))&amp;IF(P117="","",IFERROR(INDEX('Raw lists'!$A$2:$A$192,MATCH(P117,'Raw lists'!$A$2:$A$192,0))&amp;" | ","")))-3))</f>
        <v>Acceptance Cone | Acceptance Angle, Acceptance Cone</v>
      </c>
      <c r="D117" s="30" t="str">
        <f>IF(LEN(IF(K117="","",IFERROR(INDEX('Raw lists'!$B$2:$B$627,MATCH(K117,'Raw lists'!$B$2:$B$627,0))&amp;" | ",""))&amp;IF(L117="","",IFERROR(INDEX('Raw lists'!$B$2:$B$627,MATCH(L117,'Raw lists'!$B$2:$B$627,0))&amp;" | ",""))&amp;IF(M117="","",IFERROR(INDEX('Raw lists'!$B$2:$B$627,MATCH(M117,'Raw lists'!$B$2:$B$627,0))&amp;" | ",""))&amp;IF(N117="","",IFERROR(INDEX('Raw lists'!$B$2:$B$627,MATCH(N117,'Raw lists'!$B$2:$B$627,0))&amp;" | ",""))&amp;IF(O117="","",IFERROR(INDEX('Raw lists'!$B$2:$B$627,MATCH(O117,'Raw lists'!$B$2:$B$627,0))&amp;" | ",""))&amp;IF(P117="","",IFERROR(INDEX('Raw lists'!$B$2:$B$627,MATCH(P117,'Raw lists'!$B$2:$B$627,0))&amp;" | ","")))=0,"",LEFT(IF(K117="","",IFERROR(INDEX('Raw lists'!$B$2:$B$627,MATCH(K117,'Raw lists'!$B$2:$B$627,0))&amp;" | ",""))&amp;IF(L117="","",IFERROR(INDEX('Raw lists'!$B$2:$B$627,MATCH(L117,'Raw lists'!$B$2:$B$627,0))&amp;" | ",""))&amp;IF(M117="","",IFERROR(INDEX('Raw lists'!$B$2:$B$627,MATCH(M117,'Raw lists'!$B$2:$B$627,0))&amp;" | ",""))&amp;IF(N117="","",IFERROR(INDEX('Raw lists'!$B$2:$B$627,MATCH(N117,'Raw lists'!$B$2:$B$627,0))&amp;" | ",""))&amp;IF(O117="","",IFERROR(INDEX('Raw lists'!$B$2:$B$627,MATCH(O117,'Raw lists'!$B$2:$B$627,0))&amp;" | ",""))&amp;IF(P117="","",IFERROR(INDEX('Raw lists'!$B$2:$B$627,MATCH(P117,'Raw lists'!$B$2:$B$627,0))&amp;" | ","")),LEN(IF(K117="","",IFERROR(INDEX('Raw lists'!$B$2:$B$627,MATCH(K117,'Raw lists'!$B$2:$B$627,0))&amp;" | ",""))&amp;IF(L117="","",IFERROR(INDEX('Raw lists'!$B$2:$B$627,MATCH(L117,'Raw lists'!$B$2:$B$627,0))&amp;" | ",""))&amp;IF(M117="","",IFERROR(INDEX('Raw lists'!$B$2:$B$627,MATCH(M117,'Raw lists'!$B$2:$B$627,0))&amp;" | ",""))&amp;IF(N117="","",IFERROR(INDEX('Raw lists'!$B$2:$B$627,MATCH(N117,'Raw lists'!$B$2:$B$627,0))&amp;" | ",""))&amp;IF(O117="","",IFERROR(INDEX('Raw lists'!$B$2:$B$627,MATCH(O117,'Raw lists'!$B$2:$B$627,0))&amp;" | ",""))&amp;IF(P117="","",IFERROR(INDEX('Raw lists'!$B$2:$B$627,MATCH(P117,'Raw lists'!$B$2:$B$627,0))&amp;" | ","")))-3))</f>
        <v>Acceptance Cone</v>
      </c>
      <c r="E117" s="30" t="str">
        <f>IF(LEN(IF(K117="","",IFERROR(INDEX('Raw lists'!$C$2:$C$616,MATCH(K117,'Raw lists'!$C$2:$C$616,0))&amp;" | ",""))&amp;IF(L117="","",IFERROR(INDEX('Raw lists'!$C$2:$C$616,MATCH(L117,'Raw lists'!$C$2:$C$616,0))&amp;" | ",""))&amp;IF(M117="","",IFERROR(INDEX('Raw lists'!$C$2:$C$616,MATCH(M117,'Raw lists'!$C$2:$C$616,0))&amp;" | ",""))&amp;IF(N117="","",IFERROR(INDEX('Raw lists'!$C$2:$C$616,MATCH(N117,'Raw lists'!$C$2:$C$616,0))&amp;" | ",""))&amp;IF(O117="","",IFERROR(INDEX('Raw lists'!$C$2:$C$616,MATCH(O117,'Raw lists'!$C$2:$C$616,0))&amp;" | ",""))&amp;IF(P117="","",IFERROR(INDEX('Raw lists'!$C$2:$C$616,MATCH(P117,'Raw lists'!$C$2:$C$616,0))&amp;" | ","")))=0,"",LEFT(IF(K117="","",IFERROR(INDEX('Raw lists'!$C$2:$C$616,MATCH(K117,'Raw lists'!$C$2:$C$616,0))&amp;" | ",""))&amp;IF(L117="","",IFERROR(INDEX('Raw lists'!$C$2:$C$616,MATCH(L117,'Raw lists'!$C$2:$C$616,0))&amp;" | ",""))&amp;IF(M117="","",IFERROR(INDEX('Raw lists'!$C$2:$C$616,MATCH(M117,'Raw lists'!$C$2:$C$616,0))&amp;" | ",""))&amp;IF(N117="","",IFERROR(INDEX('Raw lists'!$C$2:$C$616,MATCH(N117,'Raw lists'!$C$2:$C$616,0))&amp;" | ",""))&amp;IF(O117="","",IFERROR(INDEX('Raw lists'!$C$2:$C$616,MATCH(O117,'Raw lists'!$C$2:$C$616,0))&amp;" | ",""))&amp;IF(P117="","",IFERROR(INDEX('Raw lists'!$C$2:$C$616,MATCH(P117,'Raw lists'!$C$2:$C$616,0))&amp;" | ","")),LEN(IF(K117="","",IFERROR(INDEX('Raw lists'!$C$2:$C$616,MATCH(K117,'Raw lists'!$C$2:$C$616,0))&amp;" | ",""))&amp;IF(L117="","",IFERROR(INDEX('Raw lists'!$C$2:$C$616,MATCH(L117,'Raw lists'!$C$2:$C$616,0))&amp;" | ",""))&amp;IF(M117="","",IFERROR(INDEX('Raw lists'!$C$2:$C$616,MATCH(M117,'Raw lists'!$C$2:$C$616,0))&amp;" | ",""))&amp;IF(N117="","",IFERROR(INDEX('Raw lists'!$C$2:$C$616,MATCH(N117,'Raw lists'!$C$2:$C$616,0))&amp;" | ",""))&amp;IF(O117="","",IFERROR(INDEX('Raw lists'!$C$2:$C$616,MATCH(O117,'Raw lists'!$C$2:$C$616,0))&amp;" | ",""))&amp;IF(P117="","",IFERROR(INDEX('Raw lists'!$C$2:$C$616,MATCH(P117,'Raw lists'!$C$2:$C$616,0))&amp;" | ","")))-3))</f>
        <v>Acceptance Cone</v>
      </c>
      <c r="F117" s="28" t="s">
        <v>17</v>
      </c>
      <c r="G117" s="30" t="s">
        <v>475</v>
      </c>
      <c r="H117" s="28">
        <f t="shared" si="2"/>
        <v>3</v>
      </c>
      <c r="I117" s="31" t="str">
        <f t="shared" si="3"/>
        <v>All three</v>
      </c>
      <c r="K117" s="32" t="s">
        <v>476</v>
      </c>
      <c r="L117" s="32" t="s">
        <v>473</v>
      </c>
      <c r="M117" s="32"/>
      <c r="N117" s="32"/>
      <c r="O117" s="32"/>
      <c r="P117" s="32"/>
    </row>
    <row r="118" spans="1:16" x14ac:dyDescent="0.3">
      <c r="A118" s="28">
        <v>117</v>
      </c>
      <c r="B118" s="29" t="s">
        <v>477</v>
      </c>
      <c r="C118" s="30" t="str">
        <f>IF(LEN(IF(K118="","",IFERROR(INDEX('Raw lists'!$A$2:$A$192,MATCH(K118,'Raw lists'!$A$2:$A$192,0))&amp;" | ",""))&amp;IF(L118="","",IFERROR(INDEX('Raw lists'!$A$2:$A$192,MATCH(L118,'Raw lists'!$A$2:$A$192,0))&amp;" | ",""))&amp;IF(M118="","",IFERROR(INDEX('Raw lists'!$A$2:$A$192,MATCH(M118,'Raw lists'!$A$2:$A$192,0))&amp;" | ",""))&amp;IF(N118="","",IFERROR(INDEX('Raw lists'!$A$2:$A$192,MATCH(N118,'Raw lists'!$A$2:$A$192,0))&amp;" | ",""))&amp;IF(O118="","",IFERROR(INDEX('Raw lists'!$A$2:$A$192,MATCH(O118,'Raw lists'!$A$2:$A$192,0))&amp;" | ",""))&amp;IF(P118="","",IFERROR(INDEX('Raw lists'!$A$2:$A$192,MATCH(P118,'Raw lists'!$A$2:$A$192,0))&amp;" | ","")))=0,"",LEFT(IF(K118="","",IFERROR(INDEX('Raw lists'!$A$2:$A$192,MATCH(K118,'Raw lists'!$A$2:$A$192,0))&amp;" | ",""))&amp;IF(L118="","",IFERROR(INDEX('Raw lists'!$A$2:$A$192,MATCH(L118,'Raw lists'!$A$2:$A$192,0))&amp;" | ",""))&amp;IF(M118="","",IFERROR(INDEX('Raw lists'!$A$2:$A$192,MATCH(M118,'Raw lists'!$A$2:$A$192,0))&amp;" | ",""))&amp;IF(N118="","",IFERROR(INDEX('Raw lists'!$A$2:$A$192,MATCH(N118,'Raw lists'!$A$2:$A$192,0))&amp;" | ",""))&amp;IF(O118="","",IFERROR(INDEX('Raw lists'!$A$2:$A$192,MATCH(O118,'Raw lists'!$A$2:$A$192,0))&amp;" | ",""))&amp;IF(P118="","",IFERROR(INDEX('Raw lists'!$A$2:$A$192,MATCH(P118,'Raw lists'!$A$2:$A$192,0))&amp;" | ","")),LEN(IF(K118="","",IFERROR(INDEX('Raw lists'!$A$2:$A$192,MATCH(K118,'Raw lists'!$A$2:$A$192,0))&amp;" | ",""))&amp;IF(L118="","",IFERROR(INDEX('Raw lists'!$A$2:$A$192,MATCH(L118,'Raw lists'!$A$2:$A$192,0))&amp;" | ",""))&amp;IF(M118="","",IFERROR(INDEX('Raw lists'!$A$2:$A$192,MATCH(M118,'Raw lists'!$A$2:$A$192,0))&amp;" | ",""))&amp;IF(N118="","",IFERROR(INDEX('Raw lists'!$A$2:$A$192,MATCH(N118,'Raw lists'!$A$2:$A$192,0))&amp;" | ",""))&amp;IF(O118="","",IFERROR(INDEX('Raw lists'!$A$2:$A$192,MATCH(O118,'Raw lists'!$A$2:$A$192,0))&amp;" | ",""))&amp;IF(P118="","",IFERROR(INDEX('Raw lists'!$A$2:$A$192,MATCH(P118,'Raw lists'!$A$2:$A$192,0))&amp;" | ","")))-3))</f>
        <v>Numerical Aperture</v>
      </c>
      <c r="D118" s="30" t="str">
        <f>IF(LEN(IF(K118="","",IFERROR(INDEX('Raw lists'!$B$2:$B$627,MATCH(K118,'Raw lists'!$B$2:$B$627,0))&amp;" | ",""))&amp;IF(L118="","",IFERROR(INDEX('Raw lists'!$B$2:$B$627,MATCH(L118,'Raw lists'!$B$2:$B$627,0))&amp;" | ",""))&amp;IF(M118="","",IFERROR(INDEX('Raw lists'!$B$2:$B$627,MATCH(M118,'Raw lists'!$B$2:$B$627,0))&amp;" | ",""))&amp;IF(N118="","",IFERROR(INDEX('Raw lists'!$B$2:$B$627,MATCH(N118,'Raw lists'!$B$2:$B$627,0))&amp;" | ",""))&amp;IF(O118="","",IFERROR(INDEX('Raw lists'!$B$2:$B$627,MATCH(O118,'Raw lists'!$B$2:$B$627,0))&amp;" | ",""))&amp;IF(P118="","",IFERROR(INDEX('Raw lists'!$B$2:$B$627,MATCH(P118,'Raw lists'!$B$2:$B$627,0))&amp;" | ","")))=0,"",LEFT(IF(K118="","",IFERROR(INDEX('Raw lists'!$B$2:$B$627,MATCH(K118,'Raw lists'!$B$2:$B$627,0))&amp;" | ",""))&amp;IF(L118="","",IFERROR(INDEX('Raw lists'!$B$2:$B$627,MATCH(L118,'Raw lists'!$B$2:$B$627,0))&amp;" | ",""))&amp;IF(M118="","",IFERROR(INDEX('Raw lists'!$B$2:$B$627,MATCH(M118,'Raw lists'!$B$2:$B$627,0))&amp;" | ",""))&amp;IF(N118="","",IFERROR(INDEX('Raw lists'!$B$2:$B$627,MATCH(N118,'Raw lists'!$B$2:$B$627,0))&amp;" | ",""))&amp;IF(O118="","",IFERROR(INDEX('Raw lists'!$B$2:$B$627,MATCH(O118,'Raw lists'!$B$2:$B$627,0))&amp;" | ",""))&amp;IF(P118="","",IFERROR(INDEX('Raw lists'!$B$2:$B$627,MATCH(P118,'Raw lists'!$B$2:$B$627,0))&amp;" | ","")),LEN(IF(K118="","",IFERROR(INDEX('Raw lists'!$B$2:$B$627,MATCH(K118,'Raw lists'!$B$2:$B$627,0))&amp;" | ",""))&amp;IF(L118="","",IFERROR(INDEX('Raw lists'!$B$2:$B$627,MATCH(L118,'Raw lists'!$B$2:$B$627,0))&amp;" | ",""))&amp;IF(M118="","",IFERROR(INDEX('Raw lists'!$B$2:$B$627,MATCH(M118,'Raw lists'!$B$2:$B$627,0))&amp;" | ",""))&amp;IF(N118="","",IFERROR(INDEX('Raw lists'!$B$2:$B$627,MATCH(N118,'Raw lists'!$B$2:$B$627,0))&amp;" | ",""))&amp;IF(O118="","",IFERROR(INDEX('Raw lists'!$B$2:$B$627,MATCH(O118,'Raw lists'!$B$2:$B$627,0))&amp;" | ",""))&amp;IF(P118="","",IFERROR(INDEX('Raw lists'!$B$2:$B$627,MATCH(P118,'Raw lists'!$B$2:$B$627,0))&amp;" | ","")))-3))</f>
        <v>Numerical Aperture</v>
      </c>
      <c r="E118" s="30" t="str">
        <f>IF(LEN(IF(K118="","",IFERROR(INDEX('Raw lists'!$C$2:$C$616,MATCH(K118,'Raw lists'!$C$2:$C$616,0))&amp;" | ",""))&amp;IF(L118="","",IFERROR(INDEX('Raw lists'!$C$2:$C$616,MATCH(L118,'Raw lists'!$C$2:$C$616,0))&amp;" | ",""))&amp;IF(M118="","",IFERROR(INDEX('Raw lists'!$C$2:$C$616,MATCH(M118,'Raw lists'!$C$2:$C$616,0))&amp;" | ",""))&amp;IF(N118="","",IFERROR(INDEX('Raw lists'!$C$2:$C$616,MATCH(N118,'Raw lists'!$C$2:$C$616,0))&amp;" | ",""))&amp;IF(O118="","",IFERROR(INDEX('Raw lists'!$C$2:$C$616,MATCH(O118,'Raw lists'!$C$2:$C$616,0))&amp;" | ",""))&amp;IF(P118="","",IFERROR(INDEX('Raw lists'!$C$2:$C$616,MATCH(P118,'Raw lists'!$C$2:$C$616,0))&amp;" | ","")))=0,"",LEFT(IF(K118="","",IFERROR(INDEX('Raw lists'!$C$2:$C$616,MATCH(K118,'Raw lists'!$C$2:$C$616,0))&amp;" | ",""))&amp;IF(L118="","",IFERROR(INDEX('Raw lists'!$C$2:$C$616,MATCH(L118,'Raw lists'!$C$2:$C$616,0))&amp;" | ",""))&amp;IF(M118="","",IFERROR(INDEX('Raw lists'!$C$2:$C$616,MATCH(M118,'Raw lists'!$C$2:$C$616,0))&amp;" | ",""))&amp;IF(N118="","",IFERROR(INDEX('Raw lists'!$C$2:$C$616,MATCH(N118,'Raw lists'!$C$2:$C$616,0))&amp;" | ",""))&amp;IF(O118="","",IFERROR(INDEX('Raw lists'!$C$2:$C$616,MATCH(O118,'Raw lists'!$C$2:$C$616,0))&amp;" | ",""))&amp;IF(P118="","",IFERROR(INDEX('Raw lists'!$C$2:$C$616,MATCH(P118,'Raw lists'!$C$2:$C$616,0))&amp;" | ","")),LEN(IF(K118="","",IFERROR(INDEX('Raw lists'!$C$2:$C$616,MATCH(K118,'Raw lists'!$C$2:$C$616,0))&amp;" | ",""))&amp;IF(L118="","",IFERROR(INDEX('Raw lists'!$C$2:$C$616,MATCH(L118,'Raw lists'!$C$2:$C$616,0))&amp;" | ",""))&amp;IF(M118="","",IFERROR(INDEX('Raw lists'!$C$2:$C$616,MATCH(M118,'Raw lists'!$C$2:$C$616,0))&amp;" | ",""))&amp;IF(N118="","",IFERROR(INDEX('Raw lists'!$C$2:$C$616,MATCH(N118,'Raw lists'!$C$2:$C$616,0))&amp;" | ",""))&amp;IF(O118="","",IFERROR(INDEX('Raw lists'!$C$2:$C$616,MATCH(O118,'Raw lists'!$C$2:$C$616,0))&amp;" | ",""))&amp;IF(P118="","",IFERROR(INDEX('Raw lists'!$C$2:$C$616,MATCH(P118,'Raw lists'!$C$2:$C$616,0))&amp;" | ","")))-3))</f>
        <v>Numerical Aperture</v>
      </c>
      <c r="F118" s="28" t="s">
        <v>17</v>
      </c>
      <c r="G118" s="30" t="s">
        <v>478</v>
      </c>
      <c r="H118" s="28">
        <f t="shared" si="2"/>
        <v>3</v>
      </c>
      <c r="I118" s="31" t="str">
        <f t="shared" si="3"/>
        <v>All three</v>
      </c>
      <c r="K118" s="32" t="s">
        <v>479</v>
      </c>
      <c r="L118" s="32"/>
      <c r="M118" s="32"/>
      <c r="N118" s="32"/>
      <c r="O118" s="32"/>
      <c r="P118" s="32"/>
    </row>
    <row r="119" spans="1:16" ht="26.4" x14ac:dyDescent="0.3">
      <c r="A119" s="28">
        <v>118</v>
      </c>
      <c r="B119" s="29" t="s">
        <v>480</v>
      </c>
      <c r="C119" s="30" t="str">
        <f>IF(LEN(IF(K119="","",IFERROR(INDEX('Raw lists'!$A$2:$A$192,MATCH(K119,'Raw lists'!$A$2:$A$192,0))&amp;" | ",""))&amp;IF(L119="","",IFERROR(INDEX('Raw lists'!$A$2:$A$192,MATCH(L119,'Raw lists'!$A$2:$A$192,0))&amp;" | ",""))&amp;IF(M119="","",IFERROR(INDEX('Raw lists'!$A$2:$A$192,MATCH(M119,'Raw lists'!$A$2:$A$192,0))&amp;" | ",""))&amp;IF(N119="","",IFERROR(INDEX('Raw lists'!$A$2:$A$192,MATCH(N119,'Raw lists'!$A$2:$A$192,0))&amp;" | ",""))&amp;IF(O119="","",IFERROR(INDEX('Raw lists'!$A$2:$A$192,MATCH(O119,'Raw lists'!$A$2:$A$192,0))&amp;" | ",""))&amp;IF(P119="","",IFERROR(INDEX('Raw lists'!$A$2:$A$192,MATCH(P119,'Raw lists'!$A$2:$A$192,0))&amp;" | ","")))=0,"",LEFT(IF(K119="","",IFERROR(INDEX('Raw lists'!$A$2:$A$192,MATCH(K119,'Raw lists'!$A$2:$A$192,0))&amp;" | ",""))&amp;IF(L119="","",IFERROR(INDEX('Raw lists'!$A$2:$A$192,MATCH(L119,'Raw lists'!$A$2:$A$192,0))&amp;" | ",""))&amp;IF(M119="","",IFERROR(INDEX('Raw lists'!$A$2:$A$192,MATCH(M119,'Raw lists'!$A$2:$A$192,0))&amp;" | ",""))&amp;IF(N119="","",IFERROR(INDEX('Raw lists'!$A$2:$A$192,MATCH(N119,'Raw lists'!$A$2:$A$192,0))&amp;" | ",""))&amp;IF(O119="","",IFERROR(INDEX('Raw lists'!$A$2:$A$192,MATCH(O119,'Raw lists'!$A$2:$A$192,0))&amp;" | ",""))&amp;IF(P119="","",IFERROR(INDEX('Raw lists'!$A$2:$A$192,MATCH(P119,'Raw lists'!$A$2:$A$192,0))&amp;" | ","")),LEN(IF(K119="","",IFERROR(INDEX('Raw lists'!$A$2:$A$192,MATCH(K119,'Raw lists'!$A$2:$A$192,0))&amp;" | ",""))&amp;IF(L119="","",IFERROR(INDEX('Raw lists'!$A$2:$A$192,MATCH(L119,'Raw lists'!$A$2:$A$192,0))&amp;" | ",""))&amp;IF(M119="","",IFERROR(INDEX('Raw lists'!$A$2:$A$192,MATCH(M119,'Raw lists'!$A$2:$A$192,0))&amp;" | ",""))&amp;IF(N119="","",IFERROR(INDEX('Raw lists'!$A$2:$A$192,MATCH(N119,'Raw lists'!$A$2:$A$192,0))&amp;" | ",""))&amp;IF(O119="","",IFERROR(INDEX('Raw lists'!$A$2:$A$192,MATCH(O119,'Raw lists'!$A$2:$A$192,0))&amp;" | ",""))&amp;IF(P119="","",IFERROR(INDEX('Raw lists'!$A$2:$A$192,MATCH(P119,'Raw lists'!$A$2:$A$192,0))&amp;" | ","")))-3))</f>
        <v/>
      </c>
      <c r="D119" s="30" t="str">
        <f>IF(LEN(IF(K119="","",IFERROR(INDEX('Raw lists'!$B$2:$B$627,MATCH(K119,'Raw lists'!$B$2:$B$627,0))&amp;" | ",""))&amp;IF(L119="","",IFERROR(INDEX('Raw lists'!$B$2:$B$627,MATCH(L119,'Raw lists'!$B$2:$B$627,0))&amp;" | ",""))&amp;IF(M119="","",IFERROR(INDEX('Raw lists'!$B$2:$B$627,MATCH(M119,'Raw lists'!$B$2:$B$627,0))&amp;" | ",""))&amp;IF(N119="","",IFERROR(INDEX('Raw lists'!$B$2:$B$627,MATCH(N119,'Raw lists'!$B$2:$B$627,0))&amp;" | ",""))&amp;IF(O119="","",IFERROR(INDEX('Raw lists'!$B$2:$B$627,MATCH(O119,'Raw lists'!$B$2:$B$627,0))&amp;" | ",""))&amp;IF(P119="","",IFERROR(INDEX('Raw lists'!$B$2:$B$627,MATCH(P119,'Raw lists'!$B$2:$B$627,0))&amp;" | ","")))=0,"",LEFT(IF(K119="","",IFERROR(INDEX('Raw lists'!$B$2:$B$627,MATCH(K119,'Raw lists'!$B$2:$B$627,0))&amp;" | ",""))&amp;IF(L119="","",IFERROR(INDEX('Raw lists'!$B$2:$B$627,MATCH(L119,'Raw lists'!$B$2:$B$627,0))&amp;" | ",""))&amp;IF(M119="","",IFERROR(INDEX('Raw lists'!$B$2:$B$627,MATCH(M119,'Raw lists'!$B$2:$B$627,0))&amp;" | ",""))&amp;IF(N119="","",IFERROR(INDEX('Raw lists'!$B$2:$B$627,MATCH(N119,'Raw lists'!$B$2:$B$627,0))&amp;" | ",""))&amp;IF(O119="","",IFERROR(INDEX('Raw lists'!$B$2:$B$627,MATCH(O119,'Raw lists'!$B$2:$B$627,0))&amp;" | ",""))&amp;IF(P119="","",IFERROR(INDEX('Raw lists'!$B$2:$B$627,MATCH(P119,'Raw lists'!$B$2:$B$627,0))&amp;" | ","")),LEN(IF(K119="","",IFERROR(INDEX('Raw lists'!$B$2:$B$627,MATCH(K119,'Raw lists'!$B$2:$B$627,0))&amp;" | ",""))&amp;IF(L119="","",IFERROR(INDEX('Raw lists'!$B$2:$B$627,MATCH(L119,'Raw lists'!$B$2:$B$627,0))&amp;" | ",""))&amp;IF(M119="","",IFERROR(INDEX('Raw lists'!$B$2:$B$627,MATCH(M119,'Raw lists'!$B$2:$B$627,0))&amp;" | ",""))&amp;IF(N119="","",IFERROR(INDEX('Raw lists'!$B$2:$B$627,MATCH(N119,'Raw lists'!$B$2:$B$627,0))&amp;" | ",""))&amp;IF(O119="","",IFERROR(INDEX('Raw lists'!$B$2:$B$627,MATCH(O119,'Raw lists'!$B$2:$B$627,0))&amp;" | ",""))&amp;IF(P119="","",IFERROR(INDEX('Raw lists'!$B$2:$B$627,MATCH(P119,'Raw lists'!$B$2:$B$627,0))&amp;" | ","")))-3))</f>
        <v>Light Gathering Ability | Gathering Ability</v>
      </c>
      <c r="E119" s="30" t="str">
        <f>IF(LEN(IF(K119="","",IFERROR(INDEX('Raw lists'!$C$2:$C$616,MATCH(K119,'Raw lists'!$C$2:$C$616,0))&amp;" | ",""))&amp;IF(L119="","",IFERROR(INDEX('Raw lists'!$C$2:$C$616,MATCH(L119,'Raw lists'!$C$2:$C$616,0))&amp;" | ",""))&amp;IF(M119="","",IFERROR(INDEX('Raw lists'!$C$2:$C$616,MATCH(M119,'Raw lists'!$C$2:$C$616,0))&amp;" | ",""))&amp;IF(N119="","",IFERROR(INDEX('Raw lists'!$C$2:$C$616,MATCH(N119,'Raw lists'!$C$2:$C$616,0))&amp;" | ",""))&amp;IF(O119="","",IFERROR(INDEX('Raw lists'!$C$2:$C$616,MATCH(O119,'Raw lists'!$C$2:$C$616,0))&amp;" | ",""))&amp;IF(P119="","",IFERROR(INDEX('Raw lists'!$C$2:$C$616,MATCH(P119,'Raw lists'!$C$2:$C$616,0))&amp;" | ","")))=0,"",LEFT(IF(K119="","",IFERROR(INDEX('Raw lists'!$C$2:$C$616,MATCH(K119,'Raw lists'!$C$2:$C$616,0))&amp;" | ",""))&amp;IF(L119="","",IFERROR(INDEX('Raw lists'!$C$2:$C$616,MATCH(L119,'Raw lists'!$C$2:$C$616,0))&amp;" | ",""))&amp;IF(M119="","",IFERROR(INDEX('Raw lists'!$C$2:$C$616,MATCH(M119,'Raw lists'!$C$2:$C$616,0))&amp;" | ",""))&amp;IF(N119="","",IFERROR(INDEX('Raw lists'!$C$2:$C$616,MATCH(N119,'Raw lists'!$C$2:$C$616,0))&amp;" | ",""))&amp;IF(O119="","",IFERROR(INDEX('Raw lists'!$C$2:$C$616,MATCH(O119,'Raw lists'!$C$2:$C$616,0))&amp;" | ",""))&amp;IF(P119="","",IFERROR(INDEX('Raw lists'!$C$2:$C$616,MATCH(P119,'Raw lists'!$C$2:$C$616,0))&amp;" | ","")),LEN(IF(K119="","",IFERROR(INDEX('Raw lists'!$C$2:$C$616,MATCH(K119,'Raw lists'!$C$2:$C$616,0))&amp;" | ",""))&amp;IF(L119="","",IFERROR(INDEX('Raw lists'!$C$2:$C$616,MATCH(L119,'Raw lists'!$C$2:$C$616,0))&amp;" | ",""))&amp;IF(M119="","",IFERROR(INDEX('Raw lists'!$C$2:$C$616,MATCH(M119,'Raw lists'!$C$2:$C$616,0))&amp;" | ",""))&amp;IF(N119="","",IFERROR(INDEX('Raw lists'!$C$2:$C$616,MATCH(N119,'Raw lists'!$C$2:$C$616,0))&amp;" | ",""))&amp;IF(O119="","",IFERROR(INDEX('Raw lists'!$C$2:$C$616,MATCH(O119,'Raw lists'!$C$2:$C$616,0))&amp;" | ",""))&amp;IF(P119="","",IFERROR(INDEX('Raw lists'!$C$2:$C$616,MATCH(P119,'Raw lists'!$C$2:$C$616,0))&amp;" | ","")))-3))</f>
        <v>Light Gathering Ability | Light Gathering Power</v>
      </c>
      <c r="F119" s="28" t="s">
        <v>17</v>
      </c>
      <c r="G119" s="30" t="s">
        <v>481</v>
      </c>
      <c r="H119" s="28">
        <f t="shared" si="2"/>
        <v>2</v>
      </c>
      <c r="I119" s="31" t="str">
        <f t="shared" si="3"/>
        <v>RAKE + YAKE</v>
      </c>
      <c r="K119" s="32" t="s">
        <v>482</v>
      </c>
      <c r="L119" s="32" t="s">
        <v>483</v>
      </c>
      <c r="M119" s="32" t="s">
        <v>484</v>
      </c>
      <c r="N119" s="32"/>
      <c r="O119" s="32"/>
      <c r="P119" s="32"/>
    </row>
    <row r="120" spans="1:16" ht="39.6" x14ac:dyDescent="0.3">
      <c r="A120" s="28">
        <v>119</v>
      </c>
      <c r="B120" s="29" t="s">
        <v>485</v>
      </c>
      <c r="C120" s="30" t="str">
        <f>IF(LEN(IF(K120="","",IFERROR(INDEX('Raw lists'!$A$2:$A$192,MATCH(K120,'Raw lists'!$A$2:$A$192,0))&amp;" | ",""))&amp;IF(L120="","",IFERROR(INDEX('Raw lists'!$A$2:$A$192,MATCH(L120,'Raw lists'!$A$2:$A$192,0))&amp;" | ",""))&amp;IF(M120="","",IFERROR(INDEX('Raw lists'!$A$2:$A$192,MATCH(M120,'Raw lists'!$A$2:$A$192,0))&amp;" | ",""))&amp;IF(N120="","",IFERROR(INDEX('Raw lists'!$A$2:$A$192,MATCH(N120,'Raw lists'!$A$2:$A$192,0))&amp;" | ",""))&amp;IF(O120="","",IFERROR(INDEX('Raw lists'!$A$2:$A$192,MATCH(O120,'Raw lists'!$A$2:$A$192,0))&amp;" | ",""))&amp;IF(P120="","",IFERROR(INDEX('Raw lists'!$A$2:$A$192,MATCH(P120,'Raw lists'!$A$2:$A$192,0))&amp;" | ","")))=0,"",LEFT(IF(K120="","",IFERROR(INDEX('Raw lists'!$A$2:$A$192,MATCH(K120,'Raw lists'!$A$2:$A$192,0))&amp;" | ",""))&amp;IF(L120="","",IFERROR(INDEX('Raw lists'!$A$2:$A$192,MATCH(L120,'Raw lists'!$A$2:$A$192,0))&amp;" | ",""))&amp;IF(M120="","",IFERROR(INDEX('Raw lists'!$A$2:$A$192,MATCH(M120,'Raw lists'!$A$2:$A$192,0))&amp;" | ",""))&amp;IF(N120="","",IFERROR(INDEX('Raw lists'!$A$2:$A$192,MATCH(N120,'Raw lists'!$A$2:$A$192,0))&amp;" | ",""))&amp;IF(O120="","",IFERROR(INDEX('Raw lists'!$A$2:$A$192,MATCH(O120,'Raw lists'!$A$2:$A$192,0))&amp;" | ",""))&amp;IF(P120="","",IFERROR(INDEX('Raw lists'!$A$2:$A$192,MATCH(P120,'Raw lists'!$A$2:$A$192,0))&amp;" | ","")),LEN(IF(K120="","",IFERROR(INDEX('Raw lists'!$A$2:$A$192,MATCH(K120,'Raw lists'!$A$2:$A$192,0))&amp;" | ",""))&amp;IF(L120="","",IFERROR(INDEX('Raw lists'!$A$2:$A$192,MATCH(L120,'Raw lists'!$A$2:$A$192,0))&amp;" | ",""))&amp;IF(M120="","",IFERROR(INDEX('Raw lists'!$A$2:$A$192,MATCH(M120,'Raw lists'!$A$2:$A$192,0))&amp;" | ",""))&amp;IF(N120="","",IFERROR(INDEX('Raw lists'!$A$2:$A$192,MATCH(N120,'Raw lists'!$A$2:$A$192,0))&amp;" | ",""))&amp;IF(O120="","",IFERROR(INDEX('Raw lists'!$A$2:$A$192,MATCH(O120,'Raw lists'!$A$2:$A$192,0))&amp;" | ",""))&amp;IF(P120="","",IFERROR(INDEX('Raw lists'!$A$2:$A$192,MATCH(P120,'Raw lists'!$A$2:$A$192,0))&amp;" | ","")))-3))</f>
        <v/>
      </c>
      <c r="D120" s="30" t="str">
        <f>IF(LEN(IF(K120="","",IFERROR(INDEX('Raw lists'!$B$2:$B$627,MATCH(K120,'Raw lists'!$B$2:$B$627,0))&amp;" | ",""))&amp;IF(L120="","",IFERROR(INDEX('Raw lists'!$B$2:$B$627,MATCH(L120,'Raw lists'!$B$2:$B$627,0))&amp;" | ",""))&amp;IF(M120="","",IFERROR(INDEX('Raw lists'!$B$2:$B$627,MATCH(M120,'Raw lists'!$B$2:$B$627,0))&amp;" | ",""))&amp;IF(N120="","",IFERROR(INDEX('Raw lists'!$B$2:$B$627,MATCH(N120,'Raw lists'!$B$2:$B$627,0))&amp;" | ",""))&amp;IF(O120="","",IFERROR(INDEX('Raw lists'!$B$2:$B$627,MATCH(O120,'Raw lists'!$B$2:$B$627,0))&amp;" | ",""))&amp;IF(P120="","",IFERROR(INDEX('Raw lists'!$B$2:$B$627,MATCH(P120,'Raw lists'!$B$2:$B$627,0))&amp;" | ","")))=0,"",LEFT(IF(K120="","",IFERROR(INDEX('Raw lists'!$B$2:$B$627,MATCH(K120,'Raw lists'!$B$2:$B$627,0))&amp;" | ",""))&amp;IF(L120="","",IFERROR(INDEX('Raw lists'!$B$2:$B$627,MATCH(L120,'Raw lists'!$B$2:$B$627,0))&amp;" | ",""))&amp;IF(M120="","",IFERROR(INDEX('Raw lists'!$B$2:$B$627,MATCH(M120,'Raw lists'!$B$2:$B$627,0))&amp;" | ",""))&amp;IF(N120="","",IFERROR(INDEX('Raw lists'!$B$2:$B$627,MATCH(N120,'Raw lists'!$B$2:$B$627,0))&amp;" | ",""))&amp;IF(O120="","",IFERROR(INDEX('Raw lists'!$B$2:$B$627,MATCH(O120,'Raw lists'!$B$2:$B$627,0))&amp;" | ",""))&amp;IF(P120="","",IFERROR(INDEX('Raw lists'!$B$2:$B$627,MATCH(P120,'Raw lists'!$B$2:$B$627,0))&amp;" | ","")),LEN(IF(K120="","",IFERROR(INDEX('Raw lists'!$B$2:$B$627,MATCH(K120,'Raw lists'!$B$2:$B$627,0))&amp;" | ",""))&amp;IF(L120="","",IFERROR(INDEX('Raw lists'!$B$2:$B$627,MATCH(L120,'Raw lists'!$B$2:$B$627,0))&amp;" | ",""))&amp;IF(M120="","",IFERROR(INDEX('Raw lists'!$B$2:$B$627,MATCH(M120,'Raw lists'!$B$2:$B$627,0))&amp;" | ",""))&amp;IF(N120="","",IFERROR(INDEX('Raw lists'!$B$2:$B$627,MATCH(N120,'Raw lists'!$B$2:$B$627,0))&amp;" | ",""))&amp;IF(O120="","",IFERROR(INDEX('Raw lists'!$B$2:$B$627,MATCH(O120,'Raw lists'!$B$2:$B$627,0))&amp;" | ",""))&amp;IF(P120="","",IFERROR(INDEX('Raw lists'!$B$2:$B$627,MATCH(P120,'Raw lists'!$B$2:$B$627,0))&amp;" | ","")))-3))</f>
        <v>Fractional Refractive Index | Fractional Difference | Relative Refractive Index Difference</v>
      </c>
      <c r="E120" s="30" t="str">
        <f>IF(LEN(IF(K120="","",IFERROR(INDEX('Raw lists'!$C$2:$C$616,MATCH(K120,'Raw lists'!$C$2:$C$616,0))&amp;" | ",""))&amp;IF(L120="","",IFERROR(INDEX('Raw lists'!$C$2:$C$616,MATCH(L120,'Raw lists'!$C$2:$C$616,0))&amp;" | ",""))&amp;IF(M120="","",IFERROR(INDEX('Raw lists'!$C$2:$C$616,MATCH(M120,'Raw lists'!$C$2:$C$616,0))&amp;" | ",""))&amp;IF(N120="","",IFERROR(INDEX('Raw lists'!$C$2:$C$616,MATCH(N120,'Raw lists'!$C$2:$C$616,0))&amp;" | ",""))&amp;IF(O120="","",IFERROR(INDEX('Raw lists'!$C$2:$C$616,MATCH(O120,'Raw lists'!$C$2:$C$616,0))&amp;" | ",""))&amp;IF(P120="","",IFERROR(INDEX('Raw lists'!$C$2:$C$616,MATCH(P120,'Raw lists'!$C$2:$C$616,0))&amp;" | ","")))=0,"",LEFT(IF(K120="","",IFERROR(INDEX('Raw lists'!$C$2:$C$616,MATCH(K120,'Raw lists'!$C$2:$C$616,0))&amp;" | ",""))&amp;IF(L120="","",IFERROR(INDEX('Raw lists'!$C$2:$C$616,MATCH(L120,'Raw lists'!$C$2:$C$616,0))&amp;" | ",""))&amp;IF(M120="","",IFERROR(INDEX('Raw lists'!$C$2:$C$616,MATCH(M120,'Raw lists'!$C$2:$C$616,0))&amp;" | ",""))&amp;IF(N120="","",IFERROR(INDEX('Raw lists'!$C$2:$C$616,MATCH(N120,'Raw lists'!$C$2:$C$616,0))&amp;" | ",""))&amp;IF(O120="","",IFERROR(INDEX('Raw lists'!$C$2:$C$616,MATCH(O120,'Raw lists'!$C$2:$C$616,0))&amp;" | ",""))&amp;IF(P120="","",IFERROR(INDEX('Raw lists'!$C$2:$C$616,MATCH(P120,'Raw lists'!$C$2:$C$616,0))&amp;" | ","")),LEN(IF(K120="","",IFERROR(INDEX('Raw lists'!$C$2:$C$616,MATCH(K120,'Raw lists'!$C$2:$C$616,0))&amp;" | ",""))&amp;IF(L120="","",IFERROR(INDEX('Raw lists'!$C$2:$C$616,MATCH(L120,'Raw lists'!$C$2:$C$616,0))&amp;" | ",""))&amp;IF(M120="","",IFERROR(INDEX('Raw lists'!$C$2:$C$616,MATCH(M120,'Raw lists'!$C$2:$C$616,0))&amp;" | ",""))&amp;IF(N120="","",IFERROR(INDEX('Raw lists'!$C$2:$C$616,MATCH(N120,'Raw lists'!$C$2:$C$616,0))&amp;" | ",""))&amp;IF(O120="","",IFERROR(INDEX('Raw lists'!$C$2:$C$616,MATCH(O120,'Raw lists'!$C$2:$C$616,0))&amp;" | ",""))&amp;IF(P120="","",IFERROR(INDEX('Raw lists'!$C$2:$C$616,MATCH(P120,'Raw lists'!$C$2:$C$616,0))&amp;" | ","")))-3))</f>
        <v/>
      </c>
      <c r="F120" s="28" t="s">
        <v>17</v>
      </c>
      <c r="G120" s="30" t="s">
        <v>486</v>
      </c>
      <c r="H120" s="28">
        <f t="shared" si="2"/>
        <v>1</v>
      </c>
      <c r="I120" s="31" t="str">
        <f t="shared" si="3"/>
        <v>Only RAKE</v>
      </c>
      <c r="K120" s="32" t="s">
        <v>487</v>
      </c>
      <c r="L120" s="32" t="s">
        <v>488</v>
      </c>
      <c r="M120" s="32" t="s">
        <v>489</v>
      </c>
      <c r="N120" s="32"/>
      <c r="O120" s="32"/>
      <c r="P120" s="32"/>
    </row>
    <row r="121" spans="1:16" x14ac:dyDescent="0.3">
      <c r="A121" s="28">
        <v>120</v>
      </c>
      <c r="B121" s="29" t="s">
        <v>490</v>
      </c>
      <c r="C121" s="30" t="str">
        <f>IF(LEN(IF(K121="","",IFERROR(INDEX('Raw lists'!$A$2:$A$192,MATCH(K121,'Raw lists'!$A$2:$A$192,0))&amp;" | ",""))&amp;IF(L121="","",IFERROR(INDEX('Raw lists'!$A$2:$A$192,MATCH(L121,'Raw lists'!$A$2:$A$192,0))&amp;" | ",""))&amp;IF(M121="","",IFERROR(INDEX('Raw lists'!$A$2:$A$192,MATCH(M121,'Raw lists'!$A$2:$A$192,0))&amp;" | ",""))&amp;IF(N121="","",IFERROR(INDEX('Raw lists'!$A$2:$A$192,MATCH(N121,'Raw lists'!$A$2:$A$192,0))&amp;" | ",""))&amp;IF(O121="","",IFERROR(INDEX('Raw lists'!$A$2:$A$192,MATCH(O121,'Raw lists'!$A$2:$A$192,0))&amp;" | ",""))&amp;IF(P121="","",IFERROR(INDEX('Raw lists'!$A$2:$A$192,MATCH(P121,'Raw lists'!$A$2:$A$192,0))&amp;" | ","")))=0,"",LEFT(IF(K121="","",IFERROR(INDEX('Raw lists'!$A$2:$A$192,MATCH(K121,'Raw lists'!$A$2:$A$192,0))&amp;" | ",""))&amp;IF(L121="","",IFERROR(INDEX('Raw lists'!$A$2:$A$192,MATCH(L121,'Raw lists'!$A$2:$A$192,0))&amp;" | ",""))&amp;IF(M121="","",IFERROR(INDEX('Raw lists'!$A$2:$A$192,MATCH(M121,'Raw lists'!$A$2:$A$192,0))&amp;" | ",""))&amp;IF(N121="","",IFERROR(INDEX('Raw lists'!$A$2:$A$192,MATCH(N121,'Raw lists'!$A$2:$A$192,0))&amp;" | ",""))&amp;IF(O121="","",IFERROR(INDEX('Raw lists'!$A$2:$A$192,MATCH(O121,'Raw lists'!$A$2:$A$192,0))&amp;" | ",""))&amp;IF(P121="","",IFERROR(INDEX('Raw lists'!$A$2:$A$192,MATCH(P121,'Raw lists'!$A$2:$A$192,0))&amp;" | ","")),LEN(IF(K121="","",IFERROR(INDEX('Raw lists'!$A$2:$A$192,MATCH(K121,'Raw lists'!$A$2:$A$192,0))&amp;" | ",""))&amp;IF(L121="","",IFERROR(INDEX('Raw lists'!$A$2:$A$192,MATCH(L121,'Raw lists'!$A$2:$A$192,0))&amp;" | ",""))&amp;IF(M121="","",IFERROR(INDEX('Raw lists'!$A$2:$A$192,MATCH(M121,'Raw lists'!$A$2:$A$192,0))&amp;" | ",""))&amp;IF(N121="","",IFERROR(INDEX('Raw lists'!$A$2:$A$192,MATCH(N121,'Raw lists'!$A$2:$A$192,0))&amp;" | ",""))&amp;IF(O121="","",IFERROR(INDEX('Raw lists'!$A$2:$A$192,MATCH(O121,'Raw lists'!$A$2:$A$192,0))&amp;" | ",""))&amp;IF(P121="","",IFERROR(INDEX('Raw lists'!$A$2:$A$192,MATCH(P121,'Raw lists'!$A$2:$A$192,0))&amp;" | ","")))-3))</f>
        <v/>
      </c>
      <c r="D121" s="30" t="str">
        <f>IF(LEN(IF(K121="","",IFERROR(INDEX('Raw lists'!$B$2:$B$627,MATCH(K121,'Raw lists'!$B$2:$B$627,0))&amp;" | ",""))&amp;IF(L121="","",IFERROR(INDEX('Raw lists'!$B$2:$B$627,MATCH(L121,'Raw lists'!$B$2:$B$627,0))&amp;" | ",""))&amp;IF(M121="","",IFERROR(INDEX('Raw lists'!$B$2:$B$627,MATCH(M121,'Raw lists'!$B$2:$B$627,0))&amp;" | ",""))&amp;IF(N121="","",IFERROR(INDEX('Raw lists'!$B$2:$B$627,MATCH(N121,'Raw lists'!$B$2:$B$627,0))&amp;" | ",""))&amp;IF(O121="","",IFERROR(INDEX('Raw lists'!$B$2:$B$627,MATCH(O121,'Raw lists'!$B$2:$B$627,0))&amp;" | ",""))&amp;IF(P121="","",IFERROR(INDEX('Raw lists'!$B$2:$B$627,MATCH(P121,'Raw lists'!$B$2:$B$627,0))&amp;" | ","")))=0,"",LEFT(IF(K121="","",IFERROR(INDEX('Raw lists'!$B$2:$B$627,MATCH(K121,'Raw lists'!$B$2:$B$627,0))&amp;" | ",""))&amp;IF(L121="","",IFERROR(INDEX('Raw lists'!$B$2:$B$627,MATCH(L121,'Raw lists'!$B$2:$B$627,0))&amp;" | ",""))&amp;IF(M121="","",IFERROR(INDEX('Raw lists'!$B$2:$B$627,MATCH(M121,'Raw lists'!$B$2:$B$627,0))&amp;" | ",""))&amp;IF(N121="","",IFERROR(INDEX('Raw lists'!$B$2:$B$627,MATCH(N121,'Raw lists'!$B$2:$B$627,0))&amp;" | ",""))&amp;IF(O121="","",IFERROR(INDEX('Raw lists'!$B$2:$B$627,MATCH(O121,'Raw lists'!$B$2:$B$627,0))&amp;" | ",""))&amp;IF(P121="","",IFERROR(INDEX('Raw lists'!$B$2:$B$627,MATCH(P121,'Raw lists'!$B$2:$B$627,0))&amp;" | ","")),LEN(IF(K121="","",IFERROR(INDEX('Raw lists'!$B$2:$B$627,MATCH(K121,'Raw lists'!$B$2:$B$627,0))&amp;" | ",""))&amp;IF(L121="","",IFERROR(INDEX('Raw lists'!$B$2:$B$627,MATCH(L121,'Raw lists'!$B$2:$B$627,0))&amp;" | ",""))&amp;IF(M121="","",IFERROR(INDEX('Raw lists'!$B$2:$B$627,MATCH(M121,'Raw lists'!$B$2:$B$627,0))&amp;" | ",""))&amp;IF(N121="","",IFERROR(INDEX('Raw lists'!$B$2:$B$627,MATCH(N121,'Raw lists'!$B$2:$B$627,0))&amp;" | ",""))&amp;IF(O121="","",IFERROR(INDEX('Raw lists'!$B$2:$B$627,MATCH(O121,'Raw lists'!$B$2:$B$627,0))&amp;" | ",""))&amp;IF(P121="","",IFERROR(INDEX('Raw lists'!$B$2:$B$627,MATCH(P121,'Raw lists'!$B$2:$B$627,0))&amp;" | ","")))-3))</f>
        <v/>
      </c>
      <c r="E121" s="30" t="str">
        <f>IF(LEN(IF(K121="","",IFERROR(INDEX('Raw lists'!$C$2:$C$616,MATCH(K121,'Raw lists'!$C$2:$C$616,0))&amp;" | ",""))&amp;IF(L121="","",IFERROR(INDEX('Raw lists'!$C$2:$C$616,MATCH(L121,'Raw lists'!$C$2:$C$616,0))&amp;" | ",""))&amp;IF(M121="","",IFERROR(INDEX('Raw lists'!$C$2:$C$616,MATCH(M121,'Raw lists'!$C$2:$C$616,0))&amp;" | ",""))&amp;IF(N121="","",IFERROR(INDEX('Raw lists'!$C$2:$C$616,MATCH(N121,'Raw lists'!$C$2:$C$616,0))&amp;" | ",""))&amp;IF(O121="","",IFERROR(INDEX('Raw lists'!$C$2:$C$616,MATCH(O121,'Raw lists'!$C$2:$C$616,0))&amp;" | ",""))&amp;IF(P121="","",IFERROR(INDEX('Raw lists'!$C$2:$C$616,MATCH(P121,'Raw lists'!$C$2:$C$616,0))&amp;" | ","")))=0,"",LEFT(IF(K121="","",IFERROR(INDEX('Raw lists'!$C$2:$C$616,MATCH(K121,'Raw lists'!$C$2:$C$616,0))&amp;" | ",""))&amp;IF(L121="","",IFERROR(INDEX('Raw lists'!$C$2:$C$616,MATCH(L121,'Raw lists'!$C$2:$C$616,0))&amp;" | ",""))&amp;IF(M121="","",IFERROR(INDEX('Raw lists'!$C$2:$C$616,MATCH(M121,'Raw lists'!$C$2:$C$616,0))&amp;" | ",""))&amp;IF(N121="","",IFERROR(INDEX('Raw lists'!$C$2:$C$616,MATCH(N121,'Raw lists'!$C$2:$C$616,0))&amp;" | ",""))&amp;IF(O121="","",IFERROR(INDEX('Raw lists'!$C$2:$C$616,MATCH(O121,'Raw lists'!$C$2:$C$616,0))&amp;" | ",""))&amp;IF(P121="","",IFERROR(INDEX('Raw lists'!$C$2:$C$616,MATCH(P121,'Raw lists'!$C$2:$C$616,0))&amp;" | ","")),LEN(IF(K121="","",IFERROR(INDEX('Raw lists'!$C$2:$C$616,MATCH(K121,'Raw lists'!$C$2:$C$616,0))&amp;" | ",""))&amp;IF(L121="","",IFERROR(INDEX('Raw lists'!$C$2:$C$616,MATCH(L121,'Raw lists'!$C$2:$C$616,0))&amp;" | ",""))&amp;IF(M121="","",IFERROR(INDEX('Raw lists'!$C$2:$C$616,MATCH(M121,'Raw lists'!$C$2:$C$616,0))&amp;" | ",""))&amp;IF(N121="","",IFERROR(INDEX('Raw lists'!$C$2:$C$616,MATCH(N121,'Raw lists'!$C$2:$C$616,0))&amp;" | ",""))&amp;IF(O121="","",IFERROR(INDEX('Raw lists'!$C$2:$C$616,MATCH(O121,'Raw lists'!$C$2:$C$616,0))&amp;" | ",""))&amp;IF(P121="","",IFERROR(INDEX('Raw lists'!$C$2:$C$616,MATCH(P121,'Raw lists'!$C$2:$C$616,0))&amp;" | ","")))-3))</f>
        <v/>
      </c>
      <c r="F121" s="28" t="s">
        <v>17</v>
      </c>
      <c r="G121" s="30" t="s">
        <v>491</v>
      </c>
      <c r="H121" s="28">
        <f t="shared" si="2"/>
        <v>0</v>
      </c>
      <c r="I121" s="31" t="str">
        <f t="shared" si="3"/>
        <v>None</v>
      </c>
      <c r="K121" s="32" t="s">
        <v>492</v>
      </c>
      <c r="L121" s="32" t="s">
        <v>493</v>
      </c>
      <c r="M121" s="32"/>
      <c r="N121" s="32"/>
      <c r="O121" s="32"/>
      <c r="P121" s="32"/>
    </row>
    <row r="122" spans="1:16" x14ac:dyDescent="0.3">
      <c r="A122" s="28">
        <v>121</v>
      </c>
      <c r="B122" s="29" t="s">
        <v>494</v>
      </c>
      <c r="C122" s="30" t="str">
        <f>IF(LEN(IF(K122="","",IFERROR(INDEX('Raw lists'!$A$2:$A$192,MATCH(K122,'Raw lists'!$A$2:$A$192,0))&amp;" | ",""))&amp;IF(L122="","",IFERROR(INDEX('Raw lists'!$A$2:$A$192,MATCH(L122,'Raw lists'!$A$2:$A$192,0))&amp;" | ",""))&amp;IF(M122="","",IFERROR(INDEX('Raw lists'!$A$2:$A$192,MATCH(M122,'Raw lists'!$A$2:$A$192,0))&amp;" | ",""))&amp;IF(N122="","",IFERROR(INDEX('Raw lists'!$A$2:$A$192,MATCH(N122,'Raw lists'!$A$2:$A$192,0))&amp;" | ",""))&amp;IF(O122="","",IFERROR(INDEX('Raw lists'!$A$2:$A$192,MATCH(O122,'Raw lists'!$A$2:$A$192,0))&amp;" | ",""))&amp;IF(P122="","",IFERROR(INDEX('Raw lists'!$A$2:$A$192,MATCH(P122,'Raw lists'!$A$2:$A$192,0))&amp;" | ","")))=0,"",LEFT(IF(K122="","",IFERROR(INDEX('Raw lists'!$A$2:$A$192,MATCH(K122,'Raw lists'!$A$2:$A$192,0))&amp;" | ",""))&amp;IF(L122="","",IFERROR(INDEX('Raw lists'!$A$2:$A$192,MATCH(L122,'Raw lists'!$A$2:$A$192,0))&amp;" | ",""))&amp;IF(M122="","",IFERROR(INDEX('Raw lists'!$A$2:$A$192,MATCH(M122,'Raw lists'!$A$2:$A$192,0))&amp;" | ",""))&amp;IF(N122="","",IFERROR(INDEX('Raw lists'!$A$2:$A$192,MATCH(N122,'Raw lists'!$A$2:$A$192,0))&amp;" | ",""))&amp;IF(O122="","",IFERROR(INDEX('Raw lists'!$A$2:$A$192,MATCH(O122,'Raw lists'!$A$2:$A$192,0))&amp;" | ",""))&amp;IF(P122="","",IFERROR(INDEX('Raw lists'!$A$2:$A$192,MATCH(P122,'Raw lists'!$A$2:$A$192,0))&amp;" | ","")),LEN(IF(K122="","",IFERROR(INDEX('Raw lists'!$A$2:$A$192,MATCH(K122,'Raw lists'!$A$2:$A$192,0))&amp;" | ",""))&amp;IF(L122="","",IFERROR(INDEX('Raw lists'!$A$2:$A$192,MATCH(L122,'Raw lists'!$A$2:$A$192,0))&amp;" | ",""))&amp;IF(M122="","",IFERROR(INDEX('Raw lists'!$A$2:$A$192,MATCH(M122,'Raw lists'!$A$2:$A$192,0))&amp;" | ",""))&amp;IF(N122="","",IFERROR(INDEX('Raw lists'!$A$2:$A$192,MATCH(N122,'Raw lists'!$A$2:$A$192,0))&amp;" | ",""))&amp;IF(O122="","",IFERROR(INDEX('Raw lists'!$A$2:$A$192,MATCH(O122,'Raw lists'!$A$2:$A$192,0))&amp;" | ",""))&amp;IF(P122="","",IFERROR(INDEX('Raw lists'!$A$2:$A$192,MATCH(P122,'Raw lists'!$A$2:$A$192,0))&amp;" | ","")))-3))</f>
        <v/>
      </c>
      <c r="D122" s="30" t="str">
        <f>IF(LEN(IF(K122="","",IFERROR(INDEX('Raw lists'!$B$2:$B$627,MATCH(K122,'Raw lists'!$B$2:$B$627,0))&amp;" | ",""))&amp;IF(L122="","",IFERROR(INDEX('Raw lists'!$B$2:$B$627,MATCH(L122,'Raw lists'!$B$2:$B$627,0))&amp;" | ",""))&amp;IF(M122="","",IFERROR(INDEX('Raw lists'!$B$2:$B$627,MATCH(M122,'Raw lists'!$B$2:$B$627,0))&amp;" | ",""))&amp;IF(N122="","",IFERROR(INDEX('Raw lists'!$B$2:$B$627,MATCH(N122,'Raw lists'!$B$2:$B$627,0))&amp;" | ",""))&amp;IF(O122="","",IFERROR(INDEX('Raw lists'!$B$2:$B$627,MATCH(O122,'Raw lists'!$B$2:$B$627,0))&amp;" | ",""))&amp;IF(P122="","",IFERROR(INDEX('Raw lists'!$B$2:$B$627,MATCH(P122,'Raw lists'!$B$2:$B$627,0))&amp;" | ","")))=0,"",LEFT(IF(K122="","",IFERROR(INDEX('Raw lists'!$B$2:$B$627,MATCH(K122,'Raw lists'!$B$2:$B$627,0))&amp;" | ",""))&amp;IF(L122="","",IFERROR(INDEX('Raw lists'!$B$2:$B$627,MATCH(L122,'Raw lists'!$B$2:$B$627,0))&amp;" | ",""))&amp;IF(M122="","",IFERROR(INDEX('Raw lists'!$B$2:$B$627,MATCH(M122,'Raw lists'!$B$2:$B$627,0))&amp;" | ",""))&amp;IF(N122="","",IFERROR(INDEX('Raw lists'!$B$2:$B$627,MATCH(N122,'Raw lists'!$B$2:$B$627,0))&amp;" | ",""))&amp;IF(O122="","",IFERROR(INDEX('Raw lists'!$B$2:$B$627,MATCH(O122,'Raw lists'!$B$2:$B$627,0))&amp;" | ",""))&amp;IF(P122="","",IFERROR(INDEX('Raw lists'!$B$2:$B$627,MATCH(P122,'Raw lists'!$B$2:$B$627,0))&amp;" | ","")),LEN(IF(K122="","",IFERROR(INDEX('Raw lists'!$B$2:$B$627,MATCH(K122,'Raw lists'!$B$2:$B$627,0))&amp;" | ",""))&amp;IF(L122="","",IFERROR(INDEX('Raw lists'!$B$2:$B$627,MATCH(L122,'Raw lists'!$B$2:$B$627,0))&amp;" | ",""))&amp;IF(M122="","",IFERROR(INDEX('Raw lists'!$B$2:$B$627,MATCH(M122,'Raw lists'!$B$2:$B$627,0))&amp;" | ",""))&amp;IF(N122="","",IFERROR(INDEX('Raw lists'!$B$2:$B$627,MATCH(N122,'Raw lists'!$B$2:$B$627,0))&amp;" | ",""))&amp;IF(O122="","",IFERROR(INDEX('Raw lists'!$B$2:$B$627,MATCH(O122,'Raw lists'!$B$2:$B$627,0))&amp;" | ",""))&amp;IF(P122="","",IFERROR(INDEX('Raw lists'!$B$2:$B$627,MATCH(P122,'Raw lists'!$B$2:$B$627,0))&amp;" | ","")))-3))</f>
        <v/>
      </c>
      <c r="E122" s="30" t="str">
        <f>IF(LEN(IF(K122="","",IFERROR(INDEX('Raw lists'!$C$2:$C$616,MATCH(K122,'Raw lists'!$C$2:$C$616,0))&amp;" | ",""))&amp;IF(L122="","",IFERROR(INDEX('Raw lists'!$C$2:$C$616,MATCH(L122,'Raw lists'!$C$2:$C$616,0))&amp;" | ",""))&amp;IF(M122="","",IFERROR(INDEX('Raw lists'!$C$2:$C$616,MATCH(M122,'Raw lists'!$C$2:$C$616,0))&amp;" | ",""))&amp;IF(N122="","",IFERROR(INDEX('Raw lists'!$C$2:$C$616,MATCH(N122,'Raw lists'!$C$2:$C$616,0))&amp;" | ",""))&amp;IF(O122="","",IFERROR(INDEX('Raw lists'!$C$2:$C$616,MATCH(O122,'Raw lists'!$C$2:$C$616,0))&amp;" | ",""))&amp;IF(P122="","",IFERROR(INDEX('Raw lists'!$C$2:$C$616,MATCH(P122,'Raw lists'!$C$2:$C$616,0))&amp;" | ","")))=0,"",LEFT(IF(K122="","",IFERROR(INDEX('Raw lists'!$C$2:$C$616,MATCH(K122,'Raw lists'!$C$2:$C$616,0))&amp;" | ",""))&amp;IF(L122="","",IFERROR(INDEX('Raw lists'!$C$2:$C$616,MATCH(L122,'Raw lists'!$C$2:$C$616,0))&amp;" | ",""))&amp;IF(M122="","",IFERROR(INDEX('Raw lists'!$C$2:$C$616,MATCH(M122,'Raw lists'!$C$2:$C$616,0))&amp;" | ",""))&amp;IF(N122="","",IFERROR(INDEX('Raw lists'!$C$2:$C$616,MATCH(N122,'Raw lists'!$C$2:$C$616,0))&amp;" | ",""))&amp;IF(O122="","",IFERROR(INDEX('Raw lists'!$C$2:$C$616,MATCH(O122,'Raw lists'!$C$2:$C$616,0))&amp;" | ",""))&amp;IF(P122="","",IFERROR(INDEX('Raw lists'!$C$2:$C$616,MATCH(P122,'Raw lists'!$C$2:$C$616,0))&amp;" | ","")),LEN(IF(K122="","",IFERROR(INDEX('Raw lists'!$C$2:$C$616,MATCH(K122,'Raw lists'!$C$2:$C$616,0))&amp;" | ",""))&amp;IF(L122="","",IFERROR(INDEX('Raw lists'!$C$2:$C$616,MATCH(L122,'Raw lists'!$C$2:$C$616,0))&amp;" | ",""))&amp;IF(M122="","",IFERROR(INDEX('Raw lists'!$C$2:$C$616,MATCH(M122,'Raw lists'!$C$2:$C$616,0))&amp;" | ",""))&amp;IF(N122="","",IFERROR(INDEX('Raw lists'!$C$2:$C$616,MATCH(N122,'Raw lists'!$C$2:$C$616,0))&amp;" | ",""))&amp;IF(O122="","",IFERROR(INDEX('Raw lists'!$C$2:$C$616,MATCH(O122,'Raw lists'!$C$2:$C$616,0))&amp;" | ",""))&amp;IF(P122="","",IFERROR(INDEX('Raw lists'!$C$2:$C$616,MATCH(P122,'Raw lists'!$C$2:$C$616,0))&amp;" | ","")))-3))</f>
        <v>Plastic Optical Fibers</v>
      </c>
      <c r="F122" s="28" t="s">
        <v>17</v>
      </c>
      <c r="G122" s="30" t="s">
        <v>495</v>
      </c>
      <c r="H122" s="28">
        <f t="shared" si="2"/>
        <v>1</v>
      </c>
      <c r="I122" s="31" t="str">
        <f t="shared" si="3"/>
        <v>Only YAKE</v>
      </c>
      <c r="K122" s="32" t="s">
        <v>496</v>
      </c>
      <c r="L122" s="32" t="s">
        <v>497</v>
      </c>
      <c r="M122" s="32"/>
      <c r="N122" s="32"/>
      <c r="O122" s="32"/>
      <c r="P122" s="32"/>
    </row>
    <row r="123" spans="1:16" x14ac:dyDescent="0.3">
      <c r="A123" s="28">
        <v>122</v>
      </c>
      <c r="B123" s="29" t="s">
        <v>498</v>
      </c>
      <c r="C123" s="30" t="str">
        <f>IF(LEN(IF(K123="","",IFERROR(INDEX('Raw lists'!$A$2:$A$192,MATCH(K123,'Raw lists'!$A$2:$A$192,0))&amp;" | ",""))&amp;IF(L123="","",IFERROR(INDEX('Raw lists'!$A$2:$A$192,MATCH(L123,'Raw lists'!$A$2:$A$192,0))&amp;" | ",""))&amp;IF(M123="","",IFERROR(INDEX('Raw lists'!$A$2:$A$192,MATCH(M123,'Raw lists'!$A$2:$A$192,0))&amp;" | ",""))&amp;IF(N123="","",IFERROR(INDEX('Raw lists'!$A$2:$A$192,MATCH(N123,'Raw lists'!$A$2:$A$192,0))&amp;" | ",""))&amp;IF(O123="","",IFERROR(INDEX('Raw lists'!$A$2:$A$192,MATCH(O123,'Raw lists'!$A$2:$A$192,0))&amp;" | ",""))&amp;IF(P123="","",IFERROR(INDEX('Raw lists'!$A$2:$A$192,MATCH(P123,'Raw lists'!$A$2:$A$192,0))&amp;" | ","")))=0,"",LEFT(IF(K123="","",IFERROR(INDEX('Raw lists'!$A$2:$A$192,MATCH(K123,'Raw lists'!$A$2:$A$192,0))&amp;" | ",""))&amp;IF(L123="","",IFERROR(INDEX('Raw lists'!$A$2:$A$192,MATCH(L123,'Raw lists'!$A$2:$A$192,0))&amp;" | ",""))&amp;IF(M123="","",IFERROR(INDEX('Raw lists'!$A$2:$A$192,MATCH(M123,'Raw lists'!$A$2:$A$192,0))&amp;" | ",""))&amp;IF(N123="","",IFERROR(INDEX('Raw lists'!$A$2:$A$192,MATCH(N123,'Raw lists'!$A$2:$A$192,0))&amp;" | ",""))&amp;IF(O123="","",IFERROR(INDEX('Raw lists'!$A$2:$A$192,MATCH(O123,'Raw lists'!$A$2:$A$192,0))&amp;" | ",""))&amp;IF(P123="","",IFERROR(INDEX('Raw lists'!$A$2:$A$192,MATCH(P123,'Raw lists'!$A$2:$A$192,0))&amp;" | ","")),LEN(IF(K123="","",IFERROR(INDEX('Raw lists'!$A$2:$A$192,MATCH(K123,'Raw lists'!$A$2:$A$192,0))&amp;" | ",""))&amp;IF(L123="","",IFERROR(INDEX('Raw lists'!$A$2:$A$192,MATCH(L123,'Raw lists'!$A$2:$A$192,0))&amp;" | ",""))&amp;IF(M123="","",IFERROR(INDEX('Raw lists'!$A$2:$A$192,MATCH(M123,'Raw lists'!$A$2:$A$192,0))&amp;" | ",""))&amp;IF(N123="","",IFERROR(INDEX('Raw lists'!$A$2:$A$192,MATCH(N123,'Raw lists'!$A$2:$A$192,0))&amp;" | ",""))&amp;IF(O123="","",IFERROR(INDEX('Raw lists'!$A$2:$A$192,MATCH(O123,'Raw lists'!$A$2:$A$192,0))&amp;" | ",""))&amp;IF(P123="","",IFERROR(INDEX('Raw lists'!$A$2:$A$192,MATCH(P123,'Raw lists'!$A$2:$A$192,0))&amp;" | ","")))-3))</f>
        <v/>
      </c>
      <c r="D123" s="30" t="str">
        <f>IF(LEN(IF(K123="","",IFERROR(INDEX('Raw lists'!$B$2:$B$627,MATCH(K123,'Raw lists'!$B$2:$B$627,0))&amp;" | ",""))&amp;IF(L123="","",IFERROR(INDEX('Raw lists'!$B$2:$B$627,MATCH(L123,'Raw lists'!$B$2:$B$627,0))&amp;" | ",""))&amp;IF(M123="","",IFERROR(INDEX('Raw lists'!$B$2:$B$627,MATCH(M123,'Raw lists'!$B$2:$B$627,0))&amp;" | ",""))&amp;IF(N123="","",IFERROR(INDEX('Raw lists'!$B$2:$B$627,MATCH(N123,'Raw lists'!$B$2:$B$627,0))&amp;" | ",""))&amp;IF(O123="","",IFERROR(INDEX('Raw lists'!$B$2:$B$627,MATCH(O123,'Raw lists'!$B$2:$B$627,0))&amp;" | ",""))&amp;IF(P123="","",IFERROR(INDEX('Raw lists'!$B$2:$B$627,MATCH(P123,'Raw lists'!$B$2:$B$627,0))&amp;" | ","")))=0,"",LEFT(IF(K123="","",IFERROR(INDEX('Raw lists'!$B$2:$B$627,MATCH(K123,'Raw lists'!$B$2:$B$627,0))&amp;" | ",""))&amp;IF(L123="","",IFERROR(INDEX('Raw lists'!$B$2:$B$627,MATCH(L123,'Raw lists'!$B$2:$B$627,0))&amp;" | ",""))&amp;IF(M123="","",IFERROR(INDEX('Raw lists'!$B$2:$B$627,MATCH(M123,'Raw lists'!$B$2:$B$627,0))&amp;" | ",""))&amp;IF(N123="","",IFERROR(INDEX('Raw lists'!$B$2:$B$627,MATCH(N123,'Raw lists'!$B$2:$B$627,0))&amp;" | ",""))&amp;IF(O123="","",IFERROR(INDEX('Raw lists'!$B$2:$B$627,MATCH(O123,'Raw lists'!$B$2:$B$627,0))&amp;" | ",""))&amp;IF(P123="","",IFERROR(INDEX('Raw lists'!$B$2:$B$627,MATCH(P123,'Raw lists'!$B$2:$B$627,0))&amp;" | ","")),LEN(IF(K123="","",IFERROR(INDEX('Raw lists'!$B$2:$B$627,MATCH(K123,'Raw lists'!$B$2:$B$627,0))&amp;" | ",""))&amp;IF(L123="","",IFERROR(INDEX('Raw lists'!$B$2:$B$627,MATCH(L123,'Raw lists'!$B$2:$B$627,0))&amp;" | ",""))&amp;IF(M123="","",IFERROR(INDEX('Raw lists'!$B$2:$B$627,MATCH(M123,'Raw lists'!$B$2:$B$627,0))&amp;" | ",""))&amp;IF(N123="","",IFERROR(INDEX('Raw lists'!$B$2:$B$627,MATCH(N123,'Raw lists'!$B$2:$B$627,0))&amp;" | ",""))&amp;IF(O123="","",IFERROR(INDEX('Raw lists'!$B$2:$B$627,MATCH(O123,'Raw lists'!$B$2:$B$627,0))&amp;" | ",""))&amp;IF(P123="","",IFERROR(INDEX('Raw lists'!$B$2:$B$627,MATCH(P123,'Raw lists'!$B$2:$B$627,0))&amp;" | ","")))-3))</f>
        <v>Glass Fibers</v>
      </c>
      <c r="E123" s="30" t="str">
        <f>IF(LEN(IF(K123="","",IFERROR(INDEX('Raw lists'!$C$2:$C$616,MATCH(K123,'Raw lists'!$C$2:$C$616,0))&amp;" | ",""))&amp;IF(L123="","",IFERROR(INDEX('Raw lists'!$C$2:$C$616,MATCH(L123,'Raw lists'!$C$2:$C$616,0))&amp;" | ",""))&amp;IF(M123="","",IFERROR(INDEX('Raw lists'!$C$2:$C$616,MATCH(M123,'Raw lists'!$C$2:$C$616,0))&amp;" | ",""))&amp;IF(N123="","",IFERROR(INDEX('Raw lists'!$C$2:$C$616,MATCH(N123,'Raw lists'!$C$2:$C$616,0))&amp;" | ",""))&amp;IF(O123="","",IFERROR(INDEX('Raw lists'!$C$2:$C$616,MATCH(O123,'Raw lists'!$C$2:$C$616,0))&amp;" | ",""))&amp;IF(P123="","",IFERROR(INDEX('Raw lists'!$C$2:$C$616,MATCH(P123,'Raw lists'!$C$2:$C$616,0))&amp;" | ","")))=0,"",LEFT(IF(K123="","",IFERROR(INDEX('Raw lists'!$C$2:$C$616,MATCH(K123,'Raw lists'!$C$2:$C$616,0))&amp;" | ",""))&amp;IF(L123="","",IFERROR(INDEX('Raw lists'!$C$2:$C$616,MATCH(L123,'Raw lists'!$C$2:$C$616,0))&amp;" | ",""))&amp;IF(M123="","",IFERROR(INDEX('Raw lists'!$C$2:$C$616,MATCH(M123,'Raw lists'!$C$2:$C$616,0))&amp;" | ",""))&amp;IF(N123="","",IFERROR(INDEX('Raw lists'!$C$2:$C$616,MATCH(N123,'Raw lists'!$C$2:$C$616,0))&amp;" | ",""))&amp;IF(O123="","",IFERROR(INDEX('Raw lists'!$C$2:$C$616,MATCH(O123,'Raw lists'!$C$2:$C$616,0))&amp;" | ",""))&amp;IF(P123="","",IFERROR(INDEX('Raw lists'!$C$2:$C$616,MATCH(P123,'Raw lists'!$C$2:$C$616,0))&amp;" | ","")),LEN(IF(K123="","",IFERROR(INDEX('Raw lists'!$C$2:$C$616,MATCH(K123,'Raw lists'!$C$2:$C$616,0))&amp;" | ",""))&amp;IF(L123="","",IFERROR(INDEX('Raw lists'!$C$2:$C$616,MATCH(L123,'Raw lists'!$C$2:$C$616,0))&amp;" | ",""))&amp;IF(M123="","",IFERROR(INDEX('Raw lists'!$C$2:$C$616,MATCH(M123,'Raw lists'!$C$2:$C$616,0))&amp;" | ",""))&amp;IF(N123="","",IFERROR(INDEX('Raw lists'!$C$2:$C$616,MATCH(N123,'Raw lists'!$C$2:$C$616,0))&amp;" | ",""))&amp;IF(O123="","",IFERROR(INDEX('Raw lists'!$C$2:$C$616,MATCH(O123,'Raw lists'!$C$2:$C$616,0))&amp;" | ",""))&amp;IF(P123="","",IFERROR(INDEX('Raw lists'!$C$2:$C$616,MATCH(P123,'Raw lists'!$C$2:$C$616,0))&amp;" | ","")))-3))</f>
        <v>Glass Fibers</v>
      </c>
      <c r="F123" s="28" t="s">
        <v>17</v>
      </c>
      <c r="G123" s="30" t="s">
        <v>499</v>
      </c>
      <c r="H123" s="28">
        <f t="shared" si="2"/>
        <v>2</v>
      </c>
      <c r="I123" s="31" t="str">
        <f t="shared" si="3"/>
        <v>RAKE + YAKE</v>
      </c>
      <c r="K123" s="32" t="s">
        <v>500</v>
      </c>
      <c r="L123" s="32" t="s">
        <v>501</v>
      </c>
      <c r="M123" s="32"/>
      <c r="N123" s="32"/>
      <c r="O123" s="32"/>
      <c r="P123" s="32"/>
    </row>
    <row r="124" spans="1:16" ht="39.6" x14ac:dyDescent="0.3">
      <c r="A124" s="28">
        <v>123</v>
      </c>
      <c r="B124" s="29" t="s">
        <v>502</v>
      </c>
      <c r="C124" s="30" t="str">
        <f>IF(LEN(IF(K124="","",IFERROR(INDEX('Raw lists'!$A$2:$A$192,MATCH(K124,'Raw lists'!$A$2:$A$192,0))&amp;" | ",""))&amp;IF(L124="","",IFERROR(INDEX('Raw lists'!$A$2:$A$192,MATCH(L124,'Raw lists'!$A$2:$A$192,0))&amp;" | ",""))&amp;IF(M124="","",IFERROR(INDEX('Raw lists'!$A$2:$A$192,MATCH(M124,'Raw lists'!$A$2:$A$192,0))&amp;" | ",""))&amp;IF(N124="","",IFERROR(INDEX('Raw lists'!$A$2:$A$192,MATCH(N124,'Raw lists'!$A$2:$A$192,0))&amp;" | ",""))&amp;IF(O124="","",IFERROR(INDEX('Raw lists'!$A$2:$A$192,MATCH(O124,'Raw lists'!$A$2:$A$192,0))&amp;" | ",""))&amp;IF(P124="","",IFERROR(INDEX('Raw lists'!$A$2:$A$192,MATCH(P124,'Raw lists'!$A$2:$A$192,0))&amp;" | ","")))=0,"",LEFT(IF(K124="","",IFERROR(INDEX('Raw lists'!$A$2:$A$192,MATCH(K124,'Raw lists'!$A$2:$A$192,0))&amp;" | ",""))&amp;IF(L124="","",IFERROR(INDEX('Raw lists'!$A$2:$A$192,MATCH(L124,'Raw lists'!$A$2:$A$192,0))&amp;" | ",""))&amp;IF(M124="","",IFERROR(INDEX('Raw lists'!$A$2:$A$192,MATCH(M124,'Raw lists'!$A$2:$A$192,0))&amp;" | ",""))&amp;IF(N124="","",IFERROR(INDEX('Raw lists'!$A$2:$A$192,MATCH(N124,'Raw lists'!$A$2:$A$192,0))&amp;" | ",""))&amp;IF(O124="","",IFERROR(INDEX('Raw lists'!$A$2:$A$192,MATCH(O124,'Raw lists'!$A$2:$A$192,0))&amp;" | ",""))&amp;IF(P124="","",IFERROR(INDEX('Raw lists'!$A$2:$A$192,MATCH(P124,'Raw lists'!$A$2:$A$192,0))&amp;" | ","")),LEN(IF(K124="","",IFERROR(INDEX('Raw lists'!$A$2:$A$192,MATCH(K124,'Raw lists'!$A$2:$A$192,0))&amp;" | ",""))&amp;IF(L124="","",IFERROR(INDEX('Raw lists'!$A$2:$A$192,MATCH(L124,'Raw lists'!$A$2:$A$192,0))&amp;" | ",""))&amp;IF(M124="","",IFERROR(INDEX('Raw lists'!$A$2:$A$192,MATCH(M124,'Raw lists'!$A$2:$A$192,0))&amp;" | ",""))&amp;IF(N124="","",IFERROR(INDEX('Raw lists'!$A$2:$A$192,MATCH(N124,'Raw lists'!$A$2:$A$192,0))&amp;" | ",""))&amp;IF(O124="","",IFERROR(INDEX('Raw lists'!$A$2:$A$192,MATCH(O124,'Raw lists'!$A$2:$A$192,0))&amp;" | ",""))&amp;IF(P124="","",IFERROR(INDEX('Raw lists'!$A$2:$A$192,MATCH(P124,'Raw lists'!$A$2:$A$192,0))&amp;" | ","")))-3))</f>
        <v/>
      </c>
      <c r="D124" s="30" t="str">
        <f>IF(LEN(IF(K124="","",IFERROR(INDEX('Raw lists'!$B$2:$B$627,MATCH(K124,'Raw lists'!$B$2:$B$627,0))&amp;" | ",""))&amp;IF(L124="","",IFERROR(INDEX('Raw lists'!$B$2:$B$627,MATCH(L124,'Raw lists'!$B$2:$B$627,0))&amp;" | ",""))&amp;IF(M124="","",IFERROR(INDEX('Raw lists'!$B$2:$B$627,MATCH(M124,'Raw lists'!$B$2:$B$627,0))&amp;" | ",""))&amp;IF(N124="","",IFERROR(INDEX('Raw lists'!$B$2:$B$627,MATCH(N124,'Raw lists'!$B$2:$B$627,0))&amp;" | ",""))&amp;IF(O124="","",IFERROR(INDEX('Raw lists'!$B$2:$B$627,MATCH(O124,'Raw lists'!$B$2:$B$627,0))&amp;" | ",""))&amp;IF(P124="","",IFERROR(INDEX('Raw lists'!$B$2:$B$627,MATCH(P124,'Raw lists'!$B$2:$B$627,0))&amp;" | ","")))=0,"",LEFT(IF(K124="","",IFERROR(INDEX('Raw lists'!$B$2:$B$627,MATCH(K124,'Raw lists'!$B$2:$B$627,0))&amp;" | ",""))&amp;IF(L124="","",IFERROR(INDEX('Raw lists'!$B$2:$B$627,MATCH(L124,'Raw lists'!$B$2:$B$627,0))&amp;" | ",""))&amp;IF(M124="","",IFERROR(INDEX('Raw lists'!$B$2:$B$627,MATCH(M124,'Raw lists'!$B$2:$B$627,0))&amp;" | ",""))&amp;IF(N124="","",IFERROR(INDEX('Raw lists'!$B$2:$B$627,MATCH(N124,'Raw lists'!$B$2:$B$627,0))&amp;" | ",""))&amp;IF(O124="","",IFERROR(INDEX('Raw lists'!$B$2:$B$627,MATCH(O124,'Raw lists'!$B$2:$B$627,0))&amp;" | ",""))&amp;IF(P124="","",IFERROR(INDEX('Raw lists'!$B$2:$B$627,MATCH(P124,'Raw lists'!$B$2:$B$627,0))&amp;" | ","")),LEN(IF(K124="","",IFERROR(INDEX('Raw lists'!$B$2:$B$627,MATCH(K124,'Raw lists'!$B$2:$B$627,0))&amp;" | ",""))&amp;IF(L124="","",IFERROR(INDEX('Raw lists'!$B$2:$B$627,MATCH(L124,'Raw lists'!$B$2:$B$627,0))&amp;" | ",""))&amp;IF(M124="","",IFERROR(INDEX('Raw lists'!$B$2:$B$627,MATCH(M124,'Raw lists'!$B$2:$B$627,0))&amp;" | ",""))&amp;IF(N124="","",IFERROR(INDEX('Raw lists'!$B$2:$B$627,MATCH(N124,'Raw lists'!$B$2:$B$627,0))&amp;" | ",""))&amp;IF(O124="","",IFERROR(INDEX('Raw lists'!$B$2:$B$627,MATCH(O124,'Raw lists'!$B$2:$B$627,0))&amp;" | ",""))&amp;IF(P124="","",IFERROR(INDEX('Raw lists'!$B$2:$B$627,MATCH(P124,'Raw lists'!$B$2:$B$627,0))&amp;" | ","")))-3))</f>
        <v>Step Index Fiber | Step Index</v>
      </c>
      <c r="E124" s="30" t="str">
        <f>IF(LEN(IF(K124="","",IFERROR(INDEX('Raw lists'!$C$2:$C$616,MATCH(K124,'Raw lists'!$C$2:$C$616,0))&amp;" | ",""))&amp;IF(L124="","",IFERROR(INDEX('Raw lists'!$C$2:$C$616,MATCH(L124,'Raw lists'!$C$2:$C$616,0))&amp;" | ",""))&amp;IF(M124="","",IFERROR(INDEX('Raw lists'!$C$2:$C$616,MATCH(M124,'Raw lists'!$C$2:$C$616,0))&amp;" | ",""))&amp;IF(N124="","",IFERROR(INDEX('Raw lists'!$C$2:$C$616,MATCH(N124,'Raw lists'!$C$2:$C$616,0))&amp;" | ",""))&amp;IF(O124="","",IFERROR(INDEX('Raw lists'!$C$2:$C$616,MATCH(O124,'Raw lists'!$C$2:$C$616,0))&amp;" | ",""))&amp;IF(P124="","",IFERROR(INDEX('Raw lists'!$C$2:$C$616,MATCH(P124,'Raw lists'!$C$2:$C$616,0))&amp;" | ","")))=0,"",LEFT(IF(K124="","",IFERROR(INDEX('Raw lists'!$C$2:$C$616,MATCH(K124,'Raw lists'!$C$2:$C$616,0))&amp;" | ",""))&amp;IF(L124="","",IFERROR(INDEX('Raw lists'!$C$2:$C$616,MATCH(L124,'Raw lists'!$C$2:$C$616,0))&amp;" | ",""))&amp;IF(M124="","",IFERROR(INDEX('Raw lists'!$C$2:$C$616,MATCH(M124,'Raw lists'!$C$2:$C$616,0))&amp;" | ",""))&amp;IF(N124="","",IFERROR(INDEX('Raw lists'!$C$2:$C$616,MATCH(N124,'Raw lists'!$C$2:$C$616,0))&amp;" | ",""))&amp;IF(O124="","",IFERROR(INDEX('Raw lists'!$C$2:$C$616,MATCH(O124,'Raw lists'!$C$2:$C$616,0))&amp;" | ",""))&amp;IF(P124="","",IFERROR(INDEX('Raw lists'!$C$2:$C$616,MATCH(P124,'Raw lists'!$C$2:$C$616,0))&amp;" | ","")),LEN(IF(K124="","",IFERROR(INDEX('Raw lists'!$C$2:$C$616,MATCH(K124,'Raw lists'!$C$2:$C$616,0))&amp;" | ",""))&amp;IF(L124="","",IFERROR(INDEX('Raw lists'!$C$2:$C$616,MATCH(L124,'Raw lists'!$C$2:$C$616,0))&amp;" | ",""))&amp;IF(M124="","",IFERROR(INDEX('Raw lists'!$C$2:$C$616,MATCH(M124,'Raw lists'!$C$2:$C$616,0))&amp;" | ",""))&amp;IF(N124="","",IFERROR(INDEX('Raw lists'!$C$2:$C$616,MATCH(N124,'Raw lists'!$C$2:$C$616,0))&amp;" | ",""))&amp;IF(O124="","",IFERROR(INDEX('Raw lists'!$C$2:$C$616,MATCH(O124,'Raw lists'!$C$2:$C$616,0))&amp;" | ",""))&amp;IF(P124="","",IFERROR(INDEX('Raw lists'!$C$2:$C$616,MATCH(P124,'Raw lists'!$C$2:$C$616,0))&amp;" | ","")))-3))</f>
        <v>Step Index Fiber | Step Index Fibers | Step-index Optical Fiber | Step Index</v>
      </c>
      <c r="F124" s="28" t="s">
        <v>17</v>
      </c>
      <c r="G124" s="30" t="s">
        <v>503</v>
      </c>
      <c r="H124" s="28">
        <f t="shared" si="2"/>
        <v>2</v>
      </c>
      <c r="I124" s="31" t="str">
        <f t="shared" si="3"/>
        <v>RAKE + YAKE</v>
      </c>
      <c r="K124" s="32" t="s">
        <v>504</v>
      </c>
      <c r="L124" s="32" t="s">
        <v>505</v>
      </c>
      <c r="M124" s="32" t="s">
        <v>506</v>
      </c>
      <c r="N124" s="32" t="s">
        <v>507</v>
      </c>
      <c r="O124" s="32" t="s">
        <v>508</v>
      </c>
      <c r="P124" s="32"/>
    </row>
    <row r="125" spans="1:16" ht="26.4" x14ac:dyDescent="0.3">
      <c r="A125" s="28">
        <v>124</v>
      </c>
      <c r="B125" s="29" t="s">
        <v>509</v>
      </c>
      <c r="C125" s="30" t="str">
        <f>IF(LEN(IF(K125="","",IFERROR(INDEX('Raw lists'!$A$2:$A$192,MATCH(K125,'Raw lists'!$A$2:$A$192,0))&amp;" | ",""))&amp;IF(L125="","",IFERROR(INDEX('Raw lists'!$A$2:$A$192,MATCH(L125,'Raw lists'!$A$2:$A$192,0))&amp;" | ",""))&amp;IF(M125="","",IFERROR(INDEX('Raw lists'!$A$2:$A$192,MATCH(M125,'Raw lists'!$A$2:$A$192,0))&amp;" | ",""))&amp;IF(N125="","",IFERROR(INDEX('Raw lists'!$A$2:$A$192,MATCH(N125,'Raw lists'!$A$2:$A$192,0))&amp;" | ",""))&amp;IF(O125="","",IFERROR(INDEX('Raw lists'!$A$2:$A$192,MATCH(O125,'Raw lists'!$A$2:$A$192,0))&amp;" | ",""))&amp;IF(P125="","",IFERROR(INDEX('Raw lists'!$A$2:$A$192,MATCH(P125,'Raw lists'!$A$2:$A$192,0))&amp;" | ","")))=0,"",LEFT(IF(K125="","",IFERROR(INDEX('Raw lists'!$A$2:$A$192,MATCH(K125,'Raw lists'!$A$2:$A$192,0))&amp;" | ",""))&amp;IF(L125="","",IFERROR(INDEX('Raw lists'!$A$2:$A$192,MATCH(L125,'Raw lists'!$A$2:$A$192,0))&amp;" | ",""))&amp;IF(M125="","",IFERROR(INDEX('Raw lists'!$A$2:$A$192,MATCH(M125,'Raw lists'!$A$2:$A$192,0))&amp;" | ",""))&amp;IF(N125="","",IFERROR(INDEX('Raw lists'!$A$2:$A$192,MATCH(N125,'Raw lists'!$A$2:$A$192,0))&amp;" | ",""))&amp;IF(O125="","",IFERROR(INDEX('Raw lists'!$A$2:$A$192,MATCH(O125,'Raw lists'!$A$2:$A$192,0))&amp;" | ",""))&amp;IF(P125="","",IFERROR(INDEX('Raw lists'!$A$2:$A$192,MATCH(P125,'Raw lists'!$A$2:$A$192,0))&amp;" | ","")),LEN(IF(K125="","",IFERROR(INDEX('Raw lists'!$A$2:$A$192,MATCH(K125,'Raw lists'!$A$2:$A$192,0))&amp;" | ",""))&amp;IF(L125="","",IFERROR(INDEX('Raw lists'!$A$2:$A$192,MATCH(L125,'Raw lists'!$A$2:$A$192,0))&amp;" | ",""))&amp;IF(M125="","",IFERROR(INDEX('Raw lists'!$A$2:$A$192,MATCH(M125,'Raw lists'!$A$2:$A$192,0))&amp;" | ",""))&amp;IF(N125="","",IFERROR(INDEX('Raw lists'!$A$2:$A$192,MATCH(N125,'Raw lists'!$A$2:$A$192,0))&amp;" | ",""))&amp;IF(O125="","",IFERROR(INDEX('Raw lists'!$A$2:$A$192,MATCH(O125,'Raw lists'!$A$2:$A$192,0))&amp;" | ",""))&amp;IF(P125="","",IFERROR(INDEX('Raw lists'!$A$2:$A$192,MATCH(P125,'Raw lists'!$A$2:$A$192,0))&amp;" | ","")))-3))</f>
        <v/>
      </c>
      <c r="D125" s="30" t="str">
        <f>IF(LEN(IF(K125="","",IFERROR(INDEX('Raw lists'!$B$2:$B$627,MATCH(K125,'Raw lists'!$B$2:$B$627,0))&amp;" | ",""))&amp;IF(L125="","",IFERROR(INDEX('Raw lists'!$B$2:$B$627,MATCH(L125,'Raw lists'!$B$2:$B$627,0))&amp;" | ",""))&amp;IF(M125="","",IFERROR(INDEX('Raw lists'!$B$2:$B$627,MATCH(M125,'Raw lists'!$B$2:$B$627,0))&amp;" | ",""))&amp;IF(N125="","",IFERROR(INDEX('Raw lists'!$B$2:$B$627,MATCH(N125,'Raw lists'!$B$2:$B$627,0))&amp;" | ",""))&amp;IF(O125="","",IFERROR(INDEX('Raw lists'!$B$2:$B$627,MATCH(O125,'Raw lists'!$B$2:$B$627,0))&amp;" | ",""))&amp;IF(P125="","",IFERROR(INDEX('Raw lists'!$B$2:$B$627,MATCH(P125,'Raw lists'!$B$2:$B$627,0))&amp;" | ","")))=0,"",LEFT(IF(K125="","",IFERROR(INDEX('Raw lists'!$B$2:$B$627,MATCH(K125,'Raw lists'!$B$2:$B$627,0))&amp;" | ",""))&amp;IF(L125="","",IFERROR(INDEX('Raw lists'!$B$2:$B$627,MATCH(L125,'Raw lists'!$B$2:$B$627,0))&amp;" | ",""))&amp;IF(M125="","",IFERROR(INDEX('Raw lists'!$B$2:$B$627,MATCH(M125,'Raw lists'!$B$2:$B$627,0))&amp;" | ",""))&amp;IF(N125="","",IFERROR(INDEX('Raw lists'!$B$2:$B$627,MATCH(N125,'Raw lists'!$B$2:$B$627,0))&amp;" | ",""))&amp;IF(O125="","",IFERROR(INDEX('Raw lists'!$B$2:$B$627,MATCH(O125,'Raw lists'!$B$2:$B$627,0))&amp;" | ",""))&amp;IF(P125="","",IFERROR(INDEX('Raw lists'!$B$2:$B$627,MATCH(P125,'Raw lists'!$B$2:$B$627,0))&amp;" | ","")),LEN(IF(K125="","",IFERROR(INDEX('Raw lists'!$B$2:$B$627,MATCH(K125,'Raw lists'!$B$2:$B$627,0))&amp;" | ",""))&amp;IF(L125="","",IFERROR(INDEX('Raw lists'!$B$2:$B$627,MATCH(L125,'Raw lists'!$B$2:$B$627,0))&amp;" | ",""))&amp;IF(M125="","",IFERROR(INDEX('Raw lists'!$B$2:$B$627,MATCH(M125,'Raw lists'!$B$2:$B$627,0))&amp;" | ",""))&amp;IF(N125="","",IFERROR(INDEX('Raw lists'!$B$2:$B$627,MATCH(N125,'Raw lists'!$B$2:$B$627,0))&amp;" | ",""))&amp;IF(O125="","",IFERROR(INDEX('Raw lists'!$B$2:$B$627,MATCH(O125,'Raw lists'!$B$2:$B$627,0))&amp;" | ",""))&amp;IF(P125="","",IFERROR(INDEX('Raw lists'!$B$2:$B$627,MATCH(P125,'Raw lists'!$B$2:$B$627,0))&amp;" | ","")))-3))</f>
        <v>Graded Index Fiber</v>
      </c>
      <c r="E125" s="30" t="str">
        <f>IF(LEN(IF(K125="","",IFERROR(INDEX('Raw lists'!$C$2:$C$616,MATCH(K125,'Raw lists'!$C$2:$C$616,0))&amp;" | ",""))&amp;IF(L125="","",IFERROR(INDEX('Raw lists'!$C$2:$C$616,MATCH(L125,'Raw lists'!$C$2:$C$616,0))&amp;" | ",""))&amp;IF(M125="","",IFERROR(INDEX('Raw lists'!$C$2:$C$616,MATCH(M125,'Raw lists'!$C$2:$C$616,0))&amp;" | ",""))&amp;IF(N125="","",IFERROR(INDEX('Raw lists'!$C$2:$C$616,MATCH(N125,'Raw lists'!$C$2:$C$616,0))&amp;" | ",""))&amp;IF(O125="","",IFERROR(INDEX('Raw lists'!$C$2:$C$616,MATCH(O125,'Raw lists'!$C$2:$C$616,0))&amp;" | ",""))&amp;IF(P125="","",IFERROR(INDEX('Raw lists'!$C$2:$C$616,MATCH(P125,'Raw lists'!$C$2:$C$616,0))&amp;" | ","")))=0,"",LEFT(IF(K125="","",IFERROR(INDEX('Raw lists'!$C$2:$C$616,MATCH(K125,'Raw lists'!$C$2:$C$616,0))&amp;" | ",""))&amp;IF(L125="","",IFERROR(INDEX('Raw lists'!$C$2:$C$616,MATCH(L125,'Raw lists'!$C$2:$C$616,0))&amp;" | ",""))&amp;IF(M125="","",IFERROR(INDEX('Raw lists'!$C$2:$C$616,MATCH(M125,'Raw lists'!$C$2:$C$616,0))&amp;" | ",""))&amp;IF(N125="","",IFERROR(INDEX('Raw lists'!$C$2:$C$616,MATCH(N125,'Raw lists'!$C$2:$C$616,0))&amp;" | ",""))&amp;IF(O125="","",IFERROR(INDEX('Raw lists'!$C$2:$C$616,MATCH(O125,'Raw lists'!$C$2:$C$616,0))&amp;" | ",""))&amp;IF(P125="","",IFERROR(INDEX('Raw lists'!$C$2:$C$616,MATCH(P125,'Raw lists'!$C$2:$C$616,0))&amp;" | ","")),LEN(IF(K125="","",IFERROR(INDEX('Raw lists'!$C$2:$C$616,MATCH(K125,'Raw lists'!$C$2:$C$616,0))&amp;" | ",""))&amp;IF(L125="","",IFERROR(INDEX('Raw lists'!$C$2:$C$616,MATCH(L125,'Raw lists'!$C$2:$C$616,0))&amp;" | ",""))&amp;IF(M125="","",IFERROR(INDEX('Raw lists'!$C$2:$C$616,MATCH(M125,'Raw lists'!$C$2:$C$616,0))&amp;" | ",""))&amp;IF(N125="","",IFERROR(INDEX('Raw lists'!$C$2:$C$616,MATCH(N125,'Raw lists'!$C$2:$C$616,0))&amp;" | ",""))&amp;IF(O125="","",IFERROR(INDEX('Raw lists'!$C$2:$C$616,MATCH(O125,'Raw lists'!$C$2:$C$616,0))&amp;" | ",""))&amp;IF(P125="","",IFERROR(INDEX('Raw lists'!$C$2:$C$616,MATCH(P125,'Raw lists'!$C$2:$C$616,0))&amp;" | ","")))-3))</f>
        <v>Graded Index Fiber | Graded Index Fibers | Graded Index</v>
      </c>
      <c r="F125" s="28" t="s">
        <v>17</v>
      </c>
      <c r="G125" s="30" t="s">
        <v>510</v>
      </c>
      <c r="H125" s="28">
        <f t="shared" si="2"/>
        <v>2</v>
      </c>
      <c r="I125" s="31" t="str">
        <f t="shared" si="3"/>
        <v>RAKE + YAKE</v>
      </c>
      <c r="K125" s="32" t="s">
        <v>511</v>
      </c>
      <c r="L125" s="32" t="s">
        <v>512</v>
      </c>
      <c r="M125" s="32" t="s">
        <v>513</v>
      </c>
      <c r="N125" s="32" t="s">
        <v>514</v>
      </c>
      <c r="O125" s="32" t="s">
        <v>515</v>
      </c>
      <c r="P125" s="32"/>
    </row>
    <row r="126" spans="1:16" ht="26.4" x14ac:dyDescent="0.3">
      <c r="A126" s="28">
        <v>125</v>
      </c>
      <c r="B126" s="29" t="s">
        <v>516</v>
      </c>
      <c r="C126" s="30" t="str">
        <f>IF(LEN(IF(K126="","",IFERROR(INDEX('Raw lists'!$A$2:$A$192,MATCH(K126,'Raw lists'!$A$2:$A$192,0))&amp;" | ",""))&amp;IF(L126="","",IFERROR(INDEX('Raw lists'!$A$2:$A$192,MATCH(L126,'Raw lists'!$A$2:$A$192,0))&amp;" | ",""))&amp;IF(M126="","",IFERROR(INDEX('Raw lists'!$A$2:$A$192,MATCH(M126,'Raw lists'!$A$2:$A$192,0))&amp;" | ",""))&amp;IF(N126="","",IFERROR(INDEX('Raw lists'!$A$2:$A$192,MATCH(N126,'Raw lists'!$A$2:$A$192,0))&amp;" | ",""))&amp;IF(O126="","",IFERROR(INDEX('Raw lists'!$A$2:$A$192,MATCH(O126,'Raw lists'!$A$2:$A$192,0))&amp;" | ",""))&amp;IF(P126="","",IFERROR(INDEX('Raw lists'!$A$2:$A$192,MATCH(P126,'Raw lists'!$A$2:$A$192,0))&amp;" | ","")))=0,"",LEFT(IF(K126="","",IFERROR(INDEX('Raw lists'!$A$2:$A$192,MATCH(K126,'Raw lists'!$A$2:$A$192,0))&amp;" | ",""))&amp;IF(L126="","",IFERROR(INDEX('Raw lists'!$A$2:$A$192,MATCH(L126,'Raw lists'!$A$2:$A$192,0))&amp;" | ",""))&amp;IF(M126="","",IFERROR(INDEX('Raw lists'!$A$2:$A$192,MATCH(M126,'Raw lists'!$A$2:$A$192,0))&amp;" | ",""))&amp;IF(N126="","",IFERROR(INDEX('Raw lists'!$A$2:$A$192,MATCH(N126,'Raw lists'!$A$2:$A$192,0))&amp;" | ",""))&amp;IF(O126="","",IFERROR(INDEX('Raw lists'!$A$2:$A$192,MATCH(O126,'Raw lists'!$A$2:$A$192,0))&amp;" | ",""))&amp;IF(P126="","",IFERROR(INDEX('Raw lists'!$A$2:$A$192,MATCH(P126,'Raw lists'!$A$2:$A$192,0))&amp;" | ","")),LEN(IF(K126="","",IFERROR(INDEX('Raw lists'!$A$2:$A$192,MATCH(K126,'Raw lists'!$A$2:$A$192,0))&amp;" | ",""))&amp;IF(L126="","",IFERROR(INDEX('Raw lists'!$A$2:$A$192,MATCH(L126,'Raw lists'!$A$2:$A$192,0))&amp;" | ",""))&amp;IF(M126="","",IFERROR(INDEX('Raw lists'!$A$2:$A$192,MATCH(M126,'Raw lists'!$A$2:$A$192,0))&amp;" | ",""))&amp;IF(N126="","",IFERROR(INDEX('Raw lists'!$A$2:$A$192,MATCH(N126,'Raw lists'!$A$2:$A$192,0))&amp;" | ",""))&amp;IF(O126="","",IFERROR(INDEX('Raw lists'!$A$2:$A$192,MATCH(O126,'Raw lists'!$A$2:$A$192,0))&amp;" | ",""))&amp;IF(P126="","",IFERROR(INDEX('Raw lists'!$A$2:$A$192,MATCH(P126,'Raw lists'!$A$2:$A$192,0))&amp;" | ","")))-3))</f>
        <v/>
      </c>
      <c r="D126" s="30" t="str">
        <f>IF(LEN(IF(K126="","",IFERROR(INDEX('Raw lists'!$B$2:$B$627,MATCH(K126,'Raw lists'!$B$2:$B$627,0))&amp;" | ",""))&amp;IF(L126="","",IFERROR(INDEX('Raw lists'!$B$2:$B$627,MATCH(L126,'Raw lists'!$B$2:$B$627,0))&amp;" | ",""))&amp;IF(M126="","",IFERROR(INDEX('Raw lists'!$B$2:$B$627,MATCH(M126,'Raw lists'!$B$2:$B$627,0))&amp;" | ",""))&amp;IF(N126="","",IFERROR(INDEX('Raw lists'!$B$2:$B$627,MATCH(N126,'Raw lists'!$B$2:$B$627,0))&amp;" | ",""))&amp;IF(O126="","",IFERROR(INDEX('Raw lists'!$B$2:$B$627,MATCH(O126,'Raw lists'!$B$2:$B$627,0))&amp;" | ",""))&amp;IF(P126="","",IFERROR(INDEX('Raw lists'!$B$2:$B$627,MATCH(P126,'Raw lists'!$B$2:$B$627,0))&amp;" | ","")))=0,"",LEFT(IF(K126="","",IFERROR(INDEX('Raw lists'!$B$2:$B$627,MATCH(K126,'Raw lists'!$B$2:$B$627,0))&amp;" | ",""))&amp;IF(L126="","",IFERROR(INDEX('Raw lists'!$B$2:$B$627,MATCH(L126,'Raw lists'!$B$2:$B$627,0))&amp;" | ",""))&amp;IF(M126="","",IFERROR(INDEX('Raw lists'!$B$2:$B$627,MATCH(M126,'Raw lists'!$B$2:$B$627,0))&amp;" | ",""))&amp;IF(N126="","",IFERROR(INDEX('Raw lists'!$B$2:$B$627,MATCH(N126,'Raw lists'!$B$2:$B$627,0))&amp;" | ",""))&amp;IF(O126="","",IFERROR(INDEX('Raw lists'!$B$2:$B$627,MATCH(O126,'Raw lists'!$B$2:$B$627,0))&amp;" | ",""))&amp;IF(P126="","",IFERROR(INDEX('Raw lists'!$B$2:$B$627,MATCH(P126,'Raw lists'!$B$2:$B$627,0))&amp;" | ","")),LEN(IF(K126="","",IFERROR(INDEX('Raw lists'!$B$2:$B$627,MATCH(K126,'Raw lists'!$B$2:$B$627,0))&amp;" | ",""))&amp;IF(L126="","",IFERROR(INDEX('Raw lists'!$B$2:$B$627,MATCH(L126,'Raw lists'!$B$2:$B$627,0))&amp;" | ",""))&amp;IF(M126="","",IFERROR(INDEX('Raw lists'!$B$2:$B$627,MATCH(M126,'Raw lists'!$B$2:$B$627,0))&amp;" | ",""))&amp;IF(N126="","",IFERROR(INDEX('Raw lists'!$B$2:$B$627,MATCH(N126,'Raw lists'!$B$2:$B$627,0))&amp;" | ",""))&amp;IF(O126="","",IFERROR(INDEX('Raw lists'!$B$2:$B$627,MATCH(O126,'Raw lists'!$B$2:$B$627,0))&amp;" | ",""))&amp;IF(P126="","",IFERROR(INDEX('Raw lists'!$B$2:$B$627,MATCH(P126,'Raw lists'!$B$2:$B$627,0))&amp;" | ","")))-3))</f>
        <v/>
      </c>
      <c r="E126" s="30" t="str">
        <f>IF(LEN(IF(K126="","",IFERROR(INDEX('Raw lists'!$C$2:$C$616,MATCH(K126,'Raw lists'!$C$2:$C$616,0))&amp;" | ",""))&amp;IF(L126="","",IFERROR(INDEX('Raw lists'!$C$2:$C$616,MATCH(L126,'Raw lists'!$C$2:$C$616,0))&amp;" | ",""))&amp;IF(M126="","",IFERROR(INDEX('Raw lists'!$C$2:$C$616,MATCH(M126,'Raw lists'!$C$2:$C$616,0))&amp;" | ",""))&amp;IF(N126="","",IFERROR(INDEX('Raw lists'!$C$2:$C$616,MATCH(N126,'Raw lists'!$C$2:$C$616,0))&amp;" | ",""))&amp;IF(O126="","",IFERROR(INDEX('Raw lists'!$C$2:$C$616,MATCH(O126,'Raw lists'!$C$2:$C$616,0))&amp;" | ",""))&amp;IF(P126="","",IFERROR(INDEX('Raw lists'!$C$2:$C$616,MATCH(P126,'Raw lists'!$C$2:$C$616,0))&amp;" | ","")))=0,"",LEFT(IF(K126="","",IFERROR(INDEX('Raw lists'!$C$2:$C$616,MATCH(K126,'Raw lists'!$C$2:$C$616,0))&amp;" | ",""))&amp;IF(L126="","",IFERROR(INDEX('Raw lists'!$C$2:$C$616,MATCH(L126,'Raw lists'!$C$2:$C$616,0))&amp;" | ",""))&amp;IF(M126="","",IFERROR(INDEX('Raw lists'!$C$2:$C$616,MATCH(M126,'Raw lists'!$C$2:$C$616,0))&amp;" | ",""))&amp;IF(N126="","",IFERROR(INDEX('Raw lists'!$C$2:$C$616,MATCH(N126,'Raw lists'!$C$2:$C$616,0))&amp;" | ",""))&amp;IF(O126="","",IFERROR(INDEX('Raw lists'!$C$2:$C$616,MATCH(O126,'Raw lists'!$C$2:$C$616,0))&amp;" | ",""))&amp;IF(P126="","",IFERROR(INDEX('Raw lists'!$C$2:$C$616,MATCH(P126,'Raw lists'!$C$2:$C$616,0))&amp;" | ","")),LEN(IF(K126="","",IFERROR(INDEX('Raw lists'!$C$2:$C$616,MATCH(K126,'Raw lists'!$C$2:$C$616,0))&amp;" | ",""))&amp;IF(L126="","",IFERROR(INDEX('Raw lists'!$C$2:$C$616,MATCH(L126,'Raw lists'!$C$2:$C$616,0))&amp;" | ",""))&amp;IF(M126="","",IFERROR(INDEX('Raw lists'!$C$2:$C$616,MATCH(M126,'Raw lists'!$C$2:$C$616,0))&amp;" | ",""))&amp;IF(N126="","",IFERROR(INDEX('Raw lists'!$C$2:$C$616,MATCH(N126,'Raw lists'!$C$2:$C$616,0))&amp;" | ",""))&amp;IF(O126="","",IFERROR(INDEX('Raw lists'!$C$2:$C$616,MATCH(O126,'Raw lists'!$C$2:$C$616,0))&amp;" | ",""))&amp;IF(P126="","",IFERROR(INDEX('Raw lists'!$C$2:$C$616,MATCH(P126,'Raw lists'!$C$2:$C$616,0))&amp;" | ","")))-3))</f>
        <v>Single-mode Fiber | Single-mode</v>
      </c>
      <c r="F126" s="28" t="s">
        <v>17</v>
      </c>
      <c r="G126" s="30" t="s">
        <v>517</v>
      </c>
      <c r="H126" s="28">
        <f t="shared" si="2"/>
        <v>1</v>
      </c>
      <c r="I126" s="31" t="str">
        <f t="shared" si="3"/>
        <v>Only YAKE</v>
      </c>
      <c r="K126" s="32" t="s">
        <v>518</v>
      </c>
      <c r="L126" s="32" t="s">
        <v>519</v>
      </c>
      <c r="M126" s="32" t="s">
        <v>520</v>
      </c>
      <c r="N126" s="32" t="s">
        <v>521</v>
      </c>
      <c r="O126" s="32"/>
      <c r="P126" s="32"/>
    </row>
    <row r="127" spans="1:16" x14ac:dyDescent="0.3">
      <c r="A127" s="28">
        <v>126</v>
      </c>
      <c r="B127" s="29" t="s">
        <v>522</v>
      </c>
      <c r="C127" s="30" t="str">
        <f>IF(LEN(IF(K127="","",IFERROR(INDEX('Raw lists'!$A$2:$A$192,MATCH(K127,'Raw lists'!$A$2:$A$192,0))&amp;" | ",""))&amp;IF(L127="","",IFERROR(INDEX('Raw lists'!$A$2:$A$192,MATCH(L127,'Raw lists'!$A$2:$A$192,0))&amp;" | ",""))&amp;IF(M127="","",IFERROR(INDEX('Raw lists'!$A$2:$A$192,MATCH(M127,'Raw lists'!$A$2:$A$192,0))&amp;" | ",""))&amp;IF(N127="","",IFERROR(INDEX('Raw lists'!$A$2:$A$192,MATCH(N127,'Raw lists'!$A$2:$A$192,0))&amp;" | ",""))&amp;IF(O127="","",IFERROR(INDEX('Raw lists'!$A$2:$A$192,MATCH(O127,'Raw lists'!$A$2:$A$192,0))&amp;" | ",""))&amp;IF(P127="","",IFERROR(INDEX('Raw lists'!$A$2:$A$192,MATCH(P127,'Raw lists'!$A$2:$A$192,0))&amp;" | ","")))=0,"",LEFT(IF(K127="","",IFERROR(INDEX('Raw lists'!$A$2:$A$192,MATCH(K127,'Raw lists'!$A$2:$A$192,0))&amp;" | ",""))&amp;IF(L127="","",IFERROR(INDEX('Raw lists'!$A$2:$A$192,MATCH(L127,'Raw lists'!$A$2:$A$192,0))&amp;" | ",""))&amp;IF(M127="","",IFERROR(INDEX('Raw lists'!$A$2:$A$192,MATCH(M127,'Raw lists'!$A$2:$A$192,0))&amp;" | ",""))&amp;IF(N127="","",IFERROR(INDEX('Raw lists'!$A$2:$A$192,MATCH(N127,'Raw lists'!$A$2:$A$192,0))&amp;" | ",""))&amp;IF(O127="","",IFERROR(INDEX('Raw lists'!$A$2:$A$192,MATCH(O127,'Raw lists'!$A$2:$A$192,0))&amp;" | ",""))&amp;IF(P127="","",IFERROR(INDEX('Raw lists'!$A$2:$A$192,MATCH(P127,'Raw lists'!$A$2:$A$192,0))&amp;" | ","")),LEN(IF(K127="","",IFERROR(INDEX('Raw lists'!$A$2:$A$192,MATCH(K127,'Raw lists'!$A$2:$A$192,0))&amp;" | ",""))&amp;IF(L127="","",IFERROR(INDEX('Raw lists'!$A$2:$A$192,MATCH(L127,'Raw lists'!$A$2:$A$192,0))&amp;" | ",""))&amp;IF(M127="","",IFERROR(INDEX('Raw lists'!$A$2:$A$192,MATCH(M127,'Raw lists'!$A$2:$A$192,0))&amp;" | ",""))&amp;IF(N127="","",IFERROR(INDEX('Raw lists'!$A$2:$A$192,MATCH(N127,'Raw lists'!$A$2:$A$192,0))&amp;" | ",""))&amp;IF(O127="","",IFERROR(INDEX('Raw lists'!$A$2:$A$192,MATCH(O127,'Raw lists'!$A$2:$A$192,0))&amp;" | ",""))&amp;IF(P127="","",IFERROR(INDEX('Raw lists'!$A$2:$A$192,MATCH(P127,'Raw lists'!$A$2:$A$192,0))&amp;" | ","")))-3))</f>
        <v/>
      </c>
      <c r="D127" s="30" t="str">
        <f>IF(LEN(IF(K127="","",IFERROR(INDEX('Raw lists'!$B$2:$B$627,MATCH(K127,'Raw lists'!$B$2:$B$627,0))&amp;" | ",""))&amp;IF(L127="","",IFERROR(INDEX('Raw lists'!$B$2:$B$627,MATCH(L127,'Raw lists'!$B$2:$B$627,0))&amp;" | ",""))&amp;IF(M127="","",IFERROR(INDEX('Raw lists'!$B$2:$B$627,MATCH(M127,'Raw lists'!$B$2:$B$627,0))&amp;" | ",""))&amp;IF(N127="","",IFERROR(INDEX('Raw lists'!$B$2:$B$627,MATCH(N127,'Raw lists'!$B$2:$B$627,0))&amp;" | ",""))&amp;IF(O127="","",IFERROR(INDEX('Raw lists'!$B$2:$B$627,MATCH(O127,'Raw lists'!$B$2:$B$627,0))&amp;" | ",""))&amp;IF(P127="","",IFERROR(INDEX('Raw lists'!$B$2:$B$627,MATCH(P127,'Raw lists'!$B$2:$B$627,0))&amp;" | ","")))=0,"",LEFT(IF(K127="","",IFERROR(INDEX('Raw lists'!$B$2:$B$627,MATCH(K127,'Raw lists'!$B$2:$B$627,0))&amp;" | ",""))&amp;IF(L127="","",IFERROR(INDEX('Raw lists'!$B$2:$B$627,MATCH(L127,'Raw lists'!$B$2:$B$627,0))&amp;" | ",""))&amp;IF(M127="","",IFERROR(INDEX('Raw lists'!$B$2:$B$627,MATCH(M127,'Raw lists'!$B$2:$B$627,0))&amp;" | ",""))&amp;IF(N127="","",IFERROR(INDEX('Raw lists'!$B$2:$B$627,MATCH(N127,'Raw lists'!$B$2:$B$627,0))&amp;" | ",""))&amp;IF(O127="","",IFERROR(INDEX('Raw lists'!$B$2:$B$627,MATCH(O127,'Raw lists'!$B$2:$B$627,0))&amp;" | ",""))&amp;IF(P127="","",IFERROR(INDEX('Raw lists'!$B$2:$B$627,MATCH(P127,'Raw lists'!$B$2:$B$627,0))&amp;" | ","")),LEN(IF(K127="","",IFERROR(INDEX('Raw lists'!$B$2:$B$627,MATCH(K127,'Raw lists'!$B$2:$B$627,0))&amp;" | ",""))&amp;IF(L127="","",IFERROR(INDEX('Raw lists'!$B$2:$B$627,MATCH(L127,'Raw lists'!$B$2:$B$627,0))&amp;" | ",""))&amp;IF(M127="","",IFERROR(INDEX('Raw lists'!$B$2:$B$627,MATCH(M127,'Raw lists'!$B$2:$B$627,0))&amp;" | ",""))&amp;IF(N127="","",IFERROR(INDEX('Raw lists'!$B$2:$B$627,MATCH(N127,'Raw lists'!$B$2:$B$627,0))&amp;" | ",""))&amp;IF(O127="","",IFERROR(INDEX('Raw lists'!$B$2:$B$627,MATCH(O127,'Raw lists'!$B$2:$B$627,0))&amp;" | ",""))&amp;IF(P127="","",IFERROR(INDEX('Raw lists'!$B$2:$B$627,MATCH(P127,'Raw lists'!$B$2:$B$627,0))&amp;" | ","")))-3))</f>
        <v>Multimode Fibers</v>
      </c>
      <c r="E127" s="30" t="str">
        <f>IF(LEN(IF(K127="","",IFERROR(INDEX('Raw lists'!$C$2:$C$616,MATCH(K127,'Raw lists'!$C$2:$C$616,0))&amp;" | ",""))&amp;IF(L127="","",IFERROR(INDEX('Raw lists'!$C$2:$C$616,MATCH(L127,'Raw lists'!$C$2:$C$616,0))&amp;" | ",""))&amp;IF(M127="","",IFERROR(INDEX('Raw lists'!$C$2:$C$616,MATCH(M127,'Raw lists'!$C$2:$C$616,0))&amp;" | ",""))&amp;IF(N127="","",IFERROR(INDEX('Raw lists'!$C$2:$C$616,MATCH(N127,'Raw lists'!$C$2:$C$616,0))&amp;" | ",""))&amp;IF(O127="","",IFERROR(INDEX('Raw lists'!$C$2:$C$616,MATCH(O127,'Raw lists'!$C$2:$C$616,0))&amp;" | ",""))&amp;IF(P127="","",IFERROR(INDEX('Raw lists'!$C$2:$C$616,MATCH(P127,'Raw lists'!$C$2:$C$616,0))&amp;" | ","")))=0,"",LEFT(IF(K127="","",IFERROR(INDEX('Raw lists'!$C$2:$C$616,MATCH(K127,'Raw lists'!$C$2:$C$616,0))&amp;" | ",""))&amp;IF(L127="","",IFERROR(INDEX('Raw lists'!$C$2:$C$616,MATCH(L127,'Raw lists'!$C$2:$C$616,0))&amp;" | ",""))&amp;IF(M127="","",IFERROR(INDEX('Raw lists'!$C$2:$C$616,MATCH(M127,'Raw lists'!$C$2:$C$616,0))&amp;" | ",""))&amp;IF(N127="","",IFERROR(INDEX('Raw lists'!$C$2:$C$616,MATCH(N127,'Raw lists'!$C$2:$C$616,0))&amp;" | ",""))&amp;IF(O127="","",IFERROR(INDEX('Raw lists'!$C$2:$C$616,MATCH(O127,'Raw lists'!$C$2:$C$616,0))&amp;" | ",""))&amp;IF(P127="","",IFERROR(INDEX('Raw lists'!$C$2:$C$616,MATCH(P127,'Raw lists'!$C$2:$C$616,0))&amp;" | ","")),LEN(IF(K127="","",IFERROR(INDEX('Raw lists'!$C$2:$C$616,MATCH(K127,'Raw lists'!$C$2:$C$616,0))&amp;" | ",""))&amp;IF(L127="","",IFERROR(INDEX('Raw lists'!$C$2:$C$616,MATCH(L127,'Raw lists'!$C$2:$C$616,0))&amp;" | ",""))&amp;IF(M127="","",IFERROR(INDEX('Raw lists'!$C$2:$C$616,MATCH(M127,'Raw lists'!$C$2:$C$616,0))&amp;" | ",""))&amp;IF(N127="","",IFERROR(INDEX('Raw lists'!$C$2:$C$616,MATCH(N127,'Raw lists'!$C$2:$C$616,0))&amp;" | ",""))&amp;IF(O127="","",IFERROR(INDEX('Raw lists'!$C$2:$C$616,MATCH(O127,'Raw lists'!$C$2:$C$616,0))&amp;" | ",""))&amp;IF(P127="","",IFERROR(INDEX('Raw lists'!$C$2:$C$616,MATCH(P127,'Raw lists'!$C$2:$C$616,0))&amp;" | ","")))-3))</f>
        <v>Multi-mode Fiber | Multi-mode</v>
      </c>
      <c r="F127" s="28" t="s">
        <v>17</v>
      </c>
      <c r="G127" s="30" t="s">
        <v>523</v>
      </c>
      <c r="H127" s="28">
        <f t="shared" si="2"/>
        <v>2</v>
      </c>
      <c r="I127" s="31" t="str">
        <f t="shared" si="3"/>
        <v>RAKE + YAKE</v>
      </c>
      <c r="K127" s="32" t="s">
        <v>524</v>
      </c>
      <c r="L127" s="32" t="s">
        <v>525</v>
      </c>
      <c r="M127" s="32" t="s">
        <v>526</v>
      </c>
      <c r="N127" s="32" t="s">
        <v>527</v>
      </c>
      <c r="O127" s="32" t="s">
        <v>528</v>
      </c>
      <c r="P127" s="32"/>
    </row>
    <row r="128" spans="1:16" x14ac:dyDescent="0.3">
      <c r="A128" s="28">
        <v>127</v>
      </c>
      <c r="B128" s="29" t="s">
        <v>529</v>
      </c>
      <c r="C128" s="30" t="str">
        <f>IF(LEN(IF(K128="","",IFERROR(INDEX('Raw lists'!$A$2:$A$192,MATCH(K128,'Raw lists'!$A$2:$A$192,0))&amp;" | ",""))&amp;IF(L128="","",IFERROR(INDEX('Raw lists'!$A$2:$A$192,MATCH(L128,'Raw lists'!$A$2:$A$192,0))&amp;" | ",""))&amp;IF(M128="","",IFERROR(INDEX('Raw lists'!$A$2:$A$192,MATCH(M128,'Raw lists'!$A$2:$A$192,0))&amp;" | ",""))&amp;IF(N128="","",IFERROR(INDEX('Raw lists'!$A$2:$A$192,MATCH(N128,'Raw lists'!$A$2:$A$192,0))&amp;" | ",""))&amp;IF(O128="","",IFERROR(INDEX('Raw lists'!$A$2:$A$192,MATCH(O128,'Raw lists'!$A$2:$A$192,0))&amp;" | ",""))&amp;IF(P128="","",IFERROR(INDEX('Raw lists'!$A$2:$A$192,MATCH(P128,'Raw lists'!$A$2:$A$192,0))&amp;" | ","")))=0,"",LEFT(IF(K128="","",IFERROR(INDEX('Raw lists'!$A$2:$A$192,MATCH(K128,'Raw lists'!$A$2:$A$192,0))&amp;" | ",""))&amp;IF(L128="","",IFERROR(INDEX('Raw lists'!$A$2:$A$192,MATCH(L128,'Raw lists'!$A$2:$A$192,0))&amp;" | ",""))&amp;IF(M128="","",IFERROR(INDEX('Raw lists'!$A$2:$A$192,MATCH(M128,'Raw lists'!$A$2:$A$192,0))&amp;" | ",""))&amp;IF(N128="","",IFERROR(INDEX('Raw lists'!$A$2:$A$192,MATCH(N128,'Raw lists'!$A$2:$A$192,0))&amp;" | ",""))&amp;IF(O128="","",IFERROR(INDEX('Raw lists'!$A$2:$A$192,MATCH(O128,'Raw lists'!$A$2:$A$192,0))&amp;" | ",""))&amp;IF(P128="","",IFERROR(INDEX('Raw lists'!$A$2:$A$192,MATCH(P128,'Raw lists'!$A$2:$A$192,0))&amp;" | ","")),LEN(IF(K128="","",IFERROR(INDEX('Raw lists'!$A$2:$A$192,MATCH(K128,'Raw lists'!$A$2:$A$192,0))&amp;" | ",""))&amp;IF(L128="","",IFERROR(INDEX('Raw lists'!$A$2:$A$192,MATCH(L128,'Raw lists'!$A$2:$A$192,0))&amp;" | ",""))&amp;IF(M128="","",IFERROR(INDEX('Raw lists'!$A$2:$A$192,MATCH(M128,'Raw lists'!$A$2:$A$192,0))&amp;" | ",""))&amp;IF(N128="","",IFERROR(INDEX('Raw lists'!$A$2:$A$192,MATCH(N128,'Raw lists'!$A$2:$A$192,0))&amp;" | ",""))&amp;IF(O128="","",IFERROR(INDEX('Raw lists'!$A$2:$A$192,MATCH(O128,'Raw lists'!$A$2:$A$192,0))&amp;" | ",""))&amp;IF(P128="","",IFERROR(INDEX('Raw lists'!$A$2:$A$192,MATCH(P128,'Raw lists'!$A$2:$A$192,0))&amp;" | ","")))-3))</f>
        <v/>
      </c>
      <c r="D128" s="30" t="str">
        <f>IF(LEN(IF(K128="","",IFERROR(INDEX('Raw lists'!$B$2:$B$627,MATCH(K128,'Raw lists'!$B$2:$B$627,0))&amp;" | ",""))&amp;IF(L128="","",IFERROR(INDEX('Raw lists'!$B$2:$B$627,MATCH(L128,'Raw lists'!$B$2:$B$627,0))&amp;" | ",""))&amp;IF(M128="","",IFERROR(INDEX('Raw lists'!$B$2:$B$627,MATCH(M128,'Raw lists'!$B$2:$B$627,0))&amp;" | ",""))&amp;IF(N128="","",IFERROR(INDEX('Raw lists'!$B$2:$B$627,MATCH(N128,'Raw lists'!$B$2:$B$627,0))&amp;" | ",""))&amp;IF(O128="","",IFERROR(INDEX('Raw lists'!$B$2:$B$627,MATCH(O128,'Raw lists'!$B$2:$B$627,0))&amp;" | ",""))&amp;IF(P128="","",IFERROR(INDEX('Raw lists'!$B$2:$B$627,MATCH(P128,'Raw lists'!$B$2:$B$627,0))&amp;" | ","")))=0,"",LEFT(IF(K128="","",IFERROR(INDEX('Raw lists'!$B$2:$B$627,MATCH(K128,'Raw lists'!$B$2:$B$627,0))&amp;" | ",""))&amp;IF(L128="","",IFERROR(INDEX('Raw lists'!$B$2:$B$627,MATCH(L128,'Raw lists'!$B$2:$B$627,0))&amp;" | ",""))&amp;IF(M128="","",IFERROR(INDEX('Raw lists'!$B$2:$B$627,MATCH(M128,'Raw lists'!$B$2:$B$627,0))&amp;" | ",""))&amp;IF(N128="","",IFERROR(INDEX('Raw lists'!$B$2:$B$627,MATCH(N128,'Raw lists'!$B$2:$B$627,0))&amp;" | ",""))&amp;IF(O128="","",IFERROR(INDEX('Raw lists'!$B$2:$B$627,MATCH(O128,'Raw lists'!$B$2:$B$627,0))&amp;" | ",""))&amp;IF(P128="","",IFERROR(INDEX('Raw lists'!$B$2:$B$627,MATCH(P128,'Raw lists'!$B$2:$B$627,0))&amp;" | ","")),LEN(IF(K128="","",IFERROR(INDEX('Raw lists'!$B$2:$B$627,MATCH(K128,'Raw lists'!$B$2:$B$627,0))&amp;" | ",""))&amp;IF(L128="","",IFERROR(INDEX('Raw lists'!$B$2:$B$627,MATCH(L128,'Raw lists'!$B$2:$B$627,0))&amp;" | ",""))&amp;IF(M128="","",IFERROR(INDEX('Raw lists'!$B$2:$B$627,MATCH(M128,'Raw lists'!$B$2:$B$627,0))&amp;" | ",""))&amp;IF(N128="","",IFERROR(INDEX('Raw lists'!$B$2:$B$627,MATCH(N128,'Raw lists'!$B$2:$B$627,0))&amp;" | ",""))&amp;IF(O128="","",IFERROR(INDEX('Raw lists'!$B$2:$B$627,MATCH(O128,'Raw lists'!$B$2:$B$627,0))&amp;" | ",""))&amp;IF(P128="","",IFERROR(INDEX('Raw lists'!$B$2:$B$627,MATCH(P128,'Raw lists'!$B$2:$B$627,0))&amp;" | ","")))-3))</f>
        <v>Modes</v>
      </c>
      <c r="E128" s="30" t="str">
        <f>IF(LEN(IF(K128="","",IFERROR(INDEX('Raw lists'!$C$2:$C$616,MATCH(K128,'Raw lists'!$C$2:$C$616,0))&amp;" | ",""))&amp;IF(L128="","",IFERROR(INDEX('Raw lists'!$C$2:$C$616,MATCH(L128,'Raw lists'!$C$2:$C$616,0))&amp;" | ",""))&amp;IF(M128="","",IFERROR(INDEX('Raw lists'!$C$2:$C$616,MATCH(M128,'Raw lists'!$C$2:$C$616,0))&amp;" | ",""))&amp;IF(N128="","",IFERROR(INDEX('Raw lists'!$C$2:$C$616,MATCH(N128,'Raw lists'!$C$2:$C$616,0))&amp;" | ",""))&amp;IF(O128="","",IFERROR(INDEX('Raw lists'!$C$2:$C$616,MATCH(O128,'Raw lists'!$C$2:$C$616,0))&amp;" | ",""))&amp;IF(P128="","",IFERROR(INDEX('Raw lists'!$C$2:$C$616,MATCH(P128,'Raw lists'!$C$2:$C$616,0))&amp;" | ","")))=0,"",LEFT(IF(K128="","",IFERROR(INDEX('Raw lists'!$C$2:$C$616,MATCH(K128,'Raw lists'!$C$2:$C$616,0))&amp;" | ",""))&amp;IF(L128="","",IFERROR(INDEX('Raw lists'!$C$2:$C$616,MATCH(L128,'Raw lists'!$C$2:$C$616,0))&amp;" | ",""))&amp;IF(M128="","",IFERROR(INDEX('Raw lists'!$C$2:$C$616,MATCH(M128,'Raw lists'!$C$2:$C$616,0))&amp;" | ",""))&amp;IF(N128="","",IFERROR(INDEX('Raw lists'!$C$2:$C$616,MATCH(N128,'Raw lists'!$C$2:$C$616,0))&amp;" | ",""))&amp;IF(O128="","",IFERROR(INDEX('Raw lists'!$C$2:$C$616,MATCH(O128,'Raw lists'!$C$2:$C$616,0))&amp;" | ",""))&amp;IF(P128="","",IFERROR(INDEX('Raw lists'!$C$2:$C$616,MATCH(P128,'Raw lists'!$C$2:$C$616,0))&amp;" | ","")),LEN(IF(K128="","",IFERROR(INDEX('Raw lists'!$C$2:$C$616,MATCH(K128,'Raw lists'!$C$2:$C$616,0))&amp;" | ",""))&amp;IF(L128="","",IFERROR(INDEX('Raw lists'!$C$2:$C$616,MATCH(L128,'Raw lists'!$C$2:$C$616,0))&amp;" | ",""))&amp;IF(M128="","",IFERROR(INDEX('Raw lists'!$C$2:$C$616,MATCH(M128,'Raw lists'!$C$2:$C$616,0))&amp;" | ",""))&amp;IF(N128="","",IFERROR(INDEX('Raw lists'!$C$2:$C$616,MATCH(N128,'Raw lists'!$C$2:$C$616,0))&amp;" | ",""))&amp;IF(O128="","",IFERROR(INDEX('Raw lists'!$C$2:$C$616,MATCH(O128,'Raw lists'!$C$2:$C$616,0))&amp;" | ",""))&amp;IF(P128="","",IFERROR(INDEX('Raw lists'!$C$2:$C$616,MATCH(P128,'Raw lists'!$C$2:$C$616,0))&amp;" | ","")))-3))</f>
        <v>Number Of Modes | Modes</v>
      </c>
      <c r="F128" s="28" t="s">
        <v>17</v>
      </c>
      <c r="G128" s="30" t="s">
        <v>530</v>
      </c>
      <c r="H128" s="28">
        <f t="shared" si="2"/>
        <v>2</v>
      </c>
      <c r="I128" s="31" t="str">
        <f t="shared" si="3"/>
        <v>RAKE + YAKE</v>
      </c>
      <c r="K128" s="32" t="s">
        <v>531</v>
      </c>
      <c r="L128" s="32" t="s">
        <v>532</v>
      </c>
      <c r="M128" s="32"/>
      <c r="N128" s="32"/>
      <c r="O128" s="32"/>
      <c r="P128" s="32"/>
    </row>
    <row r="129" spans="1:16" ht="26.4" x14ac:dyDescent="0.3">
      <c r="A129" s="28">
        <v>128</v>
      </c>
      <c r="B129" s="29" t="s">
        <v>533</v>
      </c>
      <c r="C129" s="30" t="str">
        <f>IF(LEN(IF(K129="","",IFERROR(INDEX('Raw lists'!$A$2:$A$192,MATCH(K129,'Raw lists'!$A$2:$A$192,0))&amp;" | ",""))&amp;IF(L129="","",IFERROR(INDEX('Raw lists'!$A$2:$A$192,MATCH(L129,'Raw lists'!$A$2:$A$192,0))&amp;" | ",""))&amp;IF(M129="","",IFERROR(INDEX('Raw lists'!$A$2:$A$192,MATCH(M129,'Raw lists'!$A$2:$A$192,0))&amp;" | ",""))&amp;IF(N129="","",IFERROR(INDEX('Raw lists'!$A$2:$A$192,MATCH(N129,'Raw lists'!$A$2:$A$192,0))&amp;" | ",""))&amp;IF(O129="","",IFERROR(INDEX('Raw lists'!$A$2:$A$192,MATCH(O129,'Raw lists'!$A$2:$A$192,0))&amp;" | ",""))&amp;IF(P129="","",IFERROR(INDEX('Raw lists'!$A$2:$A$192,MATCH(P129,'Raw lists'!$A$2:$A$192,0))&amp;" | ","")))=0,"",LEFT(IF(K129="","",IFERROR(INDEX('Raw lists'!$A$2:$A$192,MATCH(K129,'Raw lists'!$A$2:$A$192,0))&amp;" | ",""))&amp;IF(L129="","",IFERROR(INDEX('Raw lists'!$A$2:$A$192,MATCH(L129,'Raw lists'!$A$2:$A$192,0))&amp;" | ",""))&amp;IF(M129="","",IFERROR(INDEX('Raw lists'!$A$2:$A$192,MATCH(M129,'Raw lists'!$A$2:$A$192,0))&amp;" | ",""))&amp;IF(N129="","",IFERROR(INDEX('Raw lists'!$A$2:$A$192,MATCH(N129,'Raw lists'!$A$2:$A$192,0))&amp;" | ",""))&amp;IF(O129="","",IFERROR(INDEX('Raw lists'!$A$2:$A$192,MATCH(O129,'Raw lists'!$A$2:$A$192,0))&amp;" | ",""))&amp;IF(P129="","",IFERROR(INDEX('Raw lists'!$A$2:$A$192,MATCH(P129,'Raw lists'!$A$2:$A$192,0))&amp;" | ","")),LEN(IF(K129="","",IFERROR(INDEX('Raw lists'!$A$2:$A$192,MATCH(K129,'Raw lists'!$A$2:$A$192,0))&amp;" | ",""))&amp;IF(L129="","",IFERROR(INDEX('Raw lists'!$A$2:$A$192,MATCH(L129,'Raw lists'!$A$2:$A$192,0))&amp;" | ",""))&amp;IF(M129="","",IFERROR(INDEX('Raw lists'!$A$2:$A$192,MATCH(M129,'Raw lists'!$A$2:$A$192,0))&amp;" | ",""))&amp;IF(N129="","",IFERROR(INDEX('Raw lists'!$A$2:$A$192,MATCH(N129,'Raw lists'!$A$2:$A$192,0))&amp;" | ",""))&amp;IF(O129="","",IFERROR(INDEX('Raw lists'!$A$2:$A$192,MATCH(O129,'Raw lists'!$A$2:$A$192,0))&amp;" | ",""))&amp;IF(P129="","",IFERROR(INDEX('Raw lists'!$A$2:$A$192,MATCH(P129,'Raw lists'!$A$2:$A$192,0))&amp;" | ","")))-3))</f>
        <v/>
      </c>
      <c r="D129" s="30" t="str">
        <f>IF(LEN(IF(K129="","",IFERROR(INDEX('Raw lists'!$B$2:$B$627,MATCH(K129,'Raw lists'!$B$2:$B$627,0))&amp;" | ",""))&amp;IF(L129="","",IFERROR(INDEX('Raw lists'!$B$2:$B$627,MATCH(L129,'Raw lists'!$B$2:$B$627,0))&amp;" | ",""))&amp;IF(M129="","",IFERROR(INDEX('Raw lists'!$B$2:$B$627,MATCH(M129,'Raw lists'!$B$2:$B$627,0))&amp;" | ",""))&amp;IF(N129="","",IFERROR(INDEX('Raw lists'!$B$2:$B$627,MATCH(N129,'Raw lists'!$B$2:$B$627,0))&amp;" | ",""))&amp;IF(O129="","",IFERROR(INDEX('Raw lists'!$B$2:$B$627,MATCH(O129,'Raw lists'!$B$2:$B$627,0))&amp;" | ",""))&amp;IF(P129="","",IFERROR(INDEX('Raw lists'!$B$2:$B$627,MATCH(P129,'Raw lists'!$B$2:$B$627,0))&amp;" | ","")))=0,"",LEFT(IF(K129="","",IFERROR(INDEX('Raw lists'!$B$2:$B$627,MATCH(K129,'Raw lists'!$B$2:$B$627,0))&amp;" | ",""))&amp;IF(L129="","",IFERROR(INDEX('Raw lists'!$B$2:$B$627,MATCH(L129,'Raw lists'!$B$2:$B$627,0))&amp;" | ",""))&amp;IF(M129="","",IFERROR(INDEX('Raw lists'!$B$2:$B$627,MATCH(M129,'Raw lists'!$B$2:$B$627,0))&amp;" | ",""))&amp;IF(N129="","",IFERROR(INDEX('Raw lists'!$B$2:$B$627,MATCH(N129,'Raw lists'!$B$2:$B$627,0))&amp;" | ",""))&amp;IF(O129="","",IFERROR(INDEX('Raw lists'!$B$2:$B$627,MATCH(O129,'Raw lists'!$B$2:$B$627,0))&amp;" | ",""))&amp;IF(P129="","",IFERROR(INDEX('Raw lists'!$B$2:$B$627,MATCH(P129,'Raw lists'!$B$2:$B$627,0))&amp;" | ","")),LEN(IF(K129="","",IFERROR(INDEX('Raw lists'!$B$2:$B$627,MATCH(K129,'Raw lists'!$B$2:$B$627,0))&amp;" | ",""))&amp;IF(L129="","",IFERROR(INDEX('Raw lists'!$B$2:$B$627,MATCH(L129,'Raw lists'!$B$2:$B$627,0))&amp;" | ",""))&amp;IF(M129="","",IFERROR(INDEX('Raw lists'!$B$2:$B$627,MATCH(M129,'Raw lists'!$B$2:$B$627,0))&amp;" | ",""))&amp;IF(N129="","",IFERROR(INDEX('Raw lists'!$B$2:$B$627,MATCH(N129,'Raw lists'!$B$2:$B$627,0))&amp;" | ",""))&amp;IF(O129="","",IFERROR(INDEX('Raw lists'!$B$2:$B$627,MATCH(O129,'Raw lists'!$B$2:$B$627,0))&amp;" | ",""))&amp;IF(P129="","",IFERROR(INDEX('Raw lists'!$B$2:$B$627,MATCH(P129,'Raw lists'!$B$2:$B$627,0))&amp;" | ","")))-3))</f>
        <v>Meridional Rays</v>
      </c>
      <c r="E129" s="30" t="str">
        <f>IF(LEN(IF(K129="","",IFERROR(INDEX('Raw lists'!$C$2:$C$616,MATCH(K129,'Raw lists'!$C$2:$C$616,0))&amp;" | ",""))&amp;IF(L129="","",IFERROR(INDEX('Raw lists'!$C$2:$C$616,MATCH(L129,'Raw lists'!$C$2:$C$616,0))&amp;" | ",""))&amp;IF(M129="","",IFERROR(INDEX('Raw lists'!$C$2:$C$616,MATCH(M129,'Raw lists'!$C$2:$C$616,0))&amp;" | ",""))&amp;IF(N129="","",IFERROR(INDEX('Raw lists'!$C$2:$C$616,MATCH(N129,'Raw lists'!$C$2:$C$616,0))&amp;" | ",""))&amp;IF(O129="","",IFERROR(INDEX('Raw lists'!$C$2:$C$616,MATCH(O129,'Raw lists'!$C$2:$C$616,0))&amp;" | ",""))&amp;IF(P129="","",IFERROR(INDEX('Raw lists'!$C$2:$C$616,MATCH(P129,'Raw lists'!$C$2:$C$616,0))&amp;" | ","")))=0,"",LEFT(IF(K129="","",IFERROR(INDEX('Raw lists'!$C$2:$C$616,MATCH(K129,'Raw lists'!$C$2:$C$616,0))&amp;" | ",""))&amp;IF(L129="","",IFERROR(INDEX('Raw lists'!$C$2:$C$616,MATCH(L129,'Raw lists'!$C$2:$C$616,0))&amp;" | ",""))&amp;IF(M129="","",IFERROR(INDEX('Raw lists'!$C$2:$C$616,MATCH(M129,'Raw lists'!$C$2:$C$616,0))&amp;" | ",""))&amp;IF(N129="","",IFERROR(INDEX('Raw lists'!$C$2:$C$616,MATCH(N129,'Raw lists'!$C$2:$C$616,0))&amp;" | ",""))&amp;IF(O129="","",IFERROR(INDEX('Raw lists'!$C$2:$C$616,MATCH(O129,'Raw lists'!$C$2:$C$616,0))&amp;" | ",""))&amp;IF(P129="","",IFERROR(INDEX('Raw lists'!$C$2:$C$616,MATCH(P129,'Raw lists'!$C$2:$C$616,0))&amp;" | ","")),LEN(IF(K129="","",IFERROR(INDEX('Raw lists'!$C$2:$C$616,MATCH(K129,'Raw lists'!$C$2:$C$616,0))&amp;" | ",""))&amp;IF(L129="","",IFERROR(INDEX('Raw lists'!$C$2:$C$616,MATCH(L129,'Raw lists'!$C$2:$C$616,0))&amp;" | ",""))&amp;IF(M129="","",IFERROR(INDEX('Raw lists'!$C$2:$C$616,MATCH(M129,'Raw lists'!$C$2:$C$616,0))&amp;" | ",""))&amp;IF(N129="","",IFERROR(INDEX('Raw lists'!$C$2:$C$616,MATCH(N129,'Raw lists'!$C$2:$C$616,0))&amp;" | ",""))&amp;IF(O129="","",IFERROR(INDEX('Raw lists'!$C$2:$C$616,MATCH(O129,'Raw lists'!$C$2:$C$616,0))&amp;" | ",""))&amp;IF(P129="","",IFERROR(INDEX('Raw lists'!$C$2:$C$616,MATCH(P129,'Raw lists'!$C$2:$C$616,0))&amp;" | ","")))-3))</f>
        <v/>
      </c>
      <c r="F129" s="28" t="s">
        <v>17</v>
      </c>
      <c r="G129" s="30" t="s">
        <v>534</v>
      </c>
      <c r="H129" s="28">
        <f t="shared" si="2"/>
        <v>1</v>
      </c>
      <c r="I129" s="31" t="str">
        <f t="shared" si="3"/>
        <v>Only RAKE</v>
      </c>
      <c r="K129" s="32" t="s">
        <v>535</v>
      </c>
      <c r="L129" s="32"/>
      <c r="M129" s="32"/>
      <c r="N129" s="32"/>
      <c r="O129" s="32"/>
      <c r="P129" s="32"/>
    </row>
    <row r="130" spans="1:16" x14ac:dyDescent="0.3">
      <c r="A130" s="28">
        <v>129</v>
      </c>
      <c r="B130" s="29" t="s">
        <v>536</v>
      </c>
      <c r="C130" s="30" t="str">
        <f>IF(LEN(IF(K130="","",IFERROR(INDEX('Raw lists'!$A$2:$A$192,MATCH(K130,'Raw lists'!$A$2:$A$192,0))&amp;" | ",""))&amp;IF(L130="","",IFERROR(INDEX('Raw lists'!$A$2:$A$192,MATCH(L130,'Raw lists'!$A$2:$A$192,0))&amp;" | ",""))&amp;IF(M130="","",IFERROR(INDEX('Raw lists'!$A$2:$A$192,MATCH(M130,'Raw lists'!$A$2:$A$192,0))&amp;" | ",""))&amp;IF(N130="","",IFERROR(INDEX('Raw lists'!$A$2:$A$192,MATCH(N130,'Raw lists'!$A$2:$A$192,0))&amp;" | ",""))&amp;IF(O130="","",IFERROR(INDEX('Raw lists'!$A$2:$A$192,MATCH(O130,'Raw lists'!$A$2:$A$192,0))&amp;" | ",""))&amp;IF(P130="","",IFERROR(INDEX('Raw lists'!$A$2:$A$192,MATCH(P130,'Raw lists'!$A$2:$A$192,0))&amp;" | ","")))=0,"",LEFT(IF(K130="","",IFERROR(INDEX('Raw lists'!$A$2:$A$192,MATCH(K130,'Raw lists'!$A$2:$A$192,0))&amp;" | ",""))&amp;IF(L130="","",IFERROR(INDEX('Raw lists'!$A$2:$A$192,MATCH(L130,'Raw lists'!$A$2:$A$192,0))&amp;" | ",""))&amp;IF(M130="","",IFERROR(INDEX('Raw lists'!$A$2:$A$192,MATCH(M130,'Raw lists'!$A$2:$A$192,0))&amp;" | ",""))&amp;IF(N130="","",IFERROR(INDEX('Raw lists'!$A$2:$A$192,MATCH(N130,'Raw lists'!$A$2:$A$192,0))&amp;" | ",""))&amp;IF(O130="","",IFERROR(INDEX('Raw lists'!$A$2:$A$192,MATCH(O130,'Raw lists'!$A$2:$A$192,0))&amp;" | ",""))&amp;IF(P130="","",IFERROR(INDEX('Raw lists'!$A$2:$A$192,MATCH(P130,'Raw lists'!$A$2:$A$192,0))&amp;" | ","")),LEN(IF(K130="","",IFERROR(INDEX('Raw lists'!$A$2:$A$192,MATCH(K130,'Raw lists'!$A$2:$A$192,0))&amp;" | ",""))&amp;IF(L130="","",IFERROR(INDEX('Raw lists'!$A$2:$A$192,MATCH(L130,'Raw lists'!$A$2:$A$192,0))&amp;" | ",""))&amp;IF(M130="","",IFERROR(INDEX('Raw lists'!$A$2:$A$192,MATCH(M130,'Raw lists'!$A$2:$A$192,0))&amp;" | ",""))&amp;IF(N130="","",IFERROR(INDEX('Raw lists'!$A$2:$A$192,MATCH(N130,'Raw lists'!$A$2:$A$192,0))&amp;" | ",""))&amp;IF(O130="","",IFERROR(INDEX('Raw lists'!$A$2:$A$192,MATCH(O130,'Raw lists'!$A$2:$A$192,0))&amp;" | ",""))&amp;IF(P130="","",IFERROR(INDEX('Raw lists'!$A$2:$A$192,MATCH(P130,'Raw lists'!$A$2:$A$192,0))&amp;" | ","")))-3))</f>
        <v/>
      </c>
      <c r="D130" s="30" t="str">
        <f>IF(LEN(IF(K130="","",IFERROR(INDEX('Raw lists'!$B$2:$B$627,MATCH(K130,'Raw lists'!$B$2:$B$627,0))&amp;" | ",""))&amp;IF(L130="","",IFERROR(INDEX('Raw lists'!$B$2:$B$627,MATCH(L130,'Raw lists'!$B$2:$B$627,0))&amp;" | ",""))&amp;IF(M130="","",IFERROR(INDEX('Raw lists'!$B$2:$B$627,MATCH(M130,'Raw lists'!$B$2:$B$627,0))&amp;" | ",""))&amp;IF(N130="","",IFERROR(INDEX('Raw lists'!$B$2:$B$627,MATCH(N130,'Raw lists'!$B$2:$B$627,0))&amp;" | ",""))&amp;IF(O130="","",IFERROR(INDEX('Raw lists'!$B$2:$B$627,MATCH(O130,'Raw lists'!$B$2:$B$627,0))&amp;" | ",""))&amp;IF(P130="","",IFERROR(INDEX('Raw lists'!$B$2:$B$627,MATCH(P130,'Raw lists'!$B$2:$B$627,0))&amp;" | ","")))=0,"",LEFT(IF(K130="","",IFERROR(INDEX('Raw lists'!$B$2:$B$627,MATCH(K130,'Raw lists'!$B$2:$B$627,0))&amp;" | ",""))&amp;IF(L130="","",IFERROR(INDEX('Raw lists'!$B$2:$B$627,MATCH(L130,'Raw lists'!$B$2:$B$627,0))&amp;" | ",""))&amp;IF(M130="","",IFERROR(INDEX('Raw lists'!$B$2:$B$627,MATCH(M130,'Raw lists'!$B$2:$B$627,0))&amp;" | ",""))&amp;IF(N130="","",IFERROR(INDEX('Raw lists'!$B$2:$B$627,MATCH(N130,'Raw lists'!$B$2:$B$627,0))&amp;" | ",""))&amp;IF(O130="","",IFERROR(INDEX('Raw lists'!$B$2:$B$627,MATCH(O130,'Raw lists'!$B$2:$B$627,0))&amp;" | ",""))&amp;IF(P130="","",IFERROR(INDEX('Raw lists'!$B$2:$B$627,MATCH(P130,'Raw lists'!$B$2:$B$627,0))&amp;" | ","")),LEN(IF(K130="","",IFERROR(INDEX('Raw lists'!$B$2:$B$627,MATCH(K130,'Raw lists'!$B$2:$B$627,0))&amp;" | ",""))&amp;IF(L130="","",IFERROR(INDEX('Raw lists'!$B$2:$B$627,MATCH(L130,'Raw lists'!$B$2:$B$627,0))&amp;" | ",""))&amp;IF(M130="","",IFERROR(INDEX('Raw lists'!$B$2:$B$627,MATCH(M130,'Raw lists'!$B$2:$B$627,0))&amp;" | ",""))&amp;IF(N130="","",IFERROR(INDEX('Raw lists'!$B$2:$B$627,MATCH(N130,'Raw lists'!$B$2:$B$627,0))&amp;" | ",""))&amp;IF(O130="","",IFERROR(INDEX('Raw lists'!$B$2:$B$627,MATCH(O130,'Raw lists'!$B$2:$B$627,0))&amp;" | ",""))&amp;IF(P130="","",IFERROR(INDEX('Raw lists'!$B$2:$B$627,MATCH(P130,'Raw lists'!$B$2:$B$627,0))&amp;" | ","")))-3))</f>
        <v>Skew Rays | Helical Rays</v>
      </c>
      <c r="E130" s="30" t="str">
        <f>IF(LEN(IF(K130="","",IFERROR(INDEX('Raw lists'!$C$2:$C$616,MATCH(K130,'Raw lists'!$C$2:$C$616,0))&amp;" | ",""))&amp;IF(L130="","",IFERROR(INDEX('Raw lists'!$C$2:$C$616,MATCH(L130,'Raw lists'!$C$2:$C$616,0))&amp;" | ",""))&amp;IF(M130="","",IFERROR(INDEX('Raw lists'!$C$2:$C$616,MATCH(M130,'Raw lists'!$C$2:$C$616,0))&amp;" | ",""))&amp;IF(N130="","",IFERROR(INDEX('Raw lists'!$C$2:$C$616,MATCH(N130,'Raw lists'!$C$2:$C$616,0))&amp;" | ",""))&amp;IF(O130="","",IFERROR(INDEX('Raw lists'!$C$2:$C$616,MATCH(O130,'Raw lists'!$C$2:$C$616,0))&amp;" | ",""))&amp;IF(P130="","",IFERROR(INDEX('Raw lists'!$C$2:$C$616,MATCH(P130,'Raw lists'!$C$2:$C$616,0))&amp;" | ","")))=0,"",LEFT(IF(K130="","",IFERROR(INDEX('Raw lists'!$C$2:$C$616,MATCH(K130,'Raw lists'!$C$2:$C$616,0))&amp;" | ",""))&amp;IF(L130="","",IFERROR(INDEX('Raw lists'!$C$2:$C$616,MATCH(L130,'Raw lists'!$C$2:$C$616,0))&amp;" | ",""))&amp;IF(M130="","",IFERROR(INDEX('Raw lists'!$C$2:$C$616,MATCH(M130,'Raw lists'!$C$2:$C$616,0))&amp;" | ",""))&amp;IF(N130="","",IFERROR(INDEX('Raw lists'!$C$2:$C$616,MATCH(N130,'Raw lists'!$C$2:$C$616,0))&amp;" | ",""))&amp;IF(O130="","",IFERROR(INDEX('Raw lists'!$C$2:$C$616,MATCH(O130,'Raw lists'!$C$2:$C$616,0))&amp;" | ",""))&amp;IF(P130="","",IFERROR(INDEX('Raw lists'!$C$2:$C$616,MATCH(P130,'Raw lists'!$C$2:$C$616,0))&amp;" | ","")),LEN(IF(K130="","",IFERROR(INDEX('Raw lists'!$C$2:$C$616,MATCH(K130,'Raw lists'!$C$2:$C$616,0))&amp;" | ",""))&amp;IF(L130="","",IFERROR(INDEX('Raw lists'!$C$2:$C$616,MATCH(L130,'Raw lists'!$C$2:$C$616,0))&amp;" | ",""))&amp;IF(M130="","",IFERROR(INDEX('Raw lists'!$C$2:$C$616,MATCH(M130,'Raw lists'!$C$2:$C$616,0))&amp;" | ",""))&amp;IF(N130="","",IFERROR(INDEX('Raw lists'!$C$2:$C$616,MATCH(N130,'Raw lists'!$C$2:$C$616,0))&amp;" | ",""))&amp;IF(O130="","",IFERROR(INDEX('Raw lists'!$C$2:$C$616,MATCH(O130,'Raw lists'!$C$2:$C$616,0))&amp;" | ",""))&amp;IF(P130="","",IFERROR(INDEX('Raw lists'!$C$2:$C$616,MATCH(P130,'Raw lists'!$C$2:$C$616,0))&amp;" | ","")))-3))</f>
        <v/>
      </c>
      <c r="F130" s="28" t="s">
        <v>17</v>
      </c>
      <c r="G130" s="30" t="s">
        <v>537</v>
      </c>
      <c r="H130" s="28">
        <f t="shared" ref="H130:H193" si="4">COUNTIF(C130:E130,"?*")</f>
        <v>1</v>
      </c>
      <c r="I130" s="31" t="str">
        <f t="shared" ref="I130:I193" si="5">IF(H130=0,"None",IF(H130=3,"All three",IF(H130=1,"Only "&amp;TRIM(IF(C130&lt;&gt;"","Gemini ","")&amp;IF(D130&lt;&gt;"","RAKE ","")&amp;IF(E130&lt;&gt;"","YAKE","")),SUBSTITUTE(TRIM(IF(C130&lt;&gt;"","Gemini ","")&amp;IF(D130&lt;&gt;"","RAKE ","")&amp;IF(E130&lt;&gt;"","YAKE",""))," "," + "))))</f>
        <v>Only RAKE</v>
      </c>
      <c r="K130" s="32" t="s">
        <v>538</v>
      </c>
      <c r="L130" s="32" t="s">
        <v>539</v>
      </c>
      <c r="M130" s="32"/>
      <c r="N130" s="32"/>
      <c r="O130" s="32"/>
      <c r="P130" s="32"/>
    </row>
    <row r="131" spans="1:16" x14ac:dyDescent="0.3">
      <c r="A131" s="28">
        <v>130</v>
      </c>
      <c r="B131" s="29" t="s">
        <v>540</v>
      </c>
      <c r="C131" s="30" t="str">
        <f>IF(LEN(IF(K131="","",IFERROR(INDEX('Raw lists'!$A$2:$A$192,MATCH(K131,'Raw lists'!$A$2:$A$192,0))&amp;" | ",""))&amp;IF(L131="","",IFERROR(INDEX('Raw lists'!$A$2:$A$192,MATCH(L131,'Raw lists'!$A$2:$A$192,0))&amp;" | ",""))&amp;IF(M131="","",IFERROR(INDEX('Raw lists'!$A$2:$A$192,MATCH(M131,'Raw lists'!$A$2:$A$192,0))&amp;" | ",""))&amp;IF(N131="","",IFERROR(INDEX('Raw lists'!$A$2:$A$192,MATCH(N131,'Raw lists'!$A$2:$A$192,0))&amp;" | ",""))&amp;IF(O131="","",IFERROR(INDEX('Raw lists'!$A$2:$A$192,MATCH(O131,'Raw lists'!$A$2:$A$192,0))&amp;" | ",""))&amp;IF(P131="","",IFERROR(INDEX('Raw lists'!$A$2:$A$192,MATCH(P131,'Raw lists'!$A$2:$A$192,0))&amp;" | ","")))=0,"",LEFT(IF(K131="","",IFERROR(INDEX('Raw lists'!$A$2:$A$192,MATCH(K131,'Raw lists'!$A$2:$A$192,0))&amp;" | ",""))&amp;IF(L131="","",IFERROR(INDEX('Raw lists'!$A$2:$A$192,MATCH(L131,'Raw lists'!$A$2:$A$192,0))&amp;" | ",""))&amp;IF(M131="","",IFERROR(INDEX('Raw lists'!$A$2:$A$192,MATCH(M131,'Raw lists'!$A$2:$A$192,0))&amp;" | ",""))&amp;IF(N131="","",IFERROR(INDEX('Raw lists'!$A$2:$A$192,MATCH(N131,'Raw lists'!$A$2:$A$192,0))&amp;" | ",""))&amp;IF(O131="","",IFERROR(INDEX('Raw lists'!$A$2:$A$192,MATCH(O131,'Raw lists'!$A$2:$A$192,0))&amp;" | ",""))&amp;IF(P131="","",IFERROR(INDEX('Raw lists'!$A$2:$A$192,MATCH(P131,'Raw lists'!$A$2:$A$192,0))&amp;" | ","")),LEN(IF(K131="","",IFERROR(INDEX('Raw lists'!$A$2:$A$192,MATCH(K131,'Raw lists'!$A$2:$A$192,0))&amp;" | ",""))&amp;IF(L131="","",IFERROR(INDEX('Raw lists'!$A$2:$A$192,MATCH(L131,'Raw lists'!$A$2:$A$192,0))&amp;" | ",""))&amp;IF(M131="","",IFERROR(INDEX('Raw lists'!$A$2:$A$192,MATCH(M131,'Raw lists'!$A$2:$A$192,0))&amp;" | ",""))&amp;IF(N131="","",IFERROR(INDEX('Raw lists'!$A$2:$A$192,MATCH(N131,'Raw lists'!$A$2:$A$192,0))&amp;" | ",""))&amp;IF(O131="","",IFERROR(INDEX('Raw lists'!$A$2:$A$192,MATCH(O131,'Raw lists'!$A$2:$A$192,0))&amp;" | ",""))&amp;IF(P131="","",IFERROR(INDEX('Raw lists'!$A$2:$A$192,MATCH(P131,'Raw lists'!$A$2:$A$192,0))&amp;" | ","")))-3))</f>
        <v/>
      </c>
      <c r="D131" s="30" t="str">
        <f>IF(LEN(IF(K131="","",IFERROR(INDEX('Raw lists'!$B$2:$B$627,MATCH(K131,'Raw lists'!$B$2:$B$627,0))&amp;" | ",""))&amp;IF(L131="","",IFERROR(INDEX('Raw lists'!$B$2:$B$627,MATCH(L131,'Raw lists'!$B$2:$B$627,0))&amp;" | ",""))&amp;IF(M131="","",IFERROR(INDEX('Raw lists'!$B$2:$B$627,MATCH(M131,'Raw lists'!$B$2:$B$627,0))&amp;" | ",""))&amp;IF(N131="","",IFERROR(INDEX('Raw lists'!$B$2:$B$627,MATCH(N131,'Raw lists'!$B$2:$B$627,0))&amp;" | ",""))&amp;IF(O131="","",IFERROR(INDEX('Raw lists'!$B$2:$B$627,MATCH(O131,'Raw lists'!$B$2:$B$627,0))&amp;" | ",""))&amp;IF(P131="","",IFERROR(INDEX('Raw lists'!$B$2:$B$627,MATCH(P131,'Raw lists'!$B$2:$B$627,0))&amp;" | ","")))=0,"",LEFT(IF(K131="","",IFERROR(INDEX('Raw lists'!$B$2:$B$627,MATCH(K131,'Raw lists'!$B$2:$B$627,0))&amp;" | ",""))&amp;IF(L131="","",IFERROR(INDEX('Raw lists'!$B$2:$B$627,MATCH(L131,'Raw lists'!$B$2:$B$627,0))&amp;" | ",""))&amp;IF(M131="","",IFERROR(INDEX('Raw lists'!$B$2:$B$627,MATCH(M131,'Raw lists'!$B$2:$B$627,0))&amp;" | ",""))&amp;IF(N131="","",IFERROR(INDEX('Raw lists'!$B$2:$B$627,MATCH(N131,'Raw lists'!$B$2:$B$627,0))&amp;" | ",""))&amp;IF(O131="","",IFERROR(INDEX('Raw lists'!$B$2:$B$627,MATCH(O131,'Raw lists'!$B$2:$B$627,0))&amp;" | ",""))&amp;IF(P131="","",IFERROR(INDEX('Raw lists'!$B$2:$B$627,MATCH(P131,'Raw lists'!$B$2:$B$627,0))&amp;" | ","")),LEN(IF(K131="","",IFERROR(INDEX('Raw lists'!$B$2:$B$627,MATCH(K131,'Raw lists'!$B$2:$B$627,0))&amp;" | ",""))&amp;IF(L131="","",IFERROR(INDEX('Raw lists'!$B$2:$B$627,MATCH(L131,'Raw lists'!$B$2:$B$627,0))&amp;" | ",""))&amp;IF(M131="","",IFERROR(INDEX('Raw lists'!$B$2:$B$627,MATCH(M131,'Raw lists'!$B$2:$B$627,0))&amp;" | ",""))&amp;IF(N131="","",IFERROR(INDEX('Raw lists'!$B$2:$B$627,MATCH(N131,'Raw lists'!$B$2:$B$627,0))&amp;" | ",""))&amp;IF(O131="","",IFERROR(INDEX('Raw lists'!$B$2:$B$627,MATCH(O131,'Raw lists'!$B$2:$B$627,0))&amp;" | ",""))&amp;IF(P131="","",IFERROR(INDEX('Raw lists'!$B$2:$B$627,MATCH(P131,'Raw lists'!$B$2:$B$627,0))&amp;" | ","")))-3))</f>
        <v>Dispersion</v>
      </c>
      <c r="E131" s="30" t="str">
        <f>IF(LEN(IF(K131="","",IFERROR(INDEX('Raw lists'!$C$2:$C$616,MATCH(K131,'Raw lists'!$C$2:$C$616,0))&amp;" | ",""))&amp;IF(L131="","",IFERROR(INDEX('Raw lists'!$C$2:$C$616,MATCH(L131,'Raw lists'!$C$2:$C$616,0))&amp;" | ",""))&amp;IF(M131="","",IFERROR(INDEX('Raw lists'!$C$2:$C$616,MATCH(M131,'Raw lists'!$C$2:$C$616,0))&amp;" | ",""))&amp;IF(N131="","",IFERROR(INDEX('Raw lists'!$C$2:$C$616,MATCH(N131,'Raw lists'!$C$2:$C$616,0))&amp;" | ",""))&amp;IF(O131="","",IFERROR(INDEX('Raw lists'!$C$2:$C$616,MATCH(O131,'Raw lists'!$C$2:$C$616,0))&amp;" | ",""))&amp;IF(P131="","",IFERROR(INDEX('Raw lists'!$C$2:$C$616,MATCH(P131,'Raw lists'!$C$2:$C$616,0))&amp;" | ","")))=0,"",LEFT(IF(K131="","",IFERROR(INDEX('Raw lists'!$C$2:$C$616,MATCH(K131,'Raw lists'!$C$2:$C$616,0))&amp;" | ",""))&amp;IF(L131="","",IFERROR(INDEX('Raw lists'!$C$2:$C$616,MATCH(L131,'Raw lists'!$C$2:$C$616,0))&amp;" | ",""))&amp;IF(M131="","",IFERROR(INDEX('Raw lists'!$C$2:$C$616,MATCH(M131,'Raw lists'!$C$2:$C$616,0))&amp;" | ",""))&amp;IF(N131="","",IFERROR(INDEX('Raw lists'!$C$2:$C$616,MATCH(N131,'Raw lists'!$C$2:$C$616,0))&amp;" | ",""))&amp;IF(O131="","",IFERROR(INDEX('Raw lists'!$C$2:$C$616,MATCH(O131,'Raw lists'!$C$2:$C$616,0))&amp;" | ",""))&amp;IF(P131="","",IFERROR(INDEX('Raw lists'!$C$2:$C$616,MATCH(P131,'Raw lists'!$C$2:$C$616,0))&amp;" | ","")),LEN(IF(K131="","",IFERROR(INDEX('Raw lists'!$C$2:$C$616,MATCH(K131,'Raw lists'!$C$2:$C$616,0))&amp;" | ",""))&amp;IF(L131="","",IFERROR(INDEX('Raw lists'!$C$2:$C$616,MATCH(L131,'Raw lists'!$C$2:$C$616,0))&amp;" | ",""))&amp;IF(M131="","",IFERROR(INDEX('Raw lists'!$C$2:$C$616,MATCH(M131,'Raw lists'!$C$2:$C$616,0))&amp;" | ",""))&amp;IF(N131="","",IFERROR(INDEX('Raw lists'!$C$2:$C$616,MATCH(N131,'Raw lists'!$C$2:$C$616,0))&amp;" | ",""))&amp;IF(O131="","",IFERROR(INDEX('Raw lists'!$C$2:$C$616,MATCH(O131,'Raw lists'!$C$2:$C$616,0))&amp;" | ",""))&amp;IF(P131="","",IFERROR(INDEX('Raw lists'!$C$2:$C$616,MATCH(P131,'Raw lists'!$C$2:$C$616,0))&amp;" | ","")))-3))</f>
        <v/>
      </c>
      <c r="F131" s="28" t="s">
        <v>17</v>
      </c>
      <c r="G131" s="30" t="s">
        <v>541</v>
      </c>
      <c r="H131" s="28">
        <f t="shared" si="4"/>
        <v>1</v>
      </c>
      <c r="I131" s="31" t="str">
        <f t="shared" si="5"/>
        <v>Only RAKE</v>
      </c>
      <c r="K131" s="32" t="s">
        <v>540</v>
      </c>
      <c r="L131" s="32"/>
      <c r="M131" s="32"/>
      <c r="N131" s="32"/>
      <c r="O131" s="32"/>
      <c r="P131" s="32"/>
    </row>
    <row r="132" spans="1:16" x14ac:dyDescent="0.3">
      <c r="A132" s="28">
        <v>131</v>
      </c>
      <c r="B132" s="29" t="s">
        <v>542</v>
      </c>
      <c r="C132" s="30" t="str">
        <f>IF(LEN(IF(K132="","",IFERROR(INDEX('Raw lists'!$A$2:$A$192,MATCH(K132,'Raw lists'!$A$2:$A$192,0))&amp;" | ",""))&amp;IF(L132="","",IFERROR(INDEX('Raw lists'!$A$2:$A$192,MATCH(L132,'Raw lists'!$A$2:$A$192,0))&amp;" | ",""))&amp;IF(M132="","",IFERROR(INDEX('Raw lists'!$A$2:$A$192,MATCH(M132,'Raw lists'!$A$2:$A$192,0))&amp;" | ",""))&amp;IF(N132="","",IFERROR(INDEX('Raw lists'!$A$2:$A$192,MATCH(N132,'Raw lists'!$A$2:$A$192,0))&amp;" | ",""))&amp;IF(O132="","",IFERROR(INDEX('Raw lists'!$A$2:$A$192,MATCH(O132,'Raw lists'!$A$2:$A$192,0))&amp;" | ",""))&amp;IF(P132="","",IFERROR(INDEX('Raw lists'!$A$2:$A$192,MATCH(P132,'Raw lists'!$A$2:$A$192,0))&amp;" | ","")))=0,"",LEFT(IF(K132="","",IFERROR(INDEX('Raw lists'!$A$2:$A$192,MATCH(K132,'Raw lists'!$A$2:$A$192,0))&amp;" | ",""))&amp;IF(L132="","",IFERROR(INDEX('Raw lists'!$A$2:$A$192,MATCH(L132,'Raw lists'!$A$2:$A$192,0))&amp;" | ",""))&amp;IF(M132="","",IFERROR(INDEX('Raw lists'!$A$2:$A$192,MATCH(M132,'Raw lists'!$A$2:$A$192,0))&amp;" | ",""))&amp;IF(N132="","",IFERROR(INDEX('Raw lists'!$A$2:$A$192,MATCH(N132,'Raw lists'!$A$2:$A$192,0))&amp;" | ",""))&amp;IF(O132="","",IFERROR(INDEX('Raw lists'!$A$2:$A$192,MATCH(O132,'Raw lists'!$A$2:$A$192,0))&amp;" | ",""))&amp;IF(P132="","",IFERROR(INDEX('Raw lists'!$A$2:$A$192,MATCH(P132,'Raw lists'!$A$2:$A$192,0))&amp;" | ","")),LEN(IF(K132="","",IFERROR(INDEX('Raw lists'!$A$2:$A$192,MATCH(K132,'Raw lists'!$A$2:$A$192,0))&amp;" | ",""))&amp;IF(L132="","",IFERROR(INDEX('Raw lists'!$A$2:$A$192,MATCH(L132,'Raw lists'!$A$2:$A$192,0))&amp;" | ",""))&amp;IF(M132="","",IFERROR(INDEX('Raw lists'!$A$2:$A$192,MATCH(M132,'Raw lists'!$A$2:$A$192,0))&amp;" | ",""))&amp;IF(N132="","",IFERROR(INDEX('Raw lists'!$A$2:$A$192,MATCH(N132,'Raw lists'!$A$2:$A$192,0))&amp;" | ",""))&amp;IF(O132="","",IFERROR(INDEX('Raw lists'!$A$2:$A$192,MATCH(O132,'Raw lists'!$A$2:$A$192,0))&amp;" | ",""))&amp;IF(P132="","",IFERROR(INDEX('Raw lists'!$A$2:$A$192,MATCH(P132,'Raw lists'!$A$2:$A$192,0))&amp;" | ","")))-3))</f>
        <v/>
      </c>
      <c r="D132" s="30" t="str">
        <f>IF(LEN(IF(K132="","",IFERROR(INDEX('Raw lists'!$B$2:$B$627,MATCH(K132,'Raw lists'!$B$2:$B$627,0))&amp;" | ",""))&amp;IF(L132="","",IFERROR(INDEX('Raw lists'!$B$2:$B$627,MATCH(L132,'Raw lists'!$B$2:$B$627,0))&amp;" | ",""))&amp;IF(M132="","",IFERROR(INDEX('Raw lists'!$B$2:$B$627,MATCH(M132,'Raw lists'!$B$2:$B$627,0))&amp;" | ",""))&amp;IF(N132="","",IFERROR(INDEX('Raw lists'!$B$2:$B$627,MATCH(N132,'Raw lists'!$B$2:$B$627,0))&amp;" | ",""))&amp;IF(O132="","",IFERROR(INDEX('Raw lists'!$B$2:$B$627,MATCH(O132,'Raw lists'!$B$2:$B$627,0))&amp;" | ",""))&amp;IF(P132="","",IFERROR(INDEX('Raw lists'!$B$2:$B$627,MATCH(P132,'Raw lists'!$B$2:$B$627,0))&amp;" | ","")))=0,"",LEFT(IF(K132="","",IFERROR(INDEX('Raw lists'!$B$2:$B$627,MATCH(K132,'Raw lists'!$B$2:$B$627,0))&amp;" | ",""))&amp;IF(L132="","",IFERROR(INDEX('Raw lists'!$B$2:$B$627,MATCH(L132,'Raw lists'!$B$2:$B$627,0))&amp;" | ",""))&amp;IF(M132="","",IFERROR(INDEX('Raw lists'!$B$2:$B$627,MATCH(M132,'Raw lists'!$B$2:$B$627,0))&amp;" | ",""))&amp;IF(N132="","",IFERROR(INDEX('Raw lists'!$B$2:$B$627,MATCH(N132,'Raw lists'!$B$2:$B$627,0))&amp;" | ",""))&amp;IF(O132="","",IFERROR(INDEX('Raw lists'!$B$2:$B$627,MATCH(O132,'Raw lists'!$B$2:$B$627,0))&amp;" | ",""))&amp;IF(P132="","",IFERROR(INDEX('Raw lists'!$B$2:$B$627,MATCH(P132,'Raw lists'!$B$2:$B$627,0))&amp;" | ","")),LEN(IF(K132="","",IFERROR(INDEX('Raw lists'!$B$2:$B$627,MATCH(K132,'Raw lists'!$B$2:$B$627,0))&amp;" | ",""))&amp;IF(L132="","",IFERROR(INDEX('Raw lists'!$B$2:$B$627,MATCH(L132,'Raw lists'!$B$2:$B$627,0))&amp;" | ",""))&amp;IF(M132="","",IFERROR(INDEX('Raw lists'!$B$2:$B$627,MATCH(M132,'Raw lists'!$B$2:$B$627,0))&amp;" | ",""))&amp;IF(N132="","",IFERROR(INDEX('Raw lists'!$B$2:$B$627,MATCH(N132,'Raw lists'!$B$2:$B$627,0))&amp;" | ",""))&amp;IF(O132="","",IFERROR(INDEX('Raw lists'!$B$2:$B$627,MATCH(O132,'Raw lists'!$B$2:$B$627,0))&amp;" | ",""))&amp;IF(P132="","",IFERROR(INDEX('Raw lists'!$B$2:$B$627,MATCH(P132,'Raw lists'!$B$2:$B$627,0))&amp;" | ","")))-3))</f>
        <v/>
      </c>
      <c r="E132" s="30" t="str">
        <f>IF(LEN(IF(K132="","",IFERROR(INDEX('Raw lists'!$C$2:$C$616,MATCH(K132,'Raw lists'!$C$2:$C$616,0))&amp;" | ",""))&amp;IF(L132="","",IFERROR(INDEX('Raw lists'!$C$2:$C$616,MATCH(L132,'Raw lists'!$C$2:$C$616,0))&amp;" | ",""))&amp;IF(M132="","",IFERROR(INDEX('Raw lists'!$C$2:$C$616,MATCH(M132,'Raw lists'!$C$2:$C$616,0))&amp;" | ",""))&amp;IF(N132="","",IFERROR(INDEX('Raw lists'!$C$2:$C$616,MATCH(N132,'Raw lists'!$C$2:$C$616,0))&amp;" | ",""))&amp;IF(O132="","",IFERROR(INDEX('Raw lists'!$C$2:$C$616,MATCH(O132,'Raw lists'!$C$2:$C$616,0))&amp;" | ",""))&amp;IF(P132="","",IFERROR(INDEX('Raw lists'!$C$2:$C$616,MATCH(P132,'Raw lists'!$C$2:$C$616,0))&amp;" | ","")))=0,"",LEFT(IF(K132="","",IFERROR(INDEX('Raw lists'!$C$2:$C$616,MATCH(K132,'Raw lists'!$C$2:$C$616,0))&amp;" | ",""))&amp;IF(L132="","",IFERROR(INDEX('Raw lists'!$C$2:$C$616,MATCH(L132,'Raw lists'!$C$2:$C$616,0))&amp;" | ",""))&amp;IF(M132="","",IFERROR(INDEX('Raw lists'!$C$2:$C$616,MATCH(M132,'Raw lists'!$C$2:$C$616,0))&amp;" | ",""))&amp;IF(N132="","",IFERROR(INDEX('Raw lists'!$C$2:$C$616,MATCH(N132,'Raw lists'!$C$2:$C$616,0))&amp;" | ",""))&amp;IF(O132="","",IFERROR(INDEX('Raw lists'!$C$2:$C$616,MATCH(O132,'Raw lists'!$C$2:$C$616,0))&amp;" | ",""))&amp;IF(P132="","",IFERROR(INDEX('Raw lists'!$C$2:$C$616,MATCH(P132,'Raw lists'!$C$2:$C$616,0))&amp;" | ","")),LEN(IF(K132="","",IFERROR(INDEX('Raw lists'!$C$2:$C$616,MATCH(K132,'Raw lists'!$C$2:$C$616,0))&amp;" | ",""))&amp;IF(L132="","",IFERROR(INDEX('Raw lists'!$C$2:$C$616,MATCH(L132,'Raw lists'!$C$2:$C$616,0))&amp;" | ",""))&amp;IF(M132="","",IFERROR(INDEX('Raw lists'!$C$2:$C$616,MATCH(M132,'Raw lists'!$C$2:$C$616,0))&amp;" | ",""))&amp;IF(N132="","",IFERROR(INDEX('Raw lists'!$C$2:$C$616,MATCH(N132,'Raw lists'!$C$2:$C$616,0))&amp;" | ",""))&amp;IF(O132="","",IFERROR(INDEX('Raw lists'!$C$2:$C$616,MATCH(O132,'Raw lists'!$C$2:$C$616,0))&amp;" | ",""))&amp;IF(P132="","",IFERROR(INDEX('Raw lists'!$C$2:$C$616,MATCH(P132,'Raw lists'!$C$2:$C$616,0))&amp;" | ","")))-3))</f>
        <v/>
      </c>
      <c r="F132" s="28" t="s">
        <v>17</v>
      </c>
      <c r="G132" s="30" t="s">
        <v>543</v>
      </c>
      <c r="H132" s="28">
        <f t="shared" si="4"/>
        <v>0</v>
      </c>
      <c r="I132" s="31" t="str">
        <f t="shared" si="5"/>
        <v>None</v>
      </c>
      <c r="K132" s="32" t="s">
        <v>542</v>
      </c>
      <c r="L132" s="32"/>
      <c r="M132" s="32"/>
      <c r="N132" s="32"/>
      <c r="O132" s="32"/>
      <c r="P132" s="32"/>
    </row>
    <row r="133" spans="1:16" x14ac:dyDescent="0.3">
      <c r="A133" s="28">
        <v>132</v>
      </c>
      <c r="B133" s="29" t="s">
        <v>544</v>
      </c>
      <c r="C133" s="30" t="str">
        <f>IF(LEN(IF(K133="","",IFERROR(INDEX('Raw lists'!$A$2:$A$192,MATCH(K133,'Raw lists'!$A$2:$A$192,0))&amp;" | ",""))&amp;IF(L133="","",IFERROR(INDEX('Raw lists'!$A$2:$A$192,MATCH(L133,'Raw lists'!$A$2:$A$192,0))&amp;" | ",""))&amp;IF(M133="","",IFERROR(INDEX('Raw lists'!$A$2:$A$192,MATCH(M133,'Raw lists'!$A$2:$A$192,0))&amp;" | ",""))&amp;IF(N133="","",IFERROR(INDEX('Raw lists'!$A$2:$A$192,MATCH(N133,'Raw lists'!$A$2:$A$192,0))&amp;" | ",""))&amp;IF(O133="","",IFERROR(INDEX('Raw lists'!$A$2:$A$192,MATCH(O133,'Raw lists'!$A$2:$A$192,0))&amp;" | ",""))&amp;IF(P133="","",IFERROR(INDEX('Raw lists'!$A$2:$A$192,MATCH(P133,'Raw lists'!$A$2:$A$192,0))&amp;" | ","")))=0,"",LEFT(IF(K133="","",IFERROR(INDEX('Raw lists'!$A$2:$A$192,MATCH(K133,'Raw lists'!$A$2:$A$192,0))&amp;" | ",""))&amp;IF(L133="","",IFERROR(INDEX('Raw lists'!$A$2:$A$192,MATCH(L133,'Raw lists'!$A$2:$A$192,0))&amp;" | ",""))&amp;IF(M133="","",IFERROR(INDEX('Raw lists'!$A$2:$A$192,MATCH(M133,'Raw lists'!$A$2:$A$192,0))&amp;" | ",""))&amp;IF(N133="","",IFERROR(INDEX('Raw lists'!$A$2:$A$192,MATCH(N133,'Raw lists'!$A$2:$A$192,0))&amp;" | ",""))&amp;IF(O133="","",IFERROR(INDEX('Raw lists'!$A$2:$A$192,MATCH(O133,'Raw lists'!$A$2:$A$192,0))&amp;" | ",""))&amp;IF(P133="","",IFERROR(INDEX('Raw lists'!$A$2:$A$192,MATCH(P133,'Raw lists'!$A$2:$A$192,0))&amp;" | ","")),LEN(IF(K133="","",IFERROR(INDEX('Raw lists'!$A$2:$A$192,MATCH(K133,'Raw lists'!$A$2:$A$192,0))&amp;" | ",""))&amp;IF(L133="","",IFERROR(INDEX('Raw lists'!$A$2:$A$192,MATCH(L133,'Raw lists'!$A$2:$A$192,0))&amp;" | ",""))&amp;IF(M133="","",IFERROR(INDEX('Raw lists'!$A$2:$A$192,MATCH(M133,'Raw lists'!$A$2:$A$192,0))&amp;" | ",""))&amp;IF(N133="","",IFERROR(INDEX('Raw lists'!$A$2:$A$192,MATCH(N133,'Raw lists'!$A$2:$A$192,0))&amp;" | ",""))&amp;IF(O133="","",IFERROR(INDEX('Raw lists'!$A$2:$A$192,MATCH(O133,'Raw lists'!$A$2:$A$192,0))&amp;" | ",""))&amp;IF(P133="","",IFERROR(INDEX('Raw lists'!$A$2:$A$192,MATCH(P133,'Raw lists'!$A$2:$A$192,0))&amp;" | ","")))-3))</f>
        <v>Communication Kit</v>
      </c>
      <c r="D133" s="30" t="str">
        <f>IF(LEN(IF(K133="","",IFERROR(INDEX('Raw lists'!$B$2:$B$627,MATCH(K133,'Raw lists'!$B$2:$B$627,0))&amp;" | ",""))&amp;IF(L133="","",IFERROR(INDEX('Raw lists'!$B$2:$B$627,MATCH(L133,'Raw lists'!$B$2:$B$627,0))&amp;" | ",""))&amp;IF(M133="","",IFERROR(INDEX('Raw lists'!$B$2:$B$627,MATCH(M133,'Raw lists'!$B$2:$B$627,0))&amp;" | ",""))&amp;IF(N133="","",IFERROR(INDEX('Raw lists'!$B$2:$B$627,MATCH(N133,'Raw lists'!$B$2:$B$627,0))&amp;" | ",""))&amp;IF(O133="","",IFERROR(INDEX('Raw lists'!$B$2:$B$627,MATCH(O133,'Raw lists'!$B$2:$B$627,0))&amp;" | ",""))&amp;IF(P133="","",IFERROR(INDEX('Raw lists'!$B$2:$B$627,MATCH(P133,'Raw lists'!$B$2:$B$627,0))&amp;" | ","")))=0,"",LEFT(IF(K133="","",IFERROR(INDEX('Raw lists'!$B$2:$B$627,MATCH(K133,'Raw lists'!$B$2:$B$627,0))&amp;" | ",""))&amp;IF(L133="","",IFERROR(INDEX('Raw lists'!$B$2:$B$627,MATCH(L133,'Raw lists'!$B$2:$B$627,0))&amp;" | ",""))&amp;IF(M133="","",IFERROR(INDEX('Raw lists'!$B$2:$B$627,MATCH(M133,'Raw lists'!$B$2:$B$627,0))&amp;" | ",""))&amp;IF(N133="","",IFERROR(INDEX('Raw lists'!$B$2:$B$627,MATCH(N133,'Raw lists'!$B$2:$B$627,0))&amp;" | ",""))&amp;IF(O133="","",IFERROR(INDEX('Raw lists'!$B$2:$B$627,MATCH(O133,'Raw lists'!$B$2:$B$627,0))&amp;" | ",""))&amp;IF(P133="","",IFERROR(INDEX('Raw lists'!$B$2:$B$627,MATCH(P133,'Raw lists'!$B$2:$B$627,0))&amp;" | ","")),LEN(IF(K133="","",IFERROR(INDEX('Raw lists'!$B$2:$B$627,MATCH(K133,'Raw lists'!$B$2:$B$627,0))&amp;" | ",""))&amp;IF(L133="","",IFERROR(INDEX('Raw lists'!$B$2:$B$627,MATCH(L133,'Raw lists'!$B$2:$B$627,0))&amp;" | ",""))&amp;IF(M133="","",IFERROR(INDEX('Raw lists'!$B$2:$B$627,MATCH(M133,'Raw lists'!$B$2:$B$627,0))&amp;" | ",""))&amp;IF(N133="","",IFERROR(INDEX('Raw lists'!$B$2:$B$627,MATCH(N133,'Raw lists'!$B$2:$B$627,0))&amp;" | ",""))&amp;IF(O133="","",IFERROR(INDEX('Raw lists'!$B$2:$B$627,MATCH(O133,'Raw lists'!$B$2:$B$627,0))&amp;" | ",""))&amp;IF(P133="","",IFERROR(INDEX('Raw lists'!$B$2:$B$627,MATCH(P133,'Raw lists'!$B$2:$B$627,0))&amp;" | ","")))-3))</f>
        <v/>
      </c>
      <c r="E133" s="30" t="str">
        <f>IF(LEN(IF(K133="","",IFERROR(INDEX('Raw lists'!$C$2:$C$616,MATCH(K133,'Raw lists'!$C$2:$C$616,0))&amp;" | ",""))&amp;IF(L133="","",IFERROR(INDEX('Raw lists'!$C$2:$C$616,MATCH(L133,'Raw lists'!$C$2:$C$616,0))&amp;" | ",""))&amp;IF(M133="","",IFERROR(INDEX('Raw lists'!$C$2:$C$616,MATCH(M133,'Raw lists'!$C$2:$C$616,0))&amp;" | ",""))&amp;IF(N133="","",IFERROR(INDEX('Raw lists'!$C$2:$C$616,MATCH(N133,'Raw lists'!$C$2:$C$616,0))&amp;" | ",""))&amp;IF(O133="","",IFERROR(INDEX('Raw lists'!$C$2:$C$616,MATCH(O133,'Raw lists'!$C$2:$C$616,0))&amp;" | ",""))&amp;IF(P133="","",IFERROR(INDEX('Raw lists'!$C$2:$C$616,MATCH(P133,'Raw lists'!$C$2:$C$616,0))&amp;" | ","")))=0,"",LEFT(IF(K133="","",IFERROR(INDEX('Raw lists'!$C$2:$C$616,MATCH(K133,'Raw lists'!$C$2:$C$616,0))&amp;" | ",""))&amp;IF(L133="","",IFERROR(INDEX('Raw lists'!$C$2:$C$616,MATCH(L133,'Raw lists'!$C$2:$C$616,0))&amp;" | ",""))&amp;IF(M133="","",IFERROR(INDEX('Raw lists'!$C$2:$C$616,MATCH(M133,'Raw lists'!$C$2:$C$616,0))&amp;" | ",""))&amp;IF(N133="","",IFERROR(INDEX('Raw lists'!$C$2:$C$616,MATCH(N133,'Raw lists'!$C$2:$C$616,0))&amp;" | ",""))&amp;IF(O133="","",IFERROR(INDEX('Raw lists'!$C$2:$C$616,MATCH(O133,'Raw lists'!$C$2:$C$616,0))&amp;" | ",""))&amp;IF(P133="","",IFERROR(INDEX('Raw lists'!$C$2:$C$616,MATCH(P133,'Raw lists'!$C$2:$C$616,0))&amp;" | ","")),LEN(IF(K133="","",IFERROR(INDEX('Raw lists'!$C$2:$C$616,MATCH(K133,'Raw lists'!$C$2:$C$616,0))&amp;" | ",""))&amp;IF(L133="","",IFERROR(INDEX('Raw lists'!$C$2:$C$616,MATCH(L133,'Raw lists'!$C$2:$C$616,0))&amp;" | ",""))&amp;IF(M133="","",IFERROR(INDEX('Raw lists'!$C$2:$C$616,MATCH(M133,'Raw lists'!$C$2:$C$616,0))&amp;" | ",""))&amp;IF(N133="","",IFERROR(INDEX('Raw lists'!$C$2:$C$616,MATCH(N133,'Raw lists'!$C$2:$C$616,0))&amp;" | ",""))&amp;IF(O133="","",IFERROR(INDEX('Raw lists'!$C$2:$C$616,MATCH(O133,'Raw lists'!$C$2:$C$616,0))&amp;" | ",""))&amp;IF(P133="","",IFERROR(INDEX('Raw lists'!$C$2:$C$616,MATCH(P133,'Raw lists'!$C$2:$C$616,0))&amp;" | ","")))-3))</f>
        <v>Communication Kit</v>
      </c>
      <c r="F133" s="28" t="s">
        <v>17</v>
      </c>
      <c r="G133" s="30" t="s">
        <v>545</v>
      </c>
      <c r="H133" s="28">
        <f t="shared" si="4"/>
        <v>2</v>
      </c>
      <c r="I133" s="31" t="str">
        <f t="shared" si="5"/>
        <v>Gemini + YAKE</v>
      </c>
      <c r="K133" s="32" t="s">
        <v>546</v>
      </c>
      <c r="L133" s="32"/>
      <c r="M133" s="32"/>
      <c r="N133" s="32"/>
      <c r="O133" s="32"/>
      <c r="P133" s="32"/>
    </row>
    <row r="134" spans="1:16" x14ac:dyDescent="0.3">
      <c r="A134" s="28">
        <v>133</v>
      </c>
      <c r="B134" s="29" t="s">
        <v>547</v>
      </c>
      <c r="C134" s="30" t="str">
        <f>IF(LEN(IF(K134="","",IFERROR(INDEX('Raw lists'!$A$2:$A$192,MATCH(K134,'Raw lists'!$A$2:$A$192,0))&amp;" | ",""))&amp;IF(L134="","",IFERROR(INDEX('Raw lists'!$A$2:$A$192,MATCH(L134,'Raw lists'!$A$2:$A$192,0))&amp;" | ",""))&amp;IF(M134="","",IFERROR(INDEX('Raw lists'!$A$2:$A$192,MATCH(M134,'Raw lists'!$A$2:$A$192,0))&amp;" | ",""))&amp;IF(N134="","",IFERROR(INDEX('Raw lists'!$A$2:$A$192,MATCH(N134,'Raw lists'!$A$2:$A$192,0))&amp;" | ",""))&amp;IF(O134="","",IFERROR(INDEX('Raw lists'!$A$2:$A$192,MATCH(O134,'Raw lists'!$A$2:$A$192,0))&amp;" | ",""))&amp;IF(P134="","",IFERROR(INDEX('Raw lists'!$A$2:$A$192,MATCH(P134,'Raw lists'!$A$2:$A$192,0))&amp;" | ","")))=0,"",LEFT(IF(K134="","",IFERROR(INDEX('Raw lists'!$A$2:$A$192,MATCH(K134,'Raw lists'!$A$2:$A$192,0))&amp;" | ",""))&amp;IF(L134="","",IFERROR(INDEX('Raw lists'!$A$2:$A$192,MATCH(L134,'Raw lists'!$A$2:$A$192,0))&amp;" | ",""))&amp;IF(M134="","",IFERROR(INDEX('Raw lists'!$A$2:$A$192,MATCH(M134,'Raw lists'!$A$2:$A$192,0))&amp;" | ",""))&amp;IF(N134="","",IFERROR(INDEX('Raw lists'!$A$2:$A$192,MATCH(N134,'Raw lists'!$A$2:$A$192,0))&amp;" | ",""))&amp;IF(O134="","",IFERROR(INDEX('Raw lists'!$A$2:$A$192,MATCH(O134,'Raw lists'!$A$2:$A$192,0))&amp;" | ",""))&amp;IF(P134="","",IFERROR(INDEX('Raw lists'!$A$2:$A$192,MATCH(P134,'Raw lists'!$A$2:$A$192,0))&amp;" | ","")),LEN(IF(K134="","",IFERROR(INDEX('Raw lists'!$A$2:$A$192,MATCH(K134,'Raw lists'!$A$2:$A$192,0))&amp;" | ",""))&amp;IF(L134="","",IFERROR(INDEX('Raw lists'!$A$2:$A$192,MATCH(L134,'Raw lists'!$A$2:$A$192,0))&amp;" | ",""))&amp;IF(M134="","",IFERROR(INDEX('Raw lists'!$A$2:$A$192,MATCH(M134,'Raw lists'!$A$2:$A$192,0))&amp;" | ",""))&amp;IF(N134="","",IFERROR(INDEX('Raw lists'!$A$2:$A$192,MATCH(N134,'Raw lists'!$A$2:$A$192,0))&amp;" | ",""))&amp;IF(O134="","",IFERROR(INDEX('Raw lists'!$A$2:$A$192,MATCH(O134,'Raw lists'!$A$2:$A$192,0))&amp;" | ",""))&amp;IF(P134="","",IFERROR(INDEX('Raw lists'!$A$2:$A$192,MATCH(P134,'Raw lists'!$A$2:$A$192,0))&amp;" | ","")))-3))</f>
        <v/>
      </c>
      <c r="D134" s="30" t="str">
        <f>IF(LEN(IF(K134="","",IFERROR(INDEX('Raw lists'!$B$2:$B$627,MATCH(K134,'Raw lists'!$B$2:$B$627,0))&amp;" | ",""))&amp;IF(L134="","",IFERROR(INDEX('Raw lists'!$B$2:$B$627,MATCH(L134,'Raw lists'!$B$2:$B$627,0))&amp;" | ",""))&amp;IF(M134="","",IFERROR(INDEX('Raw lists'!$B$2:$B$627,MATCH(M134,'Raw lists'!$B$2:$B$627,0))&amp;" | ",""))&amp;IF(N134="","",IFERROR(INDEX('Raw lists'!$B$2:$B$627,MATCH(N134,'Raw lists'!$B$2:$B$627,0))&amp;" | ",""))&amp;IF(O134="","",IFERROR(INDEX('Raw lists'!$B$2:$B$627,MATCH(O134,'Raw lists'!$B$2:$B$627,0))&amp;" | ",""))&amp;IF(P134="","",IFERROR(INDEX('Raw lists'!$B$2:$B$627,MATCH(P134,'Raw lists'!$B$2:$B$627,0))&amp;" | ","")))=0,"",LEFT(IF(K134="","",IFERROR(INDEX('Raw lists'!$B$2:$B$627,MATCH(K134,'Raw lists'!$B$2:$B$627,0))&amp;" | ",""))&amp;IF(L134="","",IFERROR(INDEX('Raw lists'!$B$2:$B$627,MATCH(L134,'Raw lists'!$B$2:$B$627,0))&amp;" | ",""))&amp;IF(M134="","",IFERROR(INDEX('Raw lists'!$B$2:$B$627,MATCH(M134,'Raw lists'!$B$2:$B$627,0))&amp;" | ",""))&amp;IF(N134="","",IFERROR(INDEX('Raw lists'!$B$2:$B$627,MATCH(N134,'Raw lists'!$B$2:$B$627,0))&amp;" | ",""))&amp;IF(O134="","",IFERROR(INDEX('Raw lists'!$B$2:$B$627,MATCH(O134,'Raw lists'!$B$2:$B$627,0))&amp;" | ",""))&amp;IF(P134="","",IFERROR(INDEX('Raw lists'!$B$2:$B$627,MATCH(P134,'Raw lists'!$B$2:$B$627,0))&amp;" | ","")),LEN(IF(K134="","",IFERROR(INDEX('Raw lists'!$B$2:$B$627,MATCH(K134,'Raw lists'!$B$2:$B$627,0))&amp;" | ",""))&amp;IF(L134="","",IFERROR(INDEX('Raw lists'!$B$2:$B$627,MATCH(L134,'Raw lists'!$B$2:$B$627,0))&amp;" | ",""))&amp;IF(M134="","",IFERROR(INDEX('Raw lists'!$B$2:$B$627,MATCH(M134,'Raw lists'!$B$2:$B$627,0))&amp;" | ",""))&amp;IF(N134="","",IFERROR(INDEX('Raw lists'!$B$2:$B$627,MATCH(N134,'Raw lists'!$B$2:$B$627,0))&amp;" | ",""))&amp;IF(O134="","",IFERROR(INDEX('Raw lists'!$B$2:$B$627,MATCH(O134,'Raw lists'!$B$2:$B$627,0))&amp;" | ",""))&amp;IF(P134="","",IFERROR(INDEX('Raw lists'!$B$2:$B$627,MATCH(P134,'Raw lists'!$B$2:$B$627,0))&amp;" | ","")))-3))</f>
        <v/>
      </c>
      <c r="E134" s="30" t="str">
        <f>IF(LEN(IF(K134="","",IFERROR(INDEX('Raw lists'!$C$2:$C$616,MATCH(K134,'Raw lists'!$C$2:$C$616,0))&amp;" | ",""))&amp;IF(L134="","",IFERROR(INDEX('Raw lists'!$C$2:$C$616,MATCH(L134,'Raw lists'!$C$2:$C$616,0))&amp;" | ",""))&amp;IF(M134="","",IFERROR(INDEX('Raw lists'!$C$2:$C$616,MATCH(M134,'Raw lists'!$C$2:$C$616,0))&amp;" | ",""))&amp;IF(N134="","",IFERROR(INDEX('Raw lists'!$C$2:$C$616,MATCH(N134,'Raw lists'!$C$2:$C$616,0))&amp;" | ",""))&amp;IF(O134="","",IFERROR(INDEX('Raw lists'!$C$2:$C$616,MATCH(O134,'Raw lists'!$C$2:$C$616,0))&amp;" | ",""))&amp;IF(P134="","",IFERROR(INDEX('Raw lists'!$C$2:$C$616,MATCH(P134,'Raw lists'!$C$2:$C$616,0))&amp;" | ","")))=0,"",LEFT(IF(K134="","",IFERROR(INDEX('Raw lists'!$C$2:$C$616,MATCH(K134,'Raw lists'!$C$2:$C$616,0))&amp;" | ",""))&amp;IF(L134="","",IFERROR(INDEX('Raw lists'!$C$2:$C$616,MATCH(L134,'Raw lists'!$C$2:$C$616,0))&amp;" | ",""))&amp;IF(M134="","",IFERROR(INDEX('Raw lists'!$C$2:$C$616,MATCH(M134,'Raw lists'!$C$2:$C$616,0))&amp;" | ",""))&amp;IF(N134="","",IFERROR(INDEX('Raw lists'!$C$2:$C$616,MATCH(N134,'Raw lists'!$C$2:$C$616,0))&amp;" | ",""))&amp;IF(O134="","",IFERROR(INDEX('Raw lists'!$C$2:$C$616,MATCH(O134,'Raw lists'!$C$2:$C$616,0))&amp;" | ",""))&amp;IF(P134="","",IFERROR(INDEX('Raw lists'!$C$2:$C$616,MATCH(P134,'Raw lists'!$C$2:$C$616,0))&amp;" | ","")),LEN(IF(K134="","",IFERROR(INDEX('Raw lists'!$C$2:$C$616,MATCH(K134,'Raw lists'!$C$2:$C$616,0))&amp;" | ",""))&amp;IF(L134="","",IFERROR(INDEX('Raw lists'!$C$2:$C$616,MATCH(L134,'Raw lists'!$C$2:$C$616,0))&amp;" | ",""))&amp;IF(M134="","",IFERROR(INDEX('Raw lists'!$C$2:$C$616,MATCH(M134,'Raw lists'!$C$2:$C$616,0))&amp;" | ",""))&amp;IF(N134="","",IFERROR(INDEX('Raw lists'!$C$2:$C$616,MATCH(N134,'Raw lists'!$C$2:$C$616,0))&amp;" | ",""))&amp;IF(O134="","",IFERROR(INDEX('Raw lists'!$C$2:$C$616,MATCH(O134,'Raw lists'!$C$2:$C$616,0))&amp;" | ",""))&amp;IF(P134="","",IFERROR(INDEX('Raw lists'!$C$2:$C$616,MATCH(P134,'Raw lists'!$C$2:$C$616,0))&amp;" | ","")))-3))</f>
        <v/>
      </c>
      <c r="F134" s="28" t="s">
        <v>17</v>
      </c>
      <c r="G134" s="30" t="s">
        <v>548</v>
      </c>
      <c r="H134" s="28">
        <f t="shared" si="4"/>
        <v>0</v>
      </c>
      <c r="I134" s="31" t="str">
        <f t="shared" si="5"/>
        <v>None</v>
      </c>
      <c r="K134" s="32" t="s">
        <v>547</v>
      </c>
      <c r="L134" s="32"/>
      <c r="M134" s="32"/>
      <c r="N134" s="32"/>
      <c r="O134" s="32"/>
      <c r="P134" s="32"/>
    </row>
    <row r="135" spans="1:16" x14ac:dyDescent="0.3">
      <c r="A135" s="28">
        <v>134</v>
      </c>
      <c r="B135" s="29" t="s">
        <v>549</v>
      </c>
      <c r="C135" s="30" t="str">
        <f>IF(LEN(IF(K135="","",IFERROR(INDEX('Raw lists'!$A$2:$A$192,MATCH(K135,'Raw lists'!$A$2:$A$192,0))&amp;" | ",""))&amp;IF(L135="","",IFERROR(INDEX('Raw lists'!$A$2:$A$192,MATCH(L135,'Raw lists'!$A$2:$A$192,0))&amp;" | ",""))&amp;IF(M135="","",IFERROR(INDEX('Raw lists'!$A$2:$A$192,MATCH(M135,'Raw lists'!$A$2:$A$192,0))&amp;" | ",""))&amp;IF(N135="","",IFERROR(INDEX('Raw lists'!$A$2:$A$192,MATCH(N135,'Raw lists'!$A$2:$A$192,0))&amp;" | ",""))&amp;IF(O135="","",IFERROR(INDEX('Raw lists'!$A$2:$A$192,MATCH(O135,'Raw lists'!$A$2:$A$192,0))&amp;" | ",""))&amp;IF(P135="","",IFERROR(INDEX('Raw lists'!$A$2:$A$192,MATCH(P135,'Raw lists'!$A$2:$A$192,0))&amp;" | ","")))=0,"",LEFT(IF(K135="","",IFERROR(INDEX('Raw lists'!$A$2:$A$192,MATCH(K135,'Raw lists'!$A$2:$A$192,0))&amp;" | ",""))&amp;IF(L135="","",IFERROR(INDEX('Raw lists'!$A$2:$A$192,MATCH(L135,'Raw lists'!$A$2:$A$192,0))&amp;" | ",""))&amp;IF(M135="","",IFERROR(INDEX('Raw lists'!$A$2:$A$192,MATCH(M135,'Raw lists'!$A$2:$A$192,0))&amp;" | ",""))&amp;IF(N135="","",IFERROR(INDEX('Raw lists'!$A$2:$A$192,MATCH(N135,'Raw lists'!$A$2:$A$192,0))&amp;" | ",""))&amp;IF(O135="","",IFERROR(INDEX('Raw lists'!$A$2:$A$192,MATCH(O135,'Raw lists'!$A$2:$A$192,0))&amp;" | ",""))&amp;IF(P135="","",IFERROR(INDEX('Raw lists'!$A$2:$A$192,MATCH(P135,'Raw lists'!$A$2:$A$192,0))&amp;" | ","")),LEN(IF(K135="","",IFERROR(INDEX('Raw lists'!$A$2:$A$192,MATCH(K135,'Raw lists'!$A$2:$A$192,0))&amp;" | ",""))&amp;IF(L135="","",IFERROR(INDEX('Raw lists'!$A$2:$A$192,MATCH(L135,'Raw lists'!$A$2:$A$192,0))&amp;" | ",""))&amp;IF(M135="","",IFERROR(INDEX('Raw lists'!$A$2:$A$192,MATCH(M135,'Raw lists'!$A$2:$A$192,0))&amp;" | ",""))&amp;IF(N135="","",IFERROR(INDEX('Raw lists'!$A$2:$A$192,MATCH(N135,'Raw lists'!$A$2:$A$192,0))&amp;" | ",""))&amp;IF(O135="","",IFERROR(INDEX('Raw lists'!$A$2:$A$192,MATCH(O135,'Raw lists'!$A$2:$A$192,0))&amp;" | ",""))&amp;IF(P135="","",IFERROR(INDEX('Raw lists'!$A$2:$A$192,MATCH(P135,'Raw lists'!$A$2:$A$192,0))&amp;" | ","")))-3))</f>
        <v/>
      </c>
      <c r="D135" s="30" t="str">
        <f>IF(LEN(IF(K135="","",IFERROR(INDEX('Raw lists'!$B$2:$B$627,MATCH(K135,'Raw lists'!$B$2:$B$627,0))&amp;" | ",""))&amp;IF(L135="","",IFERROR(INDEX('Raw lists'!$B$2:$B$627,MATCH(L135,'Raw lists'!$B$2:$B$627,0))&amp;" | ",""))&amp;IF(M135="","",IFERROR(INDEX('Raw lists'!$B$2:$B$627,MATCH(M135,'Raw lists'!$B$2:$B$627,0))&amp;" | ",""))&amp;IF(N135="","",IFERROR(INDEX('Raw lists'!$B$2:$B$627,MATCH(N135,'Raw lists'!$B$2:$B$627,0))&amp;" | ",""))&amp;IF(O135="","",IFERROR(INDEX('Raw lists'!$B$2:$B$627,MATCH(O135,'Raw lists'!$B$2:$B$627,0))&amp;" | ",""))&amp;IF(P135="","",IFERROR(INDEX('Raw lists'!$B$2:$B$627,MATCH(P135,'Raw lists'!$B$2:$B$627,0))&amp;" | ","")))=0,"",LEFT(IF(K135="","",IFERROR(INDEX('Raw lists'!$B$2:$B$627,MATCH(K135,'Raw lists'!$B$2:$B$627,0))&amp;" | ",""))&amp;IF(L135="","",IFERROR(INDEX('Raw lists'!$B$2:$B$627,MATCH(L135,'Raw lists'!$B$2:$B$627,0))&amp;" | ",""))&amp;IF(M135="","",IFERROR(INDEX('Raw lists'!$B$2:$B$627,MATCH(M135,'Raw lists'!$B$2:$B$627,0))&amp;" | ",""))&amp;IF(N135="","",IFERROR(INDEX('Raw lists'!$B$2:$B$627,MATCH(N135,'Raw lists'!$B$2:$B$627,0))&amp;" | ",""))&amp;IF(O135="","",IFERROR(INDEX('Raw lists'!$B$2:$B$627,MATCH(O135,'Raw lists'!$B$2:$B$627,0))&amp;" | ",""))&amp;IF(P135="","",IFERROR(INDEX('Raw lists'!$B$2:$B$627,MATCH(P135,'Raw lists'!$B$2:$B$627,0))&amp;" | ","")),LEN(IF(K135="","",IFERROR(INDEX('Raw lists'!$B$2:$B$627,MATCH(K135,'Raw lists'!$B$2:$B$627,0))&amp;" | ",""))&amp;IF(L135="","",IFERROR(INDEX('Raw lists'!$B$2:$B$627,MATCH(L135,'Raw lists'!$B$2:$B$627,0))&amp;" | ",""))&amp;IF(M135="","",IFERROR(INDEX('Raw lists'!$B$2:$B$627,MATCH(M135,'Raw lists'!$B$2:$B$627,0))&amp;" | ",""))&amp;IF(N135="","",IFERROR(INDEX('Raw lists'!$B$2:$B$627,MATCH(N135,'Raw lists'!$B$2:$B$627,0))&amp;" | ",""))&amp;IF(O135="","",IFERROR(INDEX('Raw lists'!$B$2:$B$627,MATCH(O135,'Raw lists'!$B$2:$B$627,0))&amp;" | ",""))&amp;IF(P135="","",IFERROR(INDEX('Raw lists'!$B$2:$B$627,MATCH(P135,'Raw lists'!$B$2:$B$627,0))&amp;" | ","")))-3))</f>
        <v/>
      </c>
      <c r="E135" s="30" t="str">
        <f>IF(LEN(IF(K135="","",IFERROR(INDEX('Raw lists'!$C$2:$C$616,MATCH(K135,'Raw lists'!$C$2:$C$616,0))&amp;" | ",""))&amp;IF(L135="","",IFERROR(INDEX('Raw lists'!$C$2:$C$616,MATCH(L135,'Raw lists'!$C$2:$C$616,0))&amp;" | ",""))&amp;IF(M135="","",IFERROR(INDEX('Raw lists'!$C$2:$C$616,MATCH(M135,'Raw lists'!$C$2:$C$616,0))&amp;" | ",""))&amp;IF(N135="","",IFERROR(INDEX('Raw lists'!$C$2:$C$616,MATCH(N135,'Raw lists'!$C$2:$C$616,0))&amp;" | ",""))&amp;IF(O135="","",IFERROR(INDEX('Raw lists'!$C$2:$C$616,MATCH(O135,'Raw lists'!$C$2:$C$616,0))&amp;" | ",""))&amp;IF(P135="","",IFERROR(INDEX('Raw lists'!$C$2:$C$616,MATCH(P135,'Raw lists'!$C$2:$C$616,0))&amp;" | ","")))=0,"",LEFT(IF(K135="","",IFERROR(INDEX('Raw lists'!$C$2:$C$616,MATCH(K135,'Raw lists'!$C$2:$C$616,0))&amp;" | ",""))&amp;IF(L135="","",IFERROR(INDEX('Raw lists'!$C$2:$C$616,MATCH(L135,'Raw lists'!$C$2:$C$616,0))&amp;" | ",""))&amp;IF(M135="","",IFERROR(INDEX('Raw lists'!$C$2:$C$616,MATCH(M135,'Raw lists'!$C$2:$C$616,0))&amp;" | ",""))&amp;IF(N135="","",IFERROR(INDEX('Raw lists'!$C$2:$C$616,MATCH(N135,'Raw lists'!$C$2:$C$616,0))&amp;" | ",""))&amp;IF(O135="","",IFERROR(INDEX('Raw lists'!$C$2:$C$616,MATCH(O135,'Raw lists'!$C$2:$C$616,0))&amp;" | ",""))&amp;IF(P135="","",IFERROR(INDEX('Raw lists'!$C$2:$C$616,MATCH(P135,'Raw lists'!$C$2:$C$616,0))&amp;" | ","")),LEN(IF(K135="","",IFERROR(INDEX('Raw lists'!$C$2:$C$616,MATCH(K135,'Raw lists'!$C$2:$C$616,0))&amp;" | ",""))&amp;IF(L135="","",IFERROR(INDEX('Raw lists'!$C$2:$C$616,MATCH(L135,'Raw lists'!$C$2:$C$616,0))&amp;" | ",""))&amp;IF(M135="","",IFERROR(INDEX('Raw lists'!$C$2:$C$616,MATCH(M135,'Raw lists'!$C$2:$C$616,0))&amp;" | ",""))&amp;IF(N135="","",IFERROR(INDEX('Raw lists'!$C$2:$C$616,MATCH(N135,'Raw lists'!$C$2:$C$616,0))&amp;" | ",""))&amp;IF(O135="","",IFERROR(INDEX('Raw lists'!$C$2:$C$616,MATCH(O135,'Raw lists'!$C$2:$C$616,0))&amp;" | ",""))&amp;IF(P135="","",IFERROR(INDEX('Raw lists'!$C$2:$C$616,MATCH(P135,'Raw lists'!$C$2:$C$616,0))&amp;" | ","")))-3))</f>
        <v/>
      </c>
      <c r="F135" s="28" t="s">
        <v>17</v>
      </c>
      <c r="G135" s="30" t="s">
        <v>550</v>
      </c>
      <c r="H135" s="28">
        <f t="shared" si="4"/>
        <v>0</v>
      </c>
      <c r="I135" s="31" t="str">
        <f t="shared" si="5"/>
        <v>None</v>
      </c>
      <c r="K135" s="32" t="s">
        <v>549</v>
      </c>
      <c r="L135" s="32"/>
      <c r="M135" s="32"/>
      <c r="N135" s="32"/>
      <c r="O135" s="32"/>
      <c r="P135" s="32"/>
    </row>
    <row r="136" spans="1:16" x14ac:dyDescent="0.3">
      <c r="A136" s="28">
        <v>135</v>
      </c>
      <c r="B136" s="29" t="s">
        <v>551</v>
      </c>
      <c r="C136" s="30" t="str">
        <f>IF(LEN(IF(K136="","",IFERROR(INDEX('Raw lists'!$A$2:$A$192,MATCH(K136,'Raw lists'!$A$2:$A$192,0))&amp;" | ",""))&amp;IF(L136="","",IFERROR(INDEX('Raw lists'!$A$2:$A$192,MATCH(L136,'Raw lists'!$A$2:$A$192,0))&amp;" | ",""))&amp;IF(M136="","",IFERROR(INDEX('Raw lists'!$A$2:$A$192,MATCH(M136,'Raw lists'!$A$2:$A$192,0))&amp;" | ",""))&amp;IF(N136="","",IFERROR(INDEX('Raw lists'!$A$2:$A$192,MATCH(N136,'Raw lists'!$A$2:$A$192,0))&amp;" | ",""))&amp;IF(O136="","",IFERROR(INDEX('Raw lists'!$A$2:$A$192,MATCH(O136,'Raw lists'!$A$2:$A$192,0))&amp;" | ",""))&amp;IF(P136="","",IFERROR(INDEX('Raw lists'!$A$2:$A$192,MATCH(P136,'Raw lists'!$A$2:$A$192,0))&amp;" | ","")))=0,"",LEFT(IF(K136="","",IFERROR(INDEX('Raw lists'!$A$2:$A$192,MATCH(K136,'Raw lists'!$A$2:$A$192,0))&amp;" | ",""))&amp;IF(L136="","",IFERROR(INDEX('Raw lists'!$A$2:$A$192,MATCH(L136,'Raw lists'!$A$2:$A$192,0))&amp;" | ",""))&amp;IF(M136="","",IFERROR(INDEX('Raw lists'!$A$2:$A$192,MATCH(M136,'Raw lists'!$A$2:$A$192,0))&amp;" | ",""))&amp;IF(N136="","",IFERROR(INDEX('Raw lists'!$A$2:$A$192,MATCH(N136,'Raw lists'!$A$2:$A$192,0))&amp;" | ",""))&amp;IF(O136="","",IFERROR(INDEX('Raw lists'!$A$2:$A$192,MATCH(O136,'Raw lists'!$A$2:$A$192,0))&amp;" | ",""))&amp;IF(P136="","",IFERROR(INDEX('Raw lists'!$A$2:$A$192,MATCH(P136,'Raw lists'!$A$2:$A$192,0))&amp;" | ","")),LEN(IF(K136="","",IFERROR(INDEX('Raw lists'!$A$2:$A$192,MATCH(K136,'Raw lists'!$A$2:$A$192,0))&amp;" | ",""))&amp;IF(L136="","",IFERROR(INDEX('Raw lists'!$A$2:$A$192,MATCH(L136,'Raw lists'!$A$2:$A$192,0))&amp;" | ",""))&amp;IF(M136="","",IFERROR(INDEX('Raw lists'!$A$2:$A$192,MATCH(M136,'Raw lists'!$A$2:$A$192,0))&amp;" | ",""))&amp;IF(N136="","",IFERROR(INDEX('Raw lists'!$A$2:$A$192,MATCH(N136,'Raw lists'!$A$2:$A$192,0))&amp;" | ",""))&amp;IF(O136="","",IFERROR(INDEX('Raw lists'!$A$2:$A$192,MATCH(O136,'Raw lists'!$A$2:$A$192,0))&amp;" | ",""))&amp;IF(P136="","",IFERROR(INDEX('Raw lists'!$A$2:$A$192,MATCH(P136,'Raw lists'!$A$2:$A$192,0))&amp;" | ","")))-3))</f>
        <v/>
      </c>
      <c r="D136" s="30" t="str">
        <f>IF(LEN(IF(K136="","",IFERROR(INDEX('Raw lists'!$B$2:$B$627,MATCH(K136,'Raw lists'!$B$2:$B$627,0))&amp;" | ",""))&amp;IF(L136="","",IFERROR(INDEX('Raw lists'!$B$2:$B$627,MATCH(L136,'Raw lists'!$B$2:$B$627,0))&amp;" | ",""))&amp;IF(M136="","",IFERROR(INDEX('Raw lists'!$B$2:$B$627,MATCH(M136,'Raw lists'!$B$2:$B$627,0))&amp;" | ",""))&amp;IF(N136="","",IFERROR(INDEX('Raw lists'!$B$2:$B$627,MATCH(N136,'Raw lists'!$B$2:$B$627,0))&amp;" | ",""))&amp;IF(O136="","",IFERROR(INDEX('Raw lists'!$B$2:$B$627,MATCH(O136,'Raw lists'!$B$2:$B$627,0))&amp;" | ",""))&amp;IF(P136="","",IFERROR(INDEX('Raw lists'!$B$2:$B$627,MATCH(P136,'Raw lists'!$B$2:$B$627,0))&amp;" | ","")))=0,"",LEFT(IF(K136="","",IFERROR(INDEX('Raw lists'!$B$2:$B$627,MATCH(K136,'Raw lists'!$B$2:$B$627,0))&amp;" | ",""))&amp;IF(L136="","",IFERROR(INDEX('Raw lists'!$B$2:$B$627,MATCH(L136,'Raw lists'!$B$2:$B$627,0))&amp;" | ",""))&amp;IF(M136="","",IFERROR(INDEX('Raw lists'!$B$2:$B$627,MATCH(M136,'Raw lists'!$B$2:$B$627,0))&amp;" | ",""))&amp;IF(N136="","",IFERROR(INDEX('Raw lists'!$B$2:$B$627,MATCH(N136,'Raw lists'!$B$2:$B$627,0))&amp;" | ",""))&amp;IF(O136="","",IFERROR(INDEX('Raw lists'!$B$2:$B$627,MATCH(O136,'Raw lists'!$B$2:$B$627,0))&amp;" | ",""))&amp;IF(P136="","",IFERROR(INDEX('Raw lists'!$B$2:$B$627,MATCH(P136,'Raw lists'!$B$2:$B$627,0))&amp;" | ","")),LEN(IF(K136="","",IFERROR(INDEX('Raw lists'!$B$2:$B$627,MATCH(K136,'Raw lists'!$B$2:$B$627,0))&amp;" | ",""))&amp;IF(L136="","",IFERROR(INDEX('Raw lists'!$B$2:$B$627,MATCH(L136,'Raw lists'!$B$2:$B$627,0))&amp;" | ",""))&amp;IF(M136="","",IFERROR(INDEX('Raw lists'!$B$2:$B$627,MATCH(M136,'Raw lists'!$B$2:$B$627,0))&amp;" | ",""))&amp;IF(N136="","",IFERROR(INDEX('Raw lists'!$B$2:$B$627,MATCH(N136,'Raw lists'!$B$2:$B$627,0))&amp;" | ",""))&amp;IF(O136="","",IFERROR(INDEX('Raw lists'!$B$2:$B$627,MATCH(O136,'Raw lists'!$B$2:$B$627,0))&amp;" | ",""))&amp;IF(P136="","",IFERROR(INDEX('Raw lists'!$B$2:$B$627,MATCH(P136,'Raw lists'!$B$2:$B$627,0))&amp;" | ","")))-3))</f>
        <v/>
      </c>
      <c r="E136" s="30" t="str">
        <f>IF(LEN(IF(K136="","",IFERROR(INDEX('Raw lists'!$C$2:$C$616,MATCH(K136,'Raw lists'!$C$2:$C$616,0))&amp;" | ",""))&amp;IF(L136="","",IFERROR(INDEX('Raw lists'!$C$2:$C$616,MATCH(L136,'Raw lists'!$C$2:$C$616,0))&amp;" | ",""))&amp;IF(M136="","",IFERROR(INDEX('Raw lists'!$C$2:$C$616,MATCH(M136,'Raw lists'!$C$2:$C$616,0))&amp;" | ",""))&amp;IF(N136="","",IFERROR(INDEX('Raw lists'!$C$2:$C$616,MATCH(N136,'Raw lists'!$C$2:$C$616,0))&amp;" | ",""))&amp;IF(O136="","",IFERROR(INDEX('Raw lists'!$C$2:$C$616,MATCH(O136,'Raw lists'!$C$2:$C$616,0))&amp;" | ",""))&amp;IF(P136="","",IFERROR(INDEX('Raw lists'!$C$2:$C$616,MATCH(P136,'Raw lists'!$C$2:$C$616,0))&amp;" | ","")))=0,"",LEFT(IF(K136="","",IFERROR(INDEX('Raw lists'!$C$2:$C$616,MATCH(K136,'Raw lists'!$C$2:$C$616,0))&amp;" | ",""))&amp;IF(L136="","",IFERROR(INDEX('Raw lists'!$C$2:$C$616,MATCH(L136,'Raw lists'!$C$2:$C$616,0))&amp;" | ",""))&amp;IF(M136="","",IFERROR(INDEX('Raw lists'!$C$2:$C$616,MATCH(M136,'Raw lists'!$C$2:$C$616,0))&amp;" | ",""))&amp;IF(N136="","",IFERROR(INDEX('Raw lists'!$C$2:$C$616,MATCH(N136,'Raw lists'!$C$2:$C$616,0))&amp;" | ",""))&amp;IF(O136="","",IFERROR(INDEX('Raw lists'!$C$2:$C$616,MATCH(O136,'Raw lists'!$C$2:$C$616,0))&amp;" | ",""))&amp;IF(P136="","",IFERROR(INDEX('Raw lists'!$C$2:$C$616,MATCH(P136,'Raw lists'!$C$2:$C$616,0))&amp;" | ","")),LEN(IF(K136="","",IFERROR(INDEX('Raw lists'!$C$2:$C$616,MATCH(K136,'Raw lists'!$C$2:$C$616,0))&amp;" | ",""))&amp;IF(L136="","",IFERROR(INDEX('Raw lists'!$C$2:$C$616,MATCH(L136,'Raw lists'!$C$2:$C$616,0))&amp;" | ",""))&amp;IF(M136="","",IFERROR(INDEX('Raw lists'!$C$2:$C$616,MATCH(M136,'Raw lists'!$C$2:$C$616,0))&amp;" | ",""))&amp;IF(N136="","",IFERROR(INDEX('Raw lists'!$C$2:$C$616,MATCH(N136,'Raw lists'!$C$2:$C$616,0))&amp;" | ",""))&amp;IF(O136="","",IFERROR(INDEX('Raw lists'!$C$2:$C$616,MATCH(O136,'Raw lists'!$C$2:$C$616,0))&amp;" | ",""))&amp;IF(P136="","",IFERROR(INDEX('Raw lists'!$C$2:$C$616,MATCH(P136,'Raw lists'!$C$2:$C$616,0))&amp;" | ","")))-3))</f>
        <v/>
      </c>
      <c r="F136" s="28" t="s">
        <v>17</v>
      </c>
      <c r="G136" s="30" t="s">
        <v>552</v>
      </c>
      <c r="H136" s="28">
        <f t="shared" si="4"/>
        <v>0</v>
      </c>
      <c r="I136" s="31" t="str">
        <f t="shared" si="5"/>
        <v>None</v>
      </c>
      <c r="K136" s="32" t="s">
        <v>553</v>
      </c>
      <c r="L136" s="32" t="s">
        <v>551</v>
      </c>
      <c r="M136" s="32" t="s">
        <v>554</v>
      </c>
      <c r="N136" s="32"/>
      <c r="O136" s="32"/>
      <c r="P136" s="32"/>
    </row>
    <row r="137" spans="1:16" x14ac:dyDescent="0.3">
      <c r="A137" s="28">
        <v>136</v>
      </c>
      <c r="B137" s="29" t="s">
        <v>555</v>
      </c>
      <c r="C137" s="30" t="str">
        <f>IF(LEN(IF(K137="","",IFERROR(INDEX('Raw lists'!$A$2:$A$192,MATCH(K137,'Raw lists'!$A$2:$A$192,0))&amp;" | ",""))&amp;IF(L137="","",IFERROR(INDEX('Raw lists'!$A$2:$A$192,MATCH(L137,'Raw lists'!$A$2:$A$192,0))&amp;" | ",""))&amp;IF(M137="","",IFERROR(INDEX('Raw lists'!$A$2:$A$192,MATCH(M137,'Raw lists'!$A$2:$A$192,0))&amp;" | ",""))&amp;IF(N137="","",IFERROR(INDEX('Raw lists'!$A$2:$A$192,MATCH(N137,'Raw lists'!$A$2:$A$192,0))&amp;" | ",""))&amp;IF(O137="","",IFERROR(INDEX('Raw lists'!$A$2:$A$192,MATCH(O137,'Raw lists'!$A$2:$A$192,0))&amp;" | ",""))&amp;IF(P137="","",IFERROR(INDEX('Raw lists'!$A$2:$A$192,MATCH(P137,'Raw lists'!$A$2:$A$192,0))&amp;" | ","")))=0,"",LEFT(IF(K137="","",IFERROR(INDEX('Raw lists'!$A$2:$A$192,MATCH(K137,'Raw lists'!$A$2:$A$192,0))&amp;" | ",""))&amp;IF(L137="","",IFERROR(INDEX('Raw lists'!$A$2:$A$192,MATCH(L137,'Raw lists'!$A$2:$A$192,0))&amp;" | ",""))&amp;IF(M137="","",IFERROR(INDEX('Raw lists'!$A$2:$A$192,MATCH(M137,'Raw lists'!$A$2:$A$192,0))&amp;" | ",""))&amp;IF(N137="","",IFERROR(INDEX('Raw lists'!$A$2:$A$192,MATCH(N137,'Raw lists'!$A$2:$A$192,0))&amp;" | ",""))&amp;IF(O137="","",IFERROR(INDEX('Raw lists'!$A$2:$A$192,MATCH(O137,'Raw lists'!$A$2:$A$192,0))&amp;" | ",""))&amp;IF(P137="","",IFERROR(INDEX('Raw lists'!$A$2:$A$192,MATCH(P137,'Raw lists'!$A$2:$A$192,0))&amp;" | ","")),LEN(IF(K137="","",IFERROR(INDEX('Raw lists'!$A$2:$A$192,MATCH(K137,'Raw lists'!$A$2:$A$192,0))&amp;" | ",""))&amp;IF(L137="","",IFERROR(INDEX('Raw lists'!$A$2:$A$192,MATCH(L137,'Raw lists'!$A$2:$A$192,0))&amp;" | ",""))&amp;IF(M137="","",IFERROR(INDEX('Raw lists'!$A$2:$A$192,MATCH(M137,'Raw lists'!$A$2:$A$192,0))&amp;" | ",""))&amp;IF(N137="","",IFERROR(INDEX('Raw lists'!$A$2:$A$192,MATCH(N137,'Raw lists'!$A$2:$A$192,0))&amp;" | ",""))&amp;IF(O137="","",IFERROR(INDEX('Raw lists'!$A$2:$A$192,MATCH(O137,'Raw lists'!$A$2:$A$192,0))&amp;" | ",""))&amp;IF(P137="","",IFERROR(INDEX('Raw lists'!$A$2:$A$192,MATCH(P137,'Raw lists'!$A$2:$A$192,0))&amp;" | ","")))-3))</f>
        <v/>
      </c>
      <c r="D137" s="30" t="str">
        <f>IF(LEN(IF(K137="","",IFERROR(INDEX('Raw lists'!$B$2:$B$627,MATCH(K137,'Raw lists'!$B$2:$B$627,0))&amp;" | ",""))&amp;IF(L137="","",IFERROR(INDEX('Raw lists'!$B$2:$B$627,MATCH(L137,'Raw lists'!$B$2:$B$627,0))&amp;" | ",""))&amp;IF(M137="","",IFERROR(INDEX('Raw lists'!$B$2:$B$627,MATCH(M137,'Raw lists'!$B$2:$B$627,0))&amp;" | ",""))&amp;IF(N137="","",IFERROR(INDEX('Raw lists'!$B$2:$B$627,MATCH(N137,'Raw lists'!$B$2:$B$627,0))&amp;" | ",""))&amp;IF(O137="","",IFERROR(INDEX('Raw lists'!$B$2:$B$627,MATCH(O137,'Raw lists'!$B$2:$B$627,0))&amp;" | ",""))&amp;IF(P137="","",IFERROR(INDEX('Raw lists'!$B$2:$B$627,MATCH(P137,'Raw lists'!$B$2:$B$627,0))&amp;" | ","")))=0,"",LEFT(IF(K137="","",IFERROR(INDEX('Raw lists'!$B$2:$B$627,MATCH(K137,'Raw lists'!$B$2:$B$627,0))&amp;" | ",""))&amp;IF(L137="","",IFERROR(INDEX('Raw lists'!$B$2:$B$627,MATCH(L137,'Raw lists'!$B$2:$B$627,0))&amp;" | ",""))&amp;IF(M137="","",IFERROR(INDEX('Raw lists'!$B$2:$B$627,MATCH(M137,'Raw lists'!$B$2:$B$627,0))&amp;" | ",""))&amp;IF(N137="","",IFERROR(INDEX('Raw lists'!$B$2:$B$627,MATCH(N137,'Raw lists'!$B$2:$B$627,0))&amp;" | ",""))&amp;IF(O137="","",IFERROR(INDEX('Raw lists'!$B$2:$B$627,MATCH(O137,'Raw lists'!$B$2:$B$627,0))&amp;" | ",""))&amp;IF(P137="","",IFERROR(INDEX('Raw lists'!$B$2:$B$627,MATCH(P137,'Raw lists'!$B$2:$B$627,0))&amp;" | ","")),LEN(IF(K137="","",IFERROR(INDEX('Raw lists'!$B$2:$B$627,MATCH(K137,'Raw lists'!$B$2:$B$627,0))&amp;" | ",""))&amp;IF(L137="","",IFERROR(INDEX('Raw lists'!$B$2:$B$627,MATCH(L137,'Raw lists'!$B$2:$B$627,0))&amp;" | ",""))&amp;IF(M137="","",IFERROR(INDEX('Raw lists'!$B$2:$B$627,MATCH(M137,'Raw lists'!$B$2:$B$627,0))&amp;" | ",""))&amp;IF(N137="","",IFERROR(INDEX('Raw lists'!$B$2:$B$627,MATCH(N137,'Raw lists'!$B$2:$B$627,0))&amp;" | ",""))&amp;IF(O137="","",IFERROR(INDEX('Raw lists'!$B$2:$B$627,MATCH(O137,'Raw lists'!$B$2:$B$627,0))&amp;" | ",""))&amp;IF(P137="","",IFERROR(INDEX('Raw lists'!$B$2:$B$627,MATCH(P137,'Raw lists'!$B$2:$B$627,0))&amp;" | ","")))-3))</f>
        <v/>
      </c>
      <c r="E137" s="30" t="str">
        <f>IF(LEN(IF(K137="","",IFERROR(INDEX('Raw lists'!$C$2:$C$616,MATCH(K137,'Raw lists'!$C$2:$C$616,0))&amp;" | ",""))&amp;IF(L137="","",IFERROR(INDEX('Raw lists'!$C$2:$C$616,MATCH(L137,'Raw lists'!$C$2:$C$616,0))&amp;" | ",""))&amp;IF(M137="","",IFERROR(INDEX('Raw lists'!$C$2:$C$616,MATCH(M137,'Raw lists'!$C$2:$C$616,0))&amp;" | ",""))&amp;IF(N137="","",IFERROR(INDEX('Raw lists'!$C$2:$C$616,MATCH(N137,'Raw lists'!$C$2:$C$616,0))&amp;" | ",""))&amp;IF(O137="","",IFERROR(INDEX('Raw lists'!$C$2:$C$616,MATCH(O137,'Raw lists'!$C$2:$C$616,0))&amp;" | ",""))&amp;IF(P137="","",IFERROR(INDEX('Raw lists'!$C$2:$C$616,MATCH(P137,'Raw lists'!$C$2:$C$616,0))&amp;" | ","")))=0,"",LEFT(IF(K137="","",IFERROR(INDEX('Raw lists'!$C$2:$C$616,MATCH(K137,'Raw lists'!$C$2:$C$616,0))&amp;" | ",""))&amp;IF(L137="","",IFERROR(INDEX('Raw lists'!$C$2:$C$616,MATCH(L137,'Raw lists'!$C$2:$C$616,0))&amp;" | ",""))&amp;IF(M137="","",IFERROR(INDEX('Raw lists'!$C$2:$C$616,MATCH(M137,'Raw lists'!$C$2:$C$616,0))&amp;" | ",""))&amp;IF(N137="","",IFERROR(INDEX('Raw lists'!$C$2:$C$616,MATCH(N137,'Raw lists'!$C$2:$C$616,0))&amp;" | ",""))&amp;IF(O137="","",IFERROR(INDEX('Raw lists'!$C$2:$C$616,MATCH(O137,'Raw lists'!$C$2:$C$616,0))&amp;" | ",""))&amp;IF(P137="","",IFERROR(INDEX('Raw lists'!$C$2:$C$616,MATCH(P137,'Raw lists'!$C$2:$C$616,0))&amp;" | ","")),LEN(IF(K137="","",IFERROR(INDEX('Raw lists'!$C$2:$C$616,MATCH(K137,'Raw lists'!$C$2:$C$616,0))&amp;" | ",""))&amp;IF(L137="","",IFERROR(INDEX('Raw lists'!$C$2:$C$616,MATCH(L137,'Raw lists'!$C$2:$C$616,0))&amp;" | ",""))&amp;IF(M137="","",IFERROR(INDEX('Raw lists'!$C$2:$C$616,MATCH(M137,'Raw lists'!$C$2:$C$616,0))&amp;" | ",""))&amp;IF(N137="","",IFERROR(INDEX('Raw lists'!$C$2:$C$616,MATCH(N137,'Raw lists'!$C$2:$C$616,0))&amp;" | ",""))&amp;IF(O137="","",IFERROR(INDEX('Raw lists'!$C$2:$C$616,MATCH(O137,'Raw lists'!$C$2:$C$616,0))&amp;" | ",""))&amp;IF(P137="","",IFERROR(INDEX('Raw lists'!$C$2:$C$616,MATCH(P137,'Raw lists'!$C$2:$C$616,0))&amp;" | ","")))-3))</f>
        <v/>
      </c>
      <c r="F137" s="28" t="s">
        <v>17</v>
      </c>
      <c r="G137" s="30" t="s">
        <v>556</v>
      </c>
      <c r="H137" s="28">
        <f t="shared" si="4"/>
        <v>0</v>
      </c>
      <c r="I137" s="31" t="str">
        <f t="shared" si="5"/>
        <v>None</v>
      </c>
      <c r="K137" s="32" t="s">
        <v>555</v>
      </c>
      <c r="L137" s="32"/>
      <c r="M137" s="32"/>
      <c r="N137" s="32"/>
      <c r="O137" s="32"/>
      <c r="P137" s="32"/>
    </row>
    <row r="138" spans="1:16" ht="26.4" x14ac:dyDescent="0.3">
      <c r="A138" s="28">
        <v>137</v>
      </c>
      <c r="B138" s="29" t="s">
        <v>557</v>
      </c>
      <c r="C138" s="30" t="str">
        <f>IF(LEN(IF(K138="","",IFERROR(INDEX('Raw lists'!$A$2:$A$192,MATCH(K138,'Raw lists'!$A$2:$A$192,0))&amp;" | ",""))&amp;IF(L138="","",IFERROR(INDEX('Raw lists'!$A$2:$A$192,MATCH(L138,'Raw lists'!$A$2:$A$192,0))&amp;" | ",""))&amp;IF(M138="","",IFERROR(INDEX('Raw lists'!$A$2:$A$192,MATCH(M138,'Raw lists'!$A$2:$A$192,0))&amp;" | ",""))&amp;IF(N138="","",IFERROR(INDEX('Raw lists'!$A$2:$A$192,MATCH(N138,'Raw lists'!$A$2:$A$192,0))&amp;" | ",""))&amp;IF(O138="","",IFERROR(INDEX('Raw lists'!$A$2:$A$192,MATCH(O138,'Raw lists'!$A$2:$A$192,0))&amp;" | ",""))&amp;IF(P138="","",IFERROR(INDEX('Raw lists'!$A$2:$A$192,MATCH(P138,'Raw lists'!$A$2:$A$192,0))&amp;" | ","")))=0,"",LEFT(IF(K138="","",IFERROR(INDEX('Raw lists'!$A$2:$A$192,MATCH(K138,'Raw lists'!$A$2:$A$192,0))&amp;" | ",""))&amp;IF(L138="","",IFERROR(INDEX('Raw lists'!$A$2:$A$192,MATCH(L138,'Raw lists'!$A$2:$A$192,0))&amp;" | ",""))&amp;IF(M138="","",IFERROR(INDEX('Raw lists'!$A$2:$A$192,MATCH(M138,'Raw lists'!$A$2:$A$192,0))&amp;" | ",""))&amp;IF(N138="","",IFERROR(INDEX('Raw lists'!$A$2:$A$192,MATCH(N138,'Raw lists'!$A$2:$A$192,0))&amp;" | ",""))&amp;IF(O138="","",IFERROR(INDEX('Raw lists'!$A$2:$A$192,MATCH(O138,'Raw lists'!$A$2:$A$192,0))&amp;" | ",""))&amp;IF(P138="","",IFERROR(INDEX('Raw lists'!$A$2:$A$192,MATCH(P138,'Raw lists'!$A$2:$A$192,0))&amp;" | ","")),LEN(IF(K138="","",IFERROR(INDEX('Raw lists'!$A$2:$A$192,MATCH(K138,'Raw lists'!$A$2:$A$192,0))&amp;" | ",""))&amp;IF(L138="","",IFERROR(INDEX('Raw lists'!$A$2:$A$192,MATCH(L138,'Raw lists'!$A$2:$A$192,0))&amp;" | ",""))&amp;IF(M138="","",IFERROR(INDEX('Raw lists'!$A$2:$A$192,MATCH(M138,'Raw lists'!$A$2:$A$192,0))&amp;" | ",""))&amp;IF(N138="","",IFERROR(INDEX('Raw lists'!$A$2:$A$192,MATCH(N138,'Raw lists'!$A$2:$A$192,0))&amp;" | ",""))&amp;IF(O138="","",IFERROR(INDEX('Raw lists'!$A$2:$A$192,MATCH(O138,'Raw lists'!$A$2:$A$192,0))&amp;" | ",""))&amp;IF(P138="","",IFERROR(INDEX('Raw lists'!$A$2:$A$192,MATCH(P138,'Raw lists'!$A$2:$A$192,0))&amp;" | ","")))-3))</f>
        <v/>
      </c>
      <c r="D138" s="30" t="str">
        <f>IF(LEN(IF(K138="","",IFERROR(INDEX('Raw lists'!$B$2:$B$627,MATCH(K138,'Raw lists'!$B$2:$B$627,0))&amp;" | ",""))&amp;IF(L138="","",IFERROR(INDEX('Raw lists'!$B$2:$B$627,MATCH(L138,'Raw lists'!$B$2:$B$627,0))&amp;" | ",""))&amp;IF(M138="","",IFERROR(INDEX('Raw lists'!$B$2:$B$627,MATCH(M138,'Raw lists'!$B$2:$B$627,0))&amp;" | ",""))&amp;IF(N138="","",IFERROR(INDEX('Raw lists'!$B$2:$B$627,MATCH(N138,'Raw lists'!$B$2:$B$627,0))&amp;" | ",""))&amp;IF(O138="","",IFERROR(INDEX('Raw lists'!$B$2:$B$627,MATCH(O138,'Raw lists'!$B$2:$B$627,0))&amp;" | ",""))&amp;IF(P138="","",IFERROR(INDEX('Raw lists'!$B$2:$B$627,MATCH(P138,'Raw lists'!$B$2:$B$627,0))&amp;" | ","")))=0,"",LEFT(IF(K138="","",IFERROR(INDEX('Raw lists'!$B$2:$B$627,MATCH(K138,'Raw lists'!$B$2:$B$627,0))&amp;" | ",""))&amp;IF(L138="","",IFERROR(INDEX('Raw lists'!$B$2:$B$627,MATCH(L138,'Raw lists'!$B$2:$B$627,0))&amp;" | ",""))&amp;IF(M138="","",IFERROR(INDEX('Raw lists'!$B$2:$B$627,MATCH(M138,'Raw lists'!$B$2:$B$627,0))&amp;" | ",""))&amp;IF(N138="","",IFERROR(INDEX('Raw lists'!$B$2:$B$627,MATCH(N138,'Raw lists'!$B$2:$B$627,0))&amp;" | ",""))&amp;IF(O138="","",IFERROR(INDEX('Raw lists'!$B$2:$B$627,MATCH(O138,'Raw lists'!$B$2:$B$627,0))&amp;" | ",""))&amp;IF(P138="","",IFERROR(INDEX('Raw lists'!$B$2:$B$627,MATCH(P138,'Raw lists'!$B$2:$B$627,0))&amp;" | ","")),LEN(IF(K138="","",IFERROR(INDEX('Raw lists'!$B$2:$B$627,MATCH(K138,'Raw lists'!$B$2:$B$627,0))&amp;" | ",""))&amp;IF(L138="","",IFERROR(INDEX('Raw lists'!$B$2:$B$627,MATCH(L138,'Raw lists'!$B$2:$B$627,0))&amp;" | ",""))&amp;IF(M138="","",IFERROR(INDEX('Raw lists'!$B$2:$B$627,MATCH(M138,'Raw lists'!$B$2:$B$627,0))&amp;" | ",""))&amp;IF(N138="","",IFERROR(INDEX('Raw lists'!$B$2:$B$627,MATCH(N138,'Raw lists'!$B$2:$B$627,0))&amp;" | ",""))&amp;IF(O138="","",IFERROR(INDEX('Raw lists'!$B$2:$B$627,MATCH(O138,'Raw lists'!$B$2:$B$627,0))&amp;" | ",""))&amp;IF(P138="","",IFERROR(INDEX('Raw lists'!$B$2:$B$627,MATCH(P138,'Raw lists'!$B$2:$B$627,0))&amp;" | ","")))-3))</f>
        <v>Digital Modulation</v>
      </c>
      <c r="E138" s="30" t="str">
        <f>IF(LEN(IF(K138="","",IFERROR(INDEX('Raw lists'!$C$2:$C$616,MATCH(K138,'Raw lists'!$C$2:$C$616,0))&amp;" | ",""))&amp;IF(L138="","",IFERROR(INDEX('Raw lists'!$C$2:$C$616,MATCH(L138,'Raw lists'!$C$2:$C$616,0))&amp;" | ",""))&amp;IF(M138="","",IFERROR(INDEX('Raw lists'!$C$2:$C$616,MATCH(M138,'Raw lists'!$C$2:$C$616,0))&amp;" | ",""))&amp;IF(N138="","",IFERROR(INDEX('Raw lists'!$C$2:$C$616,MATCH(N138,'Raw lists'!$C$2:$C$616,0))&amp;" | ",""))&amp;IF(O138="","",IFERROR(INDEX('Raw lists'!$C$2:$C$616,MATCH(O138,'Raw lists'!$C$2:$C$616,0))&amp;" | ",""))&amp;IF(P138="","",IFERROR(INDEX('Raw lists'!$C$2:$C$616,MATCH(P138,'Raw lists'!$C$2:$C$616,0))&amp;" | ","")))=0,"",LEFT(IF(K138="","",IFERROR(INDEX('Raw lists'!$C$2:$C$616,MATCH(K138,'Raw lists'!$C$2:$C$616,0))&amp;" | ",""))&amp;IF(L138="","",IFERROR(INDEX('Raw lists'!$C$2:$C$616,MATCH(L138,'Raw lists'!$C$2:$C$616,0))&amp;" | ",""))&amp;IF(M138="","",IFERROR(INDEX('Raw lists'!$C$2:$C$616,MATCH(M138,'Raw lists'!$C$2:$C$616,0))&amp;" | ",""))&amp;IF(N138="","",IFERROR(INDEX('Raw lists'!$C$2:$C$616,MATCH(N138,'Raw lists'!$C$2:$C$616,0))&amp;" | ",""))&amp;IF(O138="","",IFERROR(INDEX('Raw lists'!$C$2:$C$616,MATCH(O138,'Raw lists'!$C$2:$C$616,0))&amp;" | ",""))&amp;IF(P138="","",IFERROR(INDEX('Raw lists'!$C$2:$C$616,MATCH(P138,'Raw lists'!$C$2:$C$616,0))&amp;" | ","")),LEN(IF(K138="","",IFERROR(INDEX('Raw lists'!$C$2:$C$616,MATCH(K138,'Raw lists'!$C$2:$C$616,0))&amp;" | ",""))&amp;IF(L138="","",IFERROR(INDEX('Raw lists'!$C$2:$C$616,MATCH(L138,'Raw lists'!$C$2:$C$616,0))&amp;" | ",""))&amp;IF(M138="","",IFERROR(INDEX('Raw lists'!$C$2:$C$616,MATCH(M138,'Raw lists'!$C$2:$C$616,0))&amp;" | ",""))&amp;IF(N138="","",IFERROR(INDEX('Raw lists'!$C$2:$C$616,MATCH(N138,'Raw lists'!$C$2:$C$616,0))&amp;" | ",""))&amp;IF(O138="","",IFERROR(INDEX('Raw lists'!$C$2:$C$616,MATCH(O138,'Raw lists'!$C$2:$C$616,0))&amp;" | ",""))&amp;IF(P138="","",IFERROR(INDEX('Raw lists'!$C$2:$C$616,MATCH(P138,'Raw lists'!$C$2:$C$616,0))&amp;" | ","")))-3))</f>
        <v/>
      </c>
      <c r="F138" s="28" t="s">
        <v>17</v>
      </c>
      <c r="G138" s="30" t="s">
        <v>558</v>
      </c>
      <c r="H138" s="28">
        <f t="shared" si="4"/>
        <v>1</v>
      </c>
      <c r="I138" s="31" t="str">
        <f t="shared" si="5"/>
        <v>Only RAKE</v>
      </c>
      <c r="K138" s="32" t="s">
        <v>559</v>
      </c>
      <c r="L138" s="32" t="s">
        <v>560</v>
      </c>
      <c r="M138" s="32"/>
      <c r="N138" s="32"/>
      <c r="O138" s="32"/>
      <c r="P138" s="32"/>
    </row>
    <row r="139" spans="1:16" x14ac:dyDescent="0.3">
      <c r="A139" s="28">
        <v>138</v>
      </c>
      <c r="B139" s="29" t="s">
        <v>561</v>
      </c>
      <c r="C139" s="30" t="str">
        <f>IF(LEN(IF(K139="","",IFERROR(INDEX('Raw lists'!$A$2:$A$192,MATCH(K139,'Raw lists'!$A$2:$A$192,0))&amp;" | ",""))&amp;IF(L139="","",IFERROR(INDEX('Raw lists'!$A$2:$A$192,MATCH(L139,'Raw lists'!$A$2:$A$192,0))&amp;" | ",""))&amp;IF(M139="","",IFERROR(INDEX('Raw lists'!$A$2:$A$192,MATCH(M139,'Raw lists'!$A$2:$A$192,0))&amp;" | ",""))&amp;IF(N139="","",IFERROR(INDEX('Raw lists'!$A$2:$A$192,MATCH(N139,'Raw lists'!$A$2:$A$192,0))&amp;" | ",""))&amp;IF(O139="","",IFERROR(INDEX('Raw lists'!$A$2:$A$192,MATCH(O139,'Raw lists'!$A$2:$A$192,0))&amp;" | ",""))&amp;IF(P139="","",IFERROR(INDEX('Raw lists'!$A$2:$A$192,MATCH(P139,'Raw lists'!$A$2:$A$192,0))&amp;" | ","")))=0,"",LEFT(IF(K139="","",IFERROR(INDEX('Raw lists'!$A$2:$A$192,MATCH(K139,'Raw lists'!$A$2:$A$192,0))&amp;" | ",""))&amp;IF(L139="","",IFERROR(INDEX('Raw lists'!$A$2:$A$192,MATCH(L139,'Raw lists'!$A$2:$A$192,0))&amp;" | ",""))&amp;IF(M139="","",IFERROR(INDEX('Raw lists'!$A$2:$A$192,MATCH(M139,'Raw lists'!$A$2:$A$192,0))&amp;" | ",""))&amp;IF(N139="","",IFERROR(INDEX('Raw lists'!$A$2:$A$192,MATCH(N139,'Raw lists'!$A$2:$A$192,0))&amp;" | ",""))&amp;IF(O139="","",IFERROR(INDEX('Raw lists'!$A$2:$A$192,MATCH(O139,'Raw lists'!$A$2:$A$192,0))&amp;" | ",""))&amp;IF(P139="","",IFERROR(INDEX('Raw lists'!$A$2:$A$192,MATCH(P139,'Raw lists'!$A$2:$A$192,0))&amp;" | ","")),LEN(IF(K139="","",IFERROR(INDEX('Raw lists'!$A$2:$A$192,MATCH(K139,'Raw lists'!$A$2:$A$192,0))&amp;" | ",""))&amp;IF(L139="","",IFERROR(INDEX('Raw lists'!$A$2:$A$192,MATCH(L139,'Raw lists'!$A$2:$A$192,0))&amp;" | ",""))&amp;IF(M139="","",IFERROR(INDEX('Raw lists'!$A$2:$A$192,MATCH(M139,'Raw lists'!$A$2:$A$192,0))&amp;" | ",""))&amp;IF(N139="","",IFERROR(INDEX('Raw lists'!$A$2:$A$192,MATCH(N139,'Raw lists'!$A$2:$A$192,0))&amp;" | ",""))&amp;IF(O139="","",IFERROR(INDEX('Raw lists'!$A$2:$A$192,MATCH(O139,'Raw lists'!$A$2:$A$192,0))&amp;" | ",""))&amp;IF(P139="","",IFERROR(INDEX('Raw lists'!$A$2:$A$192,MATCH(P139,'Raw lists'!$A$2:$A$192,0))&amp;" | ","")))-3))</f>
        <v>Applications Of Optic Fibre</v>
      </c>
      <c r="D139" s="30" t="str">
        <f>IF(LEN(IF(K139="","",IFERROR(INDEX('Raw lists'!$B$2:$B$627,MATCH(K139,'Raw lists'!$B$2:$B$627,0))&amp;" | ",""))&amp;IF(L139="","",IFERROR(INDEX('Raw lists'!$B$2:$B$627,MATCH(L139,'Raw lists'!$B$2:$B$627,0))&amp;" | ",""))&amp;IF(M139="","",IFERROR(INDEX('Raw lists'!$B$2:$B$627,MATCH(M139,'Raw lists'!$B$2:$B$627,0))&amp;" | ",""))&amp;IF(N139="","",IFERROR(INDEX('Raw lists'!$B$2:$B$627,MATCH(N139,'Raw lists'!$B$2:$B$627,0))&amp;" | ",""))&amp;IF(O139="","",IFERROR(INDEX('Raw lists'!$B$2:$B$627,MATCH(O139,'Raw lists'!$B$2:$B$627,0))&amp;" | ",""))&amp;IF(P139="","",IFERROR(INDEX('Raw lists'!$B$2:$B$627,MATCH(P139,'Raw lists'!$B$2:$B$627,0))&amp;" | ","")))=0,"",LEFT(IF(K139="","",IFERROR(INDEX('Raw lists'!$B$2:$B$627,MATCH(K139,'Raw lists'!$B$2:$B$627,0))&amp;" | ",""))&amp;IF(L139="","",IFERROR(INDEX('Raw lists'!$B$2:$B$627,MATCH(L139,'Raw lists'!$B$2:$B$627,0))&amp;" | ",""))&amp;IF(M139="","",IFERROR(INDEX('Raw lists'!$B$2:$B$627,MATCH(M139,'Raw lists'!$B$2:$B$627,0))&amp;" | ",""))&amp;IF(N139="","",IFERROR(INDEX('Raw lists'!$B$2:$B$627,MATCH(N139,'Raw lists'!$B$2:$B$627,0))&amp;" | ",""))&amp;IF(O139="","",IFERROR(INDEX('Raw lists'!$B$2:$B$627,MATCH(O139,'Raw lists'!$B$2:$B$627,0))&amp;" | ",""))&amp;IF(P139="","",IFERROR(INDEX('Raw lists'!$B$2:$B$627,MATCH(P139,'Raw lists'!$B$2:$B$627,0))&amp;" | ","")),LEN(IF(K139="","",IFERROR(INDEX('Raw lists'!$B$2:$B$627,MATCH(K139,'Raw lists'!$B$2:$B$627,0))&amp;" | ",""))&amp;IF(L139="","",IFERROR(INDEX('Raw lists'!$B$2:$B$627,MATCH(L139,'Raw lists'!$B$2:$B$627,0))&amp;" | ",""))&amp;IF(M139="","",IFERROR(INDEX('Raw lists'!$B$2:$B$627,MATCH(M139,'Raw lists'!$B$2:$B$627,0))&amp;" | ",""))&amp;IF(N139="","",IFERROR(INDEX('Raw lists'!$B$2:$B$627,MATCH(N139,'Raw lists'!$B$2:$B$627,0))&amp;" | ",""))&amp;IF(O139="","",IFERROR(INDEX('Raw lists'!$B$2:$B$627,MATCH(O139,'Raw lists'!$B$2:$B$627,0))&amp;" | ",""))&amp;IF(P139="","",IFERROR(INDEX('Raw lists'!$B$2:$B$627,MATCH(P139,'Raw lists'!$B$2:$B$627,0))&amp;" | ","")))-3))</f>
        <v/>
      </c>
      <c r="E139" s="30" t="str">
        <f>IF(LEN(IF(K139="","",IFERROR(INDEX('Raw lists'!$C$2:$C$616,MATCH(K139,'Raw lists'!$C$2:$C$616,0))&amp;" | ",""))&amp;IF(L139="","",IFERROR(INDEX('Raw lists'!$C$2:$C$616,MATCH(L139,'Raw lists'!$C$2:$C$616,0))&amp;" | ",""))&amp;IF(M139="","",IFERROR(INDEX('Raw lists'!$C$2:$C$616,MATCH(M139,'Raw lists'!$C$2:$C$616,0))&amp;" | ",""))&amp;IF(N139="","",IFERROR(INDEX('Raw lists'!$C$2:$C$616,MATCH(N139,'Raw lists'!$C$2:$C$616,0))&amp;" | ",""))&amp;IF(O139="","",IFERROR(INDEX('Raw lists'!$C$2:$C$616,MATCH(O139,'Raw lists'!$C$2:$C$616,0))&amp;" | ",""))&amp;IF(P139="","",IFERROR(INDEX('Raw lists'!$C$2:$C$616,MATCH(P139,'Raw lists'!$C$2:$C$616,0))&amp;" | ","")))=0,"",LEFT(IF(K139="","",IFERROR(INDEX('Raw lists'!$C$2:$C$616,MATCH(K139,'Raw lists'!$C$2:$C$616,0))&amp;" | ",""))&amp;IF(L139="","",IFERROR(INDEX('Raw lists'!$C$2:$C$616,MATCH(L139,'Raw lists'!$C$2:$C$616,0))&amp;" | ",""))&amp;IF(M139="","",IFERROR(INDEX('Raw lists'!$C$2:$C$616,MATCH(M139,'Raw lists'!$C$2:$C$616,0))&amp;" | ",""))&amp;IF(N139="","",IFERROR(INDEX('Raw lists'!$C$2:$C$616,MATCH(N139,'Raw lists'!$C$2:$C$616,0))&amp;" | ",""))&amp;IF(O139="","",IFERROR(INDEX('Raw lists'!$C$2:$C$616,MATCH(O139,'Raw lists'!$C$2:$C$616,0))&amp;" | ",""))&amp;IF(P139="","",IFERROR(INDEX('Raw lists'!$C$2:$C$616,MATCH(P139,'Raw lists'!$C$2:$C$616,0))&amp;" | ","")),LEN(IF(K139="","",IFERROR(INDEX('Raw lists'!$C$2:$C$616,MATCH(K139,'Raw lists'!$C$2:$C$616,0))&amp;" | ",""))&amp;IF(L139="","",IFERROR(INDEX('Raw lists'!$C$2:$C$616,MATCH(L139,'Raw lists'!$C$2:$C$616,0))&amp;" | ",""))&amp;IF(M139="","",IFERROR(INDEX('Raw lists'!$C$2:$C$616,MATCH(M139,'Raw lists'!$C$2:$C$616,0))&amp;" | ",""))&amp;IF(N139="","",IFERROR(INDEX('Raw lists'!$C$2:$C$616,MATCH(N139,'Raw lists'!$C$2:$C$616,0))&amp;" | ",""))&amp;IF(O139="","",IFERROR(INDEX('Raw lists'!$C$2:$C$616,MATCH(O139,'Raw lists'!$C$2:$C$616,0))&amp;" | ",""))&amp;IF(P139="","",IFERROR(INDEX('Raw lists'!$C$2:$C$616,MATCH(P139,'Raw lists'!$C$2:$C$616,0))&amp;" | ","")))-3))</f>
        <v/>
      </c>
      <c r="F139" s="28" t="s">
        <v>54</v>
      </c>
      <c r="G139" s="30" t="s">
        <v>562</v>
      </c>
      <c r="H139" s="28">
        <f t="shared" si="4"/>
        <v>1</v>
      </c>
      <c r="I139" s="31" t="str">
        <f t="shared" si="5"/>
        <v>Only Gemini</v>
      </c>
      <c r="K139" s="32" t="s">
        <v>563</v>
      </c>
      <c r="L139" s="32"/>
      <c r="M139" s="32"/>
      <c r="N139" s="32"/>
      <c r="O139" s="32"/>
      <c r="P139" s="32"/>
    </row>
    <row r="140" spans="1:16" x14ac:dyDescent="0.3">
      <c r="A140" s="38">
        <v>139</v>
      </c>
      <c r="B140" s="39" t="s">
        <v>564</v>
      </c>
      <c r="C140" s="30" t="s">
        <v>565</v>
      </c>
      <c r="D140" s="30" t="s">
        <v>565</v>
      </c>
      <c r="E140" s="30" t="s">
        <v>565</v>
      </c>
      <c r="F140" s="38" t="s">
        <v>566</v>
      </c>
      <c r="G140" s="40" t="s">
        <v>567</v>
      </c>
      <c r="H140" s="38">
        <f t="shared" si="4"/>
        <v>3</v>
      </c>
      <c r="I140" s="41" t="str">
        <f t="shared" si="5"/>
        <v>All three</v>
      </c>
      <c r="K140" s="32"/>
      <c r="L140" s="32"/>
      <c r="M140" s="32"/>
      <c r="N140" s="32"/>
      <c r="O140" s="32"/>
      <c r="P140" s="32"/>
    </row>
    <row r="141" spans="1:16" x14ac:dyDescent="0.3">
      <c r="A141" s="38">
        <v>140</v>
      </c>
      <c r="B141" s="39" t="s">
        <v>564</v>
      </c>
      <c r="C141" s="30" t="s">
        <v>568</v>
      </c>
      <c r="D141" s="30" t="s">
        <v>568</v>
      </c>
      <c r="E141" s="30" t="s">
        <v>569</v>
      </c>
      <c r="F141" s="38" t="s">
        <v>566</v>
      </c>
      <c r="G141" s="40" t="s">
        <v>570</v>
      </c>
      <c r="H141" s="38">
        <f t="shared" si="4"/>
        <v>3</v>
      </c>
      <c r="I141" s="41" t="str">
        <f t="shared" si="5"/>
        <v>All three</v>
      </c>
      <c r="K141" s="32"/>
      <c r="L141" s="32"/>
      <c r="M141" s="32"/>
      <c r="N141" s="32"/>
      <c r="O141" s="32"/>
      <c r="P141" s="32"/>
    </row>
    <row r="142" spans="1:16" x14ac:dyDescent="0.3">
      <c r="A142" s="38">
        <v>141</v>
      </c>
      <c r="B142" s="39" t="s">
        <v>564</v>
      </c>
      <c r="C142" s="30" t="s">
        <v>571</v>
      </c>
      <c r="D142" s="30" t="s">
        <v>571</v>
      </c>
      <c r="E142" s="30" t="s">
        <v>572</v>
      </c>
      <c r="F142" s="38" t="s">
        <v>566</v>
      </c>
      <c r="G142" s="40" t="s">
        <v>567</v>
      </c>
      <c r="H142" s="38">
        <f t="shared" si="4"/>
        <v>3</v>
      </c>
      <c r="I142" s="41" t="str">
        <f t="shared" si="5"/>
        <v>All three</v>
      </c>
      <c r="K142" s="32"/>
      <c r="L142" s="32"/>
      <c r="M142" s="32"/>
      <c r="N142" s="32"/>
      <c r="O142" s="32"/>
      <c r="P142" s="32"/>
    </row>
    <row r="143" spans="1:16" x14ac:dyDescent="0.3">
      <c r="A143" s="38">
        <v>142</v>
      </c>
      <c r="B143" s="39" t="s">
        <v>564</v>
      </c>
      <c r="C143" s="30" t="s">
        <v>573</v>
      </c>
      <c r="D143" s="30" t="s">
        <v>573</v>
      </c>
      <c r="E143" s="30" t="s">
        <v>573</v>
      </c>
      <c r="F143" s="38" t="s">
        <v>566</v>
      </c>
      <c r="G143" s="40" t="s">
        <v>570</v>
      </c>
      <c r="H143" s="38">
        <f t="shared" si="4"/>
        <v>3</v>
      </c>
      <c r="I143" s="41" t="str">
        <f t="shared" si="5"/>
        <v>All three</v>
      </c>
      <c r="K143" s="32"/>
      <c r="L143" s="32"/>
      <c r="M143" s="32"/>
      <c r="N143" s="32"/>
      <c r="O143" s="32"/>
      <c r="P143" s="32"/>
    </row>
    <row r="144" spans="1:16" x14ac:dyDescent="0.3">
      <c r="A144" s="38">
        <v>143</v>
      </c>
      <c r="B144" s="39" t="s">
        <v>564</v>
      </c>
      <c r="C144" s="30" t="s">
        <v>574</v>
      </c>
      <c r="D144" s="30" t="s">
        <v>574</v>
      </c>
      <c r="E144" s="30" t="s">
        <v>574</v>
      </c>
      <c r="F144" s="38" t="s">
        <v>566</v>
      </c>
      <c r="G144" s="40" t="s">
        <v>570</v>
      </c>
      <c r="H144" s="38">
        <f t="shared" si="4"/>
        <v>3</v>
      </c>
      <c r="I144" s="41" t="str">
        <f t="shared" si="5"/>
        <v>All three</v>
      </c>
      <c r="K144" s="32"/>
      <c r="L144" s="32"/>
      <c r="M144" s="32"/>
      <c r="N144" s="32"/>
      <c r="O144" s="32"/>
      <c r="P144" s="32"/>
    </row>
    <row r="145" spans="1:16" x14ac:dyDescent="0.3">
      <c r="A145" s="38">
        <v>144</v>
      </c>
      <c r="B145" s="39" t="s">
        <v>564</v>
      </c>
      <c r="C145" s="30" t="s">
        <v>575</v>
      </c>
      <c r="D145" s="30" t="s">
        <v>575</v>
      </c>
      <c r="E145" s="30" t="s">
        <v>575</v>
      </c>
      <c r="F145" s="38" t="s">
        <v>566</v>
      </c>
      <c r="G145" s="40" t="s">
        <v>570</v>
      </c>
      <c r="H145" s="38">
        <f t="shared" si="4"/>
        <v>3</v>
      </c>
      <c r="I145" s="41" t="str">
        <f t="shared" si="5"/>
        <v>All three</v>
      </c>
      <c r="K145" s="32"/>
      <c r="L145" s="32"/>
      <c r="M145" s="32"/>
      <c r="N145" s="32"/>
      <c r="O145" s="32"/>
      <c r="P145" s="32"/>
    </row>
    <row r="146" spans="1:16" x14ac:dyDescent="0.3">
      <c r="A146" s="38">
        <v>145</v>
      </c>
      <c r="B146" s="39" t="s">
        <v>564</v>
      </c>
      <c r="C146" s="30" t="s">
        <v>576</v>
      </c>
      <c r="D146" s="30" t="s">
        <v>576</v>
      </c>
      <c r="E146" s="30" t="s">
        <v>576</v>
      </c>
      <c r="F146" s="38" t="s">
        <v>566</v>
      </c>
      <c r="G146" s="40" t="s">
        <v>570</v>
      </c>
      <c r="H146" s="38">
        <f t="shared" si="4"/>
        <v>3</v>
      </c>
      <c r="I146" s="41" t="str">
        <f t="shared" si="5"/>
        <v>All three</v>
      </c>
      <c r="K146" s="32"/>
      <c r="L146" s="32"/>
      <c r="M146" s="32"/>
      <c r="N146" s="32"/>
      <c r="O146" s="32"/>
      <c r="P146" s="32"/>
    </row>
    <row r="147" spans="1:16" x14ac:dyDescent="0.3">
      <c r="A147" s="38">
        <v>146</v>
      </c>
      <c r="B147" s="39" t="s">
        <v>564</v>
      </c>
      <c r="C147" s="30" t="s">
        <v>577</v>
      </c>
      <c r="D147" s="30" t="s">
        <v>577</v>
      </c>
      <c r="E147" s="30" t="s">
        <v>577</v>
      </c>
      <c r="F147" s="38" t="s">
        <v>566</v>
      </c>
      <c r="G147" s="40" t="s">
        <v>570</v>
      </c>
      <c r="H147" s="38">
        <f t="shared" si="4"/>
        <v>3</v>
      </c>
      <c r="I147" s="41" t="str">
        <f t="shared" si="5"/>
        <v>All three</v>
      </c>
      <c r="K147" s="32"/>
      <c r="L147" s="32"/>
      <c r="M147" s="32"/>
      <c r="N147" s="32"/>
      <c r="O147" s="32"/>
      <c r="P147" s="32"/>
    </row>
    <row r="148" spans="1:16" x14ac:dyDescent="0.3">
      <c r="A148" s="38">
        <v>147</v>
      </c>
      <c r="B148" s="39" t="s">
        <v>564</v>
      </c>
      <c r="C148" s="30" t="s">
        <v>578</v>
      </c>
      <c r="D148" s="30" t="s">
        <v>578</v>
      </c>
      <c r="E148" s="30" t="s">
        <v>578</v>
      </c>
      <c r="F148" s="38" t="s">
        <v>566</v>
      </c>
      <c r="G148" s="40" t="s">
        <v>570</v>
      </c>
      <c r="H148" s="38">
        <f t="shared" si="4"/>
        <v>3</v>
      </c>
      <c r="I148" s="41" t="str">
        <f t="shared" si="5"/>
        <v>All three</v>
      </c>
      <c r="K148" s="32"/>
      <c r="L148" s="32"/>
      <c r="M148" s="32"/>
      <c r="N148" s="32"/>
      <c r="O148" s="32"/>
      <c r="P148" s="32"/>
    </row>
    <row r="149" spans="1:16" x14ac:dyDescent="0.3">
      <c r="A149" s="38">
        <v>148</v>
      </c>
      <c r="B149" s="39" t="s">
        <v>564</v>
      </c>
      <c r="C149" s="30" t="s">
        <v>579</v>
      </c>
      <c r="D149" s="30" t="s">
        <v>579</v>
      </c>
      <c r="E149" s="30" t="s">
        <v>579</v>
      </c>
      <c r="F149" s="38" t="s">
        <v>566</v>
      </c>
      <c r="G149" s="40" t="s">
        <v>570</v>
      </c>
      <c r="H149" s="38">
        <f t="shared" si="4"/>
        <v>3</v>
      </c>
      <c r="I149" s="41" t="str">
        <f t="shared" si="5"/>
        <v>All three</v>
      </c>
      <c r="K149" s="32"/>
      <c r="L149" s="32"/>
      <c r="M149" s="32"/>
      <c r="N149" s="32"/>
      <c r="O149" s="32"/>
      <c r="P149" s="32"/>
    </row>
    <row r="150" spans="1:16" x14ac:dyDescent="0.3">
      <c r="A150" s="38">
        <v>149</v>
      </c>
      <c r="B150" s="39" t="s">
        <v>564</v>
      </c>
      <c r="C150" s="30" t="s">
        <v>580</v>
      </c>
      <c r="D150" s="30" t="s">
        <v>580</v>
      </c>
      <c r="E150" s="30" t="s">
        <v>580</v>
      </c>
      <c r="F150" s="38" t="s">
        <v>566</v>
      </c>
      <c r="G150" s="40" t="s">
        <v>570</v>
      </c>
      <c r="H150" s="38">
        <f t="shared" si="4"/>
        <v>3</v>
      </c>
      <c r="I150" s="41" t="str">
        <f t="shared" si="5"/>
        <v>All three</v>
      </c>
      <c r="K150" s="32"/>
      <c r="L150" s="32"/>
      <c r="M150" s="32"/>
      <c r="N150" s="32"/>
      <c r="O150" s="32"/>
      <c r="P150" s="32"/>
    </row>
    <row r="151" spans="1:16" x14ac:dyDescent="0.3">
      <c r="A151" s="38">
        <v>150</v>
      </c>
      <c r="B151" s="39" t="s">
        <v>564</v>
      </c>
      <c r="C151" s="30" t="s">
        <v>581</v>
      </c>
      <c r="D151" s="30" t="s">
        <v>581</v>
      </c>
      <c r="E151" s="30" t="s">
        <v>581</v>
      </c>
      <c r="F151" s="38" t="s">
        <v>566</v>
      </c>
      <c r="G151" s="40" t="s">
        <v>570</v>
      </c>
      <c r="H151" s="38">
        <f t="shared" si="4"/>
        <v>3</v>
      </c>
      <c r="I151" s="41" t="str">
        <f t="shared" si="5"/>
        <v>All three</v>
      </c>
      <c r="K151" s="32"/>
      <c r="L151" s="32"/>
      <c r="M151" s="32"/>
      <c r="N151" s="32"/>
      <c r="O151" s="32"/>
      <c r="P151" s="32"/>
    </row>
    <row r="152" spans="1:16" x14ac:dyDescent="0.3">
      <c r="A152" s="38">
        <v>151</v>
      </c>
      <c r="B152" s="39" t="s">
        <v>564</v>
      </c>
      <c r="C152" s="30" t="s">
        <v>582</v>
      </c>
      <c r="D152" s="30" t="s">
        <v>582</v>
      </c>
      <c r="E152" s="30" t="s">
        <v>582</v>
      </c>
      <c r="F152" s="38" t="s">
        <v>566</v>
      </c>
      <c r="G152" s="40" t="s">
        <v>570</v>
      </c>
      <c r="H152" s="38">
        <f t="shared" si="4"/>
        <v>3</v>
      </c>
      <c r="I152" s="41" t="str">
        <f t="shared" si="5"/>
        <v>All three</v>
      </c>
      <c r="K152" s="32"/>
      <c r="L152" s="32"/>
      <c r="M152" s="32"/>
      <c r="N152" s="32"/>
      <c r="O152" s="32"/>
      <c r="P152" s="32"/>
    </row>
    <row r="153" spans="1:16" x14ac:dyDescent="0.3">
      <c r="A153" s="38">
        <v>152</v>
      </c>
      <c r="B153" s="39" t="s">
        <v>564</v>
      </c>
      <c r="C153" s="30" t="s">
        <v>583</v>
      </c>
      <c r="D153" s="30" t="s">
        <v>583</v>
      </c>
      <c r="E153" s="30" t="s">
        <v>583</v>
      </c>
      <c r="F153" s="38" t="s">
        <v>566</v>
      </c>
      <c r="G153" s="40" t="s">
        <v>570</v>
      </c>
      <c r="H153" s="38">
        <f t="shared" si="4"/>
        <v>3</v>
      </c>
      <c r="I153" s="41" t="str">
        <f t="shared" si="5"/>
        <v>All three</v>
      </c>
      <c r="K153" s="32"/>
      <c r="L153" s="32"/>
      <c r="M153" s="32"/>
      <c r="N153" s="32"/>
      <c r="O153" s="32"/>
      <c r="P153" s="32"/>
    </row>
    <row r="154" spans="1:16" x14ac:dyDescent="0.3">
      <c r="A154" s="38">
        <v>153</v>
      </c>
      <c r="B154" s="39" t="s">
        <v>564</v>
      </c>
      <c r="C154" s="30" t="s">
        <v>584</v>
      </c>
      <c r="D154" s="30" t="s">
        <v>585</v>
      </c>
      <c r="E154" s="30" t="s">
        <v>585</v>
      </c>
      <c r="F154" s="38" t="s">
        <v>566</v>
      </c>
      <c r="G154" s="40" t="s">
        <v>570</v>
      </c>
      <c r="H154" s="38">
        <f t="shared" si="4"/>
        <v>3</v>
      </c>
      <c r="I154" s="41" t="str">
        <f t="shared" si="5"/>
        <v>All three</v>
      </c>
      <c r="K154" s="32"/>
      <c r="L154" s="32"/>
      <c r="M154" s="32"/>
      <c r="N154" s="32"/>
      <c r="O154" s="32"/>
      <c r="P154" s="32"/>
    </row>
    <row r="155" spans="1:16" x14ac:dyDescent="0.3">
      <c r="A155" s="38">
        <v>154</v>
      </c>
      <c r="B155" s="39" t="s">
        <v>564</v>
      </c>
      <c r="C155" s="30" t="s">
        <v>586</v>
      </c>
      <c r="D155" s="30" t="s">
        <v>586</v>
      </c>
      <c r="E155" s="30" t="s">
        <v>586</v>
      </c>
      <c r="F155" s="38" t="s">
        <v>566</v>
      </c>
      <c r="G155" s="40" t="s">
        <v>570</v>
      </c>
      <c r="H155" s="38">
        <f t="shared" si="4"/>
        <v>3</v>
      </c>
      <c r="I155" s="41" t="str">
        <f t="shared" si="5"/>
        <v>All three</v>
      </c>
      <c r="K155" s="32"/>
      <c r="L155" s="32"/>
      <c r="M155" s="32"/>
      <c r="N155" s="32"/>
      <c r="O155" s="32"/>
      <c r="P155" s="32"/>
    </row>
    <row r="156" spans="1:16" x14ac:dyDescent="0.3">
      <c r="A156" s="38">
        <v>155</v>
      </c>
      <c r="B156" s="39" t="s">
        <v>564</v>
      </c>
      <c r="C156" s="30" t="s">
        <v>587</v>
      </c>
      <c r="D156" s="30" t="s">
        <v>587</v>
      </c>
      <c r="E156" s="30" t="s">
        <v>587</v>
      </c>
      <c r="F156" s="38" t="s">
        <v>566</v>
      </c>
      <c r="G156" s="40" t="s">
        <v>570</v>
      </c>
      <c r="H156" s="38">
        <f t="shared" si="4"/>
        <v>3</v>
      </c>
      <c r="I156" s="41" t="str">
        <f t="shared" si="5"/>
        <v>All three</v>
      </c>
      <c r="K156" s="32"/>
      <c r="L156" s="32"/>
      <c r="M156" s="32"/>
      <c r="N156" s="32"/>
      <c r="O156" s="32"/>
      <c r="P156" s="32"/>
    </row>
    <row r="157" spans="1:16" x14ac:dyDescent="0.3">
      <c r="A157" s="38">
        <v>156</v>
      </c>
      <c r="B157" s="39" t="s">
        <v>564</v>
      </c>
      <c r="C157" s="30" t="s">
        <v>588</v>
      </c>
      <c r="D157" s="30" t="s">
        <v>588</v>
      </c>
      <c r="E157" s="30" t="s">
        <v>588</v>
      </c>
      <c r="F157" s="38" t="s">
        <v>566</v>
      </c>
      <c r="G157" s="40" t="s">
        <v>570</v>
      </c>
      <c r="H157" s="38">
        <f t="shared" si="4"/>
        <v>3</v>
      </c>
      <c r="I157" s="41" t="str">
        <f t="shared" si="5"/>
        <v>All three</v>
      </c>
      <c r="K157" s="32"/>
      <c r="L157" s="32"/>
      <c r="M157" s="32"/>
      <c r="N157" s="32"/>
      <c r="O157" s="32"/>
      <c r="P157" s="32"/>
    </row>
    <row r="158" spans="1:16" x14ac:dyDescent="0.3">
      <c r="A158" s="38">
        <v>157</v>
      </c>
      <c r="B158" s="39" t="s">
        <v>564</v>
      </c>
      <c r="C158" s="30" t="s">
        <v>589</v>
      </c>
      <c r="D158" s="30" t="s">
        <v>589</v>
      </c>
      <c r="E158" s="30" t="s">
        <v>589</v>
      </c>
      <c r="F158" s="38" t="s">
        <v>566</v>
      </c>
      <c r="G158" s="40" t="s">
        <v>570</v>
      </c>
      <c r="H158" s="38">
        <f t="shared" si="4"/>
        <v>3</v>
      </c>
      <c r="I158" s="41" t="str">
        <f t="shared" si="5"/>
        <v>All three</v>
      </c>
      <c r="K158" s="32"/>
      <c r="L158" s="32"/>
      <c r="M158" s="32"/>
      <c r="N158" s="32"/>
      <c r="O158" s="32"/>
      <c r="P158" s="32"/>
    </row>
    <row r="159" spans="1:16" x14ac:dyDescent="0.3">
      <c r="A159" s="38">
        <v>158</v>
      </c>
      <c r="B159" s="39" t="s">
        <v>564</v>
      </c>
      <c r="C159" s="30" t="s">
        <v>590</v>
      </c>
      <c r="D159" s="30" t="s">
        <v>590</v>
      </c>
      <c r="E159" s="30" t="s">
        <v>590</v>
      </c>
      <c r="F159" s="38" t="s">
        <v>566</v>
      </c>
      <c r="G159" s="40" t="s">
        <v>570</v>
      </c>
      <c r="H159" s="38">
        <f t="shared" si="4"/>
        <v>3</v>
      </c>
      <c r="I159" s="41" t="str">
        <f t="shared" si="5"/>
        <v>All three</v>
      </c>
      <c r="K159" s="32"/>
      <c r="L159" s="32"/>
      <c r="M159" s="32"/>
      <c r="N159" s="32"/>
      <c r="O159" s="32"/>
      <c r="P159" s="32"/>
    </row>
    <row r="160" spans="1:16" x14ac:dyDescent="0.3">
      <c r="A160" s="38">
        <v>159</v>
      </c>
      <c r="B160" s="39" t="s">
        <v>564</v>
      </c>
      <c r="C160" s="30" t="s">
        <v>591</v>
      </c>
      <c r="D160" s="30" t="s">
        <v>591</v>
      </c>
      <c r="E160" s="30" t="s">
        <v>591</v>
      </c>
      <c r="F160" s="38" t="s">
        <v>566</v>
      </c>
      <c r="G160" s="40" t="s">
        <v>570</v>
      </c>
      <c r="H160" s="38">
        <f t="shared" si="4"/>
        <v>3</v>
      </c>
      <c r="I160" s="41" t="str">
        <f t="shared" si="5"/>
        <v>All three</v>
      </c>
      <c r="K160" s="32"/>
      <c r="L160" s="32"/>
      <c r="M160" s="32"/>
      <c r="N160" s="32"/>
      <c r="O160" s="32"/>
      <c r="P160" s="32"/>
    </row>
    <row r="161" spans="1:16" x14ac:dyDescent="0.3">
      <c r="A161" s="38">
        <v>160</v>
      </c>
      <c r="B161" s="39" t="s">
        <v>564</v>
      </c>
      <c r="C161" s="30" t="s">
        <v>592</v>
      </c>
      <c r="D161" s="30" t="s">
        <v>592</v>
      </c>
      <c r="E161" s="30" t="s">
        <v>592</v>
      </c>
      <c r="F161" s="38" t="s">
        <v>566</v>
      </c>
      <c r="G161" s="40" t="s">
        <v>593</v>
      </c>
      <c r="H161" s="38">
        <f t="shared" si="4"/>
        <v>3</v>
      </c>
      <c r="I161" s="41" t="str">
        <f t="shared" si="5"/>
        <v>All three</v>
      </c>
      <c r="K161" s="32"/>
      <c r="L161" s="32"/>
      <c r="M161" s="32"/>
      <c r="N161" s="32"/>
      <c r="O161" s="32"/>
      <c r="P161" s="32"/>
    </row>
    <row r="162" spans="1:16" x14ac:dyDescent="0.3">
      <c r="A162" s="38">
        <v>161</v>
      </c>
      <c r="B162" s="39" t="s">
        <v>564</v>
      </c>
      <c r="C162" s="30" t="s">
        <v>594</v>
      </c>
      <c r="D162" s="30" t="s">
        <v>594</v>
      </c>
      <c r="E162" s="30" t="s">
        <v>594</v>
      </c>
      <c r="F162" s="38" t="s">
        <v>566</v>
      </c>
      <c r="G162" s="40" t="s">
        <v>570</v>
      </c>
      <c r="H162" s="38">
        <f t="shared" si="4"/>
        <v>3</v>
      </c>
      <c r="I162" s="41" t="str">
        <f t="shared" si="5"/>
        <v>All three</v>
      </c>
      <c r="K162" s="32"/>
      <c r="L162" s="32"/>
      <c r="M162" s="32"/>
      <c r="N162" s="32"/>
      <c r="O162" s="32"/>
      <c r="P162" s="32"/>
    </row>
    <row r="163" spans="1:16" x14ac:dyDescent="0.3">
      <c r="A163" s="38">
        <v>162</v>
      </c>
      <c r="B163" s="39" t="s">
        <v>564</v>
      </c>
      <c r="C163" s="30" t="s">
        <v>595</v>
      </c>
      <c r="D163" s="30" t="s">
        <v>595</v>
      </c>
      <c r="E163" s="30" t="s">
        <v>595</v>
      </c>
      <c r="F163" s="38" t="s">
        <v>566</v>
      </c>
      <c r="G163" s="40" t="s">
        <v>570</v>
      </c>
      <c r="H163" s="38">
        <f t="shared" si="4"/>
        <v>3</v>
      </c>
      <c r="I163" s="41" t="str">
        <f t="shared" si="5"/>
        <v>All three</v>
      </c>
      <c r="K163" s="32"/>
      <c r="L163" s="32"/>
      <c r="M163" s="32"/>
      <c r="N163" s="32"/>
      <c r="O163" s="32"/>
      <c r="P163" s="32"/>
    </row>
    <row r="164" spans="1:16" x14ac:dyDescent="0.3">
      <c r="A164" s="38">
        <v>163</v>
      </c>
      <c r="B164" s="39" t="s">
        <v>564</v>
      </c>
      <c r="C164" s="30" t="s">
        <v>596</v>
      </c>
      <c r="D164" s="30" t="s">
        <v>596</v>
      </c>
      <c r="E164" s="30" t="s">
        <v>596</v>
      </c>
      <c r="F164" s="38" t="s">
        <v>566</v>
      </c>
      <c r="G164" s="40" t="s">
        <v>570</v>
      </c>
      <c r="H164" s="38">
        <f t="shared" si="4"/>
        <v>3</v>
      </c>
      <c r="I164" s="41" t="str">
        <f t="shared" si="5"/>
        <v>All three</v>
      </c>
      <c r="K164" s="32"/>
      <c r="L164" s="32"/>
      <c r="M164" s="32"/>
      <c r="N164" s="32"/>
      <c r="O164" s="32"/>
      <c r="P164" s="32"/>
    </row>
    <row r="165" spans="1:16" x14ac:dyDescent="0.3">
      <c r="A165" s="38">
        <v>164</v>
      </c>
      <c r="B165" s="39" t="s">
        <v>564</v>
      </c>
      <c r="C165" s="30" t="s">
        <v>597</v>
      </c>
      <c r="D165" s="30" t="s">
        <v>597</v>
      </c>
      <c r="E165" s="30" t="s">
        <v>597</v>
      </c>
      <c r="F165" s="38" t="s">
        <v>566</v>
      </c>
      <c r="G165" s="40" t="s">
        <v>570</v>
      </c>
      <c r="H165" s="38">
        <f t="shared" si="4"/>
        <v>3</v>
      </c>
      <c r="I165" s="41" t="str">
        <f t="shared" si="5"/>
        <v>All three</v>
      </c>
      <c r="K165" s="32"/>
      <c r="L165" s="32"/>
      <c r="M165" s="32"/>
      <c r="N165" s="32"/>
      <c r="O165" s="32"/>
      <c r="P165" s="32"/>
    </row>
    <row r="166" spans="1:16" x14ac:dyDescent="0.3">
      <c r="A166" s="38">
        <v>165</v>
      </c>
      <c r="B166" s="39" t="s">
        <v>564</v>
      </c>
      <c r="C166" s="30" t="s">
        <v>598</v>
      </c>
      <c r="D166" s="30" t="s">
        <v>599</v>
      </c>
      <c r="E166" s="30" t="s">
        <v>600</v>
      </c>
      <c r="F166" s="38" t="s">
        <v>566</v>
      </c>
      <c r="G166" s="40" t="s">
        <v>570</v>
      </c>
      <c r="H166" s="38">
        <f t="shared" si="4"/>
        <v>3</v>
      </c>
      <c r="I166" s="41" t="str">
        <f t="shared" si="5"/>
        <v>All three</v>
      </c>
      <c r="K166" s="32"/>
      <c r="L166" s="32"/>
      <c r="M166" s="32"/>
      <c r="N166" s="32"/>
      <c r="O166" s="32"/>
      <c r="P166" s="32"/>
    </row>
    <row r="167" spans="1:16" x14ac:dyDescent="0.3">
      <c r="A167" s="38">
        <v>166</v>
      </c>
      <c r="B167" s="39" t="s">
        <v>564</v>
      </c>
      <c r="C167" s="30"/>
      <c r="D167" s="30" t="s">
        <v>601</v>
      </c>
      <c r="E167" s="30" t="s">
        <v>601</v>
      </c>
      <c r="F167" s="38" t="s">
        <v>566</v>
      </c>
      <c r="G167" s="40" t="s">
        <v>570</v>
      </c>
      <c r="H167" s="38">
        <f t="shared" si="4"/>
        <v>2</v>
      </c>
      <c r="I167" s="41" t="str">
        <f t="shared" si="5"/>
        <v>RAKE + YAKE</v>
      </c>
      <c r="K167" s="32"/>
      <c r="L167" s="32"/>
      <c r="M167" s="32"/>
      <c r="N167" s="32"/>
      <c r="O167" s="32"/>
      <c r="P167" s="32"/>
    </row>
    <row r="168" spans="1:16" x14ac:dyDescent="0.3">
      <c r="A168" s="38">
        <v>167</v>
      </c>
      <c r="B168" s="39" t="s">
        <v>564</v>
      </c>
      <c r="C168" s="30" t="s">
        <v>602</v>
      </c>
      <c r="D168" s="30"/>
      <c r="E168" s="30" t="s">
        <v>602</v>
      </c>
      <c r="F168" s="38" t="s">
        <v>566</v>
      </c>
      <c r="G168" s="40" t="s">
        <v>570</v>
      </c>
      <c r="H168" s="38">
        <f t="shared" si="4"/>
        <v>2</v>
      </c>
      <c r="I168" s="41" t="str">
        <f t="shared" si="5"/>
        <v>Gemini + YAKE</v>
      </c>
      <c r="K168" s="32"/>
      <c r="L168" s="32"/>
      <c r="M168" s="32"/>
      <c r="N168" s="32"/>
      <c r="O168" s="32"/>
      <c r="P168" s="32"/>
    </row>
    <row r="169" spans="1:16" x14ac:dyDescent="0.3">
      <c r="A169" s="38">
        <v>168</v>
      </c>
      <c r="B169" s="39" t="s">
        <v>564</v>
      </c>
      <c r="C169" s="30"/>
      <c r="D169" s="30" t="s">
        <v>603</v>
      </c>
      <c r="E169" s="30" t="s">
        <v>603</v>
      </c>
      <c r="F169" s="38" t="s">
        <v>566</v>
      </c>
      <c r="G169" s="40" t="s">
        <v>570</v>
      </c>
      <c r="H169" s="38">
        <f t="shared" si="4"/>
        <v>2</v>
      </c>
      <c r="I169" s="41" t="str">
        <f t="shared" si="5"/>
        <v>RAKE + YAKE</v>
      </c>
      <c r="K169" s="32"/>
      <c r="L169" s="32"/>
      <c r="M169" s="32"/>
      <c r="N169" s="32"/>
      <c r="O169" s="32"/>
      <c r="P169" s="32"/>
    </row>
    <row r="170" spans="1:16" x14ac:dyDescent="0.3">
      <c r="A170" s="38">
        <v>169</v>
      </c>
      <c r="B170" s="39" t="s">
        <v>564</v>
      </c>
      <c r="C170" s="30" t="s">
        <v>604</v>
      </c>
      <c r="D170" s="30"/>
      <c r="E170" s="30" t="s">
        <v>604</v>
      </c>
      <c r="F170" s="38" t="s">
        <v>566</v>
      </c>
      <c r="G170" s="40" t="s">
        <v>570</v>
      </c>
      <c r="H170" s="38">
        <f t="shared" si="4"/>
        <v>2</v>
      </c>
      <c r="I170" s="41" t="str">
        <f t="shared" si="5"/>
        <v>Gemini + YAKE</v>
      </c>
      <c r="K170" s="32"/>
      <c r="L170" s="32"/>
      <c r="M170" s="32"/>
      <c r="N170" s="32"/>
      <c r="O170" s="32"/>
      <c r="P170" s="32"/>
    </row>
    <row r="171" spans="1:16" x14ac:dyDescent="0.3">
      <c r="A171" s="38">
        <v>170</v>
      </c>
      <c r="B171" s="39" t="s">
        <v>564</v>
      </c>
      <c r="C171" s="30" t="s">
        <v>605</v>
      </c>
      <c r="D171" s="30"/>
      <c r="E171" s="30" t="s">
        <v>605</v>
      </c>
      <c r="F171" s="38" t="s">
        <v>566</v>
      </c>
      <c r="G171" s="40" t="s">
        <v>570</v>
      </c>
      <c r="H171" s="38">
        <f t="shared" si="4"/>
        <v>2</v>
      </c>
      <c r="I171" s="41" t="str">
        <f t="shared" si="5"/>
        <v>Gemini + YAKE</v>
      </c>
      <c r="K171" s="32"/>
      <c r="L171" s="32"/>
      <c r="M171" s="32"/>
      <c r="N171" s="32"/>
      <c r="O171" s="32"/>
      <c r="P171" s="32"/>
    </row>
    <row r="172" spans="1:16" x14ac:dyDescent="0.3">
      <c r="A172" s="38">
        <v>171</v>
      </c>
      <c r="B172" s="39" t="s">
        <v>564</v>
      </c>
      <c r="C172" s="30" t="s">
        <v>606</v>
      </c>
      <c r="D172" s="30"/>
      <c r="E172" s="30" t="s">
        <v>606</v>
      </c>
      <c r="F172" s="38" t="s">
        <v>566</v>
      </c>
      <c r="G172" s="40" t="s">
        <v>570</v>
      </c>
      <c r="H172" s="38">
        <f t="shared" si="4"/>
        <v>2</v>
      </c>
      <c r="I172" s="41" t="str">
        <f t="shared" si="5"/>
        <v>Gemini + YAKE</v>
      </c>
      <c r="K172" s="32"/>
      <c r="L172" s="32"/>
      <c r="M172" s="32"/>
      <c r="N172" s="32"/>
      <c r="O172" s="32"/>
      <c r="P172" s="32"/>
    </row>
    <row r="173" spans="1:16" x14ac:dyDescent="0.3">
      <c r="A173" s="38">
        <v>172</v>
      </c>
      <c r="B173" s="39" t="s">
        <v>564</v>
      </c>
      <c r="C173" s="30"/>
      <c r="D173" s="30" t="s">
        <v>607</v>
      </c>
      <c r="E173" s="30" t="s">
        <v>607</v>
      </c>
      <c r="F173" s="38" t="s">
        <v>566</v>
      </c>
      <c r="G173" s="40" t="s">
        <v>570</v>
      </c>
      <c r="H173" s="38">
        <f t="shared" si="4"/>
        <v>2</v>
      </c>
      <c r="I173" s="41" t="str">
        <f t="shared" si="5"/>
        <v>RAKE + YAKE</v>
      </c>
      <c r="K173" s="32"/>
      <c r="L173" s="32"/>
      <c r="M173" s="32"/>
      <c r="N173" s="32"/>
      <c r="O173" s="32"/>
      <c r="P173" s="32"/>
    </row>
    <row r="174" spans="1:16" x14ac:dyDescent="0.3">
      <c r="A174" s="38">
        <v>173</v>
      </c>
      <c r="B174" s="39" t="s">
        <v>564</v>
      </c>
      <c r="C174" s="30" t="s">
        <v>608</v>
      </c>
      <c r="D174" s="30"/>
      <c r="E174" s="30" t="s">
        <v>608</v>
      </c>
      <c r="F174" s="38" t="s">
        <v>566</v>
      </c>
      <c r="G174" s="40" t="s">
        <v>570</v>
      </c>
      <c r="H174" s="38">
        <f t="shared" si="4"/>
        <v>2</v>
      </c>
      <c r="I174" s="41" t="str">
        <f t="shared" si="5"/>
        <v>Gemini + YAKE</v>
      </c>
      <c r="K174" s="32"/>
      <c r="L174" s="32"/>
      <c r="M174" s="32"/>
      <c r="N174" s="32"/>
      <c r="O174" s="32"/>
      <c r="P174" s="32"/>
    </row>
    <row r="175" spans="1:16" x14ac:dyDescent="0.3">
      <c r="A175" s="38">
        <v>174</v>
      </c>
      <c r="B175" s="39" t="s">
        <v>564</v>
      </c>
      <c r="C175" s="30"/>
      <c r="D175" s="30" t="s">
        <v>609</v>
      </c>
      <c r="E175" s="30" t="s">
        <v>610</v>
      </c>
      <c r="F175" s="38" t="s">
        <v>566</v>
      </c>
      <c r="G175" s="40" t="s">
        <v>570</v>
      </c>
      <c r="H175" s="38">
        <f t="shared" si="4"/>
        <v>2</v>
      </c>
      <c r="I175" s="41" t="str">
        <f t="shared" si="5"/>
        <v>RAKE + YAKE</v>
      </c>
      <c r="K175" s="32"/>
      <c r="L175" s="32"/>
      <c r="M175" s="32"/>
      <c r="N175" s="32"/>
      <c r="O175" s="32"/>
      <c r="P175" s="32"/>
    </row>
    <row r="176" spans="1:16" x14ac:dyDescent="0.3">
      <c r="A176" s="38">
        <v>175</v>
      </c>
      <c r="B176" s="39" t="s">
        <v>564</v>
      </c>
      <c r="C176" s="30"/>
      <c r="D176" s="30" t="s">
        <v>611</v>
      </c>
      <c r="E176" s="30" t="s">
        <v>611</v>
      </c>
      <c r="F176" s="38" t="s">
        <v>566</v>
      </c>
      <c r="G176" s="40" t="s">
        <v>570</v>
      </c>
      <c r="H176" s="38">
        <f t="shared" si="4"/>
        <v>2</v>
      </c>
      <c r="I176" s="41" t="str">
        <f t="shared" si="5"/>
        <v>RAKE + YAKE</v>
      </c>
      <c r="K176" s="32"/>
      <c r="L176" s="32"/>
      <c r="M176" s="32"/>
      <c r="N176" s="32"/>
      <c r="O176" s="32"/>
      <c r="P176" s="32"/>
    </row>
    <row r="177" spans="1:16" x14ac:dyDescent="0.3">
      <c r="A177" s="38">
        <v>176</v>
      </c>
      <c r="B177" s="39" t="s">
        <v>564</v>
      </c>
      <c r="C177" s="30"/>
      <c r="D177" s="30" t="s">
        <v>612</v>
      </c>
      <c r="E177" s="30" t="s">
        <v>613</v>
      </c>
      <c r="F177" s="38" t="s">
        <v>566</v>
      </c>
      <c r="G177" s="40" t="s">
        <v>570</v>
      </c>
      <c r="H177" s="38">
        <f t="shared" si="4"/>
        <v>2</v>
      </c>
      <c r="I177" s="41" t="str">
        <f t="shared" si="5"/>
        <v>RAKE + YAKE</v>
      </c>
      <c r="K177" s="32"/>
      <c r="L177" s="32"/>
      <c r="M177" s="32"/>
      <c r="N177" s="32"/>
      <c r="O177" s="32"/>
      <c r="P177" s="32"/>
    </row>
    <row r="178" spans="1:16" x14ac:dyDescent="0.3">
      <c r="A178" s="38">
        <v>177</v>
      </c>
      <c r="B178" s="39" t="s">
        <v>564</v>
      </c>
      <c r="C178" s="30"/>
      <c r="D178" s="30" t="s">
        <v>614</v>
      </c>
      <c r="E178" s="30" t="s">
        <v>614</v>
      </c>
      <c r="F178" s="38" t="s">
        <v>566</v>
      </c>
      <c r="G178" s="40" t="s">
        <v>570</v>
      </c>
      <c r="H178" s="38">
        <f t="shared" si="4"/>
        <v>2</v>
      </c>
      <c r="I178" s="41" t="str">
        <f t="shared" si="5"/>
        <v>RAKE + YAKE</v>
      </c>
      <c r="K178" s="32"/>
      <c r="L178" s="32"/>
      <c r="M178" s="32"/>
      <c r="N178" s="32"/>
      <c r="O178" s="32"/>
      <c r="P178" s="32"/>
    </row>
    <row r="179" spans="1:16" x14ac:dyDescent="0.3">
      <c r="A179" s="38">
        <v>178</v>
      </c>
      <c r="B179" s="39" t="s">
        <v>564</v>
      </c>
      <c r="C179" s="30"/>
      <c r="D179" s="30" t="s">
        <v>615</v>
      </c>
      <c r="E179" s="30" t="s">
        <v>615</v>
      </c>
      <c r="F179" s="38" t="s">
        <v>566</v>
      </c>
      <c r="G179" s="40" t="s">
        <v>570</v>
      </c>
      <c r="H179" s="38">
        <f t="shared" si="4"/>
        <v>2</v>
      </c>
      <c r="I179" s="41" t="str">
        <f t="shared" si="5"/>
        <v>RAKE + YAKE</v>
      </c>
      <c r="K179" s="32"/>
      <c r="L179" s="32"/>
      <c r="M179" s="32"/>
      <c r="N179" s="32"/>
      <c r="O179" s="32"/>
      <c r="P179" s="32"/>
    </row>
    <row r="180" spans="1:16" x14ac:dyDescent="0.3">
      <c r="A180" s="38">
        <v>179</v>
      </c>
      <c r="B180" s="39" t="s">
        <v>564</v>
      </c>
      <c r="C180" s="30"/>
      <c r="D180" s="30" t="s">
        <v>616</v>
      </c>
      <c r="E180" s="30" t="s">
        <v>616</v>
      </c>
      <c r="F180" s="38" t="s">
        <v>566</v>
      </c>
      <c r="G180" s="40" t="s">
        <v>570</v>
      </c>
      <c r="H180" s="38">
        <f t="shared" si="4"/>
        <v>2</v>
      </c>
      <c r="I180" s="41" t="str">
        <f t="shared" si="5"/>
        <v>RAKE + YAKE</v>
      </c>
      <c r="K180" s="32"/>
      <c r="L180" s="32"/>
      <c r="M180" s="32"/>
      <c r="N180" s="32"/>
      <c r="O180" s="32"/>
      <c r="P180" s="32"/>
    </row>
    <row r="181" spans="1:16" x14ac:dyDescent="0.3">
      <c r="A181" s="38">
        <v>180</v>
      </c>
      <c r="B181" s="39" t="s">
        <v>564</v>
      </c>
      <c r="C181" s="30"/>
      <c r="D181" s="30" t="s">
        <v>617</v>
      </c>
      <c r="E181" s="30" t="s">
        <v>617</v>
      </c>
      <c r="F181" s="38" t="s">
        <v>566</v>
      </c>
      <c r="G181" s="40" t="s">
        <v>570</v>
      </c>
      <c r="H181" s="38">
        <f t="shared" si="4"/>
        <v>2</v>
      </c>
      <c r="I181" s="41" t="str">
        <f t="shared" si="5"/>
        <v>RAKE + YAKE</v>
      </c>
      <c r="K181" s="32"/>
      <c r="L181" s="32"/>
      <c r="M181" s="32"/>
      <c r="N181" s="32"/>
      <c r="O181" s="32"/>
      <c r="P181" s="32"/>
    </row>
    <row r="182" spans="1:16" x14ac:dyDescent="0.3">
      <c r="A182" s="38">
        <v>181</v>
      </c>
      <c r="B182" s="39" t="s">
        <v>564</v>
      </c>
      <c r="C182" s="30"/>
      <c r="D182" s="30" t="s">
        <v>618</v>
      </c>
      <c r="E182" s="30" t="s">
        <v>618</v>
      </c>
      <c r="F182" s="38" t="s">
        <v>566</v>
      </c>
      <c r="G182" s="40" t="s">
        <v>570</v>
      </c>
      <c r="H182" s="38">
        <f t="shared" si="4"/>
        <v>2</v>
      </c>
      <c r="I182" s="41" t="str">
        <f t="shared" si="5"/>
        <v>RAKE + YAKE</v>
      </c>
      <c r="K182" s="32"/>
      <c r="L182" s="32"/>
      <c r="M182" s="32"/>
      <c r="N182" s="32"/>
      <c r="O182" s="32"/>
      <c r="P182" s="32"/>
    </row>
    <row r="183" spans="1:16" x14ac:dyDescent="0.3">
      <c r="A183" s="38">
        <v>182</v>
      </c>
      <c r="B183" s="39" t="s">
        <v>564</v>
      </c>
      <c r="C183" s="30"/>
      <c r="D183" s="30" t="s">
        <v>619</v>
      </c>
      <c r="E183" s="30" t="s">
        <v>619</v>
      </c>
      <c r="F183" s="38" t="s">
        <v>566</v>
      </c>
      <c r="G183" s="40" t="s">
        <v>570</v>
      </c>
      <c r="H183" s="38">
        <f t="shared" si="4"/>
        <v>2</v>
      </c>
      <c r="I183" s="41" t="str">
        <f t="shared" si="5"/>
        <v>RAKE + YAKE</v>
      </c>
      <c r="K183" s="32"/>
      <c r="L183" s="32"/>
      <c r="M183" s="32"/>
      <c r="N183" s="32"/>
      <c r="O183" s="32"/>
      <c r="P183" s="32"/>
    </row>
    <row r="184" spans="1:16" x14ac:dyDescent="0.3">
      <c r="A184" s="38">
        <v>183</v>
      </c>
      <c r="B184" s="39" t="s">
        <v>564</v>
      </c>
      <c r="C184" s="30" t="s">
        <v>620</v>
      </c>
      <c r="D184" s="30"/>
      <c r="E184" s="30" t="s">
        <v>620</v>
      </c>
      <c r="F184" s="38" t="s">
        <v>566</v>
      </c>
      <c r="G184" s="40" t="s">
        <v>570</v>
      </c>
      <c r="H184" s="38">
        <f t="shared" si="4"/>
        <v>2</v>
      </c>
      <c r="I184" s="41" t="str">
        <f t="shared" si="5"/>
        <v>Gemini + YAKE</v>
      </c>
      <c r="K184" s="32"/>
      <c r="L184" s="32"/>
      <c r="M184" s="32"/>
      <c r="N184" s="32"/>
      <c r="O184" s="32"/>
      <c r="P184" s="32"/>
    </row>
    <row r="185" spans="1:16" x14ac:dyDescent="0.3">
      <c r="A185" s="38">
        <v>184</v>
      </c>
      <c r="B185" s="39" t="s">
        <v>564</v>
      </c>
      <c r="C185" s="30"/>
      <c r="D185" s="30" t="s">
        <v>621</v>
      </c>
      <c r="E185" s="30" t="s">
        <v>621</v>
      </c>
      <c r="F185" s="38" t="s">
        <v>566</v>
      </c>
      <c r="G185" s="40" t="s">
        <v>570</v>
      </c>
      <c r="H185" s="38">
        <f t="shared" si="4"/>
        <v>2</v>
      </c>
      <c r="I185" s="41" t="str">
        <f t="shared" si="5"/>
        <v>RAKE + YAKE</v>
      </c>
      <c r="K185" s="32"/>
      <c r="L185" s="32"/>
      <c r="M185" s="32"/>
      <c r="N185" s="32"/>
      <c r="O185" s="32"/>
      <c r="P185" s="32"/>
    </row>
    <row r="186" spans="1:16" x14ac:dyDescent="0.3">
      <c r="A186" s="38">
        <v>185</v>
      </c>
      <c r="B186" s="39" t="s">
        <v>564</v>
      </c>
      <c r="C186" s="30"/>
      <c r="D186" s="30" t="s">
        <v>622</v>
      </c>
      <c r="E186" s="30" t="s">
        <v>622</v>
      </c>
      <c r="F186" s="38" t="s">
        <v>566</v>
      </c>
      <c r="G186" s="40" t="s">
        <v>570</v>
      </c>
      <c r="H186" s="38">
        <f t="shared" si="4"/>
        <v>2</v>
      </c>
      <c r="I186" s="41" t="str">
        <f t="shared" si="5"/>
        <v>RAKE + YAKE</v>
      </c>
      <c r="K186" s="32"/>
      <c r="L186" s="32"/>
      <c r="M186" s="32"/>
      <c r="N186" s="32"/>
      <c r="O186" s="32"/>
      <c r="P186" s="32"/>
    </row>
    <row r="187" spans="1:16" x14ac:dyDescent="0.3">
      <c r="A187" s="38">
        <v>186</v>
      </c>
      <c r="B187" s="39" t="s">
        <v>564</v>
      </c>
      <c r="C187" s="30" t="s">
        <v>623</v>
      </c>
      <c r="D187" s="30"/>
      <c r="E187" s="30" t="s">
        <v>624</v>
      </c>
      <c r="F187" s="38" t="s">
        <v>566</v>
      </c>
      <c r="G187" s="40" t="s">
        <v>570</v>
      </c>
      <c r="H187" s="38">
        <f t="shared" si="4"/>
        <v>2</v>
      </c>
      <c r="I187" s="41" t="str">
        <f t="shared" si="5"/>
        <v>Gemini + YAKE</v>
      </c>
      <c r="K187" s="32"/>
      <c r="L187" s="32"/>
      <c r="M187" s="32"/>
      <c r="N187" s="32"/>
      <c r="O187" s="32"/>
      <c r="P187" s="32"/>
    </row>
    <row r="188" spans="1:16" x14ac:dyDescent="0.3">
      <c r="A188" s="38">
        <v>187</v>
      </c>
      <c r="B188" s="39" t="s">
        <v>564</v>
      </c>
      <c r="C188" s="30"/>
      <c r="D188" s="30" t="s">
        <v>625</v>
      </c>
      <c r="E188" s="30" t="s">
        <v>625</v>
      </c>
      <c r="F188" s="38" t="s">
        <v>566</v>
      </c>
      <c r="G188" s="40" t="s">
        <v>570</v>
      </c>
      <c r="H188" s="38">
        <f t="shared" si="4"/>
        <v>2</v>
      </c>
      <c r="I188" s="41" t="str">
        <f t="shared" si="5"/>
        <v>RAKE + YAKE</v>
      </c>
      <c r="K188" s="32"/>
      <c r="L188" s="32"/>
      <c r="M188" s="32"/>
      <c r="N188" s="32"/>
      <c r="O188" s="32"/>
      <c r="P188" s="32"/>
    </row>
    <row r="189" spans="1:16" x14ac:dyDescent="0.3">
      <c r="A189" s="38">
        <v>188</v>
      </c>
      <c r="B189" s="39" t="s">
        <v>564</v>
      </c>
      <c r="C189" s="30"/>
      <c r="D189" s="30" t="s">
        <v>626</v>
      </c>
      <c r="E189" s="30" t="s">
        <v>626</v>
      </c>
      <c r="F189" s="38" t="s">
        <v>566</v>
      </c>
      <c r="G189" s="40" t="s">
        <v>570</v>
      </c>
      <c r="H189" s="38">
        <f t="shared" si="4"/>
        <v>2</v>
      </c>
      <c r="I189" s="41" t="str">
        <f t="shared" si="5"/>
        <v>RAKE + YAKE</v>
      </c>
      <c r="K189" s="32"/>
      <c r="L189" s="32"/>
      <c r="M189" s="32"/>
      <c r="N189" s="32"/>
      <c r="O189" s="32"/>
      <c r="P189" s="32"/>
    </row>
    <row r="190" spans="1:16" x14ac:dyDescent="0.3">
      <c r="A190" s="38">
        <v>189</v>
      </c>
      <c r="B190" s="39" t="s">
        <v>564</v>
      </c>
      <c r="C190" s="30" t="s">
        <v>627</v>
      </c>
      <c r="D190" s="30"/>
      <c r="E190" s="30" t="s">
        <v>627</v>
      </c>
      <c r="F190" s="38" t="s">
        <v>566</v>
      </c>
      <c r="G190" s="40" t="s">
        <v>570</v>
      </c>
      <c r="H190" s="38">
        <f t="shared" si="4"/>
        <v>2</v>
      </c>
      <c r="I190" s="41" t="str">
        <f t="shared" si="5"/>
        <v>Gemini + YAKE</v>
      </c>
      <c r="K190" s="32"/>
      <c r="L190" s="32"/>
      <c r="M190" s="32"/>
      <c r="N190" s="32"/>
      <c r="O190" s="32"/>
      <c r="P190" s="32"/>
    </row>
    <row r="191" spans="1:16" x14ac:dyDescent="0.3">
      <c r="A191" s="38">
        <v>190</v>
      </c>
      <c r="B191" s="39" t="s">
        <v>564</v>
      </c>
      <c r="C191" s="30"/>
      <c r="D191" s="30" t="s">
        <v>628</v>
      </c>
      <c r="E191" s="30" t="s">
        <v>628</v>
      </c>
      <c r="F191" s="38" t="s">
        <v>566</v>
      </c>
      <c r="G191" s="40" t="s">
        <v>570</v>
      </c>
      <c r="H191" s="38">
        <f t="shared" si="4"/>
        <v>2</v>
      </c>
      <c r="I191" s="41" t="str">
        <f t="shared" si="5"/>
        <v>RAKE + YAKE</v>
      </c>
      <c r="K191" s="32"/>
      <c r="L191" s="32"/>
      <c r="M191" s="32"/>
      <c r="N191" s="32"/>
      <c r="O191" s="32"/>
      <c r="P191" s="32"/>
    </row>
    <row r="192" spans="1:16" x14ac:dyDescent="0.3">
      <c r="A192" s="38">
        <v>191</v>
      </c>
      <c r="B192" s="39" t="s">
        <v>564</v>
      </c>
      <c r="C192" s="30"/>
      <c r="D192" s="30" t="s">
        <v>629</v>
      </c>
      <c r="E192" s="30" t="s">
        <v>629</v>
      </c>
      <c r="F192" s="38" t="s">
        <v>566</v>
      </c>
      <c r="G192" s="40" t="s">
        <v>570</v>
      </c>
      <c r="H192" s="38">
        <f t="shared" si="4"/>
        <v>2</v>
      </c>
      <c r="I192" s="41" t="str">
        <f t="shared" si="5"/>
        <v>RAKE + YAKE</v>
      </c>
      <c r="K192" s="32"/>
      <c r="L192" s="32"/>
      <c r="M192" s="32"/>
      <c r="N192" s="32"/>
      <c r="O192" s="32"/>
      <c r="P192" s="32"/>
    </row>
    <row r="193" spans="1:16" x14ac:dyDescent="0.3">
      <c r="A193" s="38">
        <v>192</v>
      </c>
      <c r="B193" s="39" t="s">
        <v>564</v>
      </c>
      <c r="C193" s="30"/>
      <c r="D193" s="30" t="s">
        <v>630</v>
      </c>
      <c r="E193" s="30" t="s">
        <v>631</v>
      </c>
      <c r="F193" s="38" t="s">
        <v>566</v>
      </c>
      <c r="G193" s="40" t="s">
        <v>570</v>
      </c>
      <c r="H193" s="38">
        <f t="shared" si="4"/>
        <v>2</v>
      </c>
      <c r="I193" s="41" t="str">
        <f t="shared" si="5"/>
        <v>RAKE + YAKE</v>
      </c>
      <c r="K193" s="32"/>
      <c r="L193" s="32"/>
      <c r="M193" s="32"/>
      <c r="N193" s="32"/>
      <c r="O193" s="32"/>
      <c r="P193" s="32"/>
    </row>
    <row r="194" spans="1:16" x14ac:dyDescent="0.3">
      <c r="A194" s="38">
        <v>193</v>
      </c>
      <c r="B194" s="39" t="s">
        <v>564</v>
      </c>
      <c r="C194" s="30"/>
      <c r="D194" s="30" t="s">
        <v>632</v>
      </c>
      <c r="E194" s="30" t="s">
        <v>633</v>
      </c>
      <c r="F194" s="38" t="s">
        <v>566</v>
      </c>
      <c r="G194" s="40" t="s">
        <v>570</v>
      </c>
      <c r="H194" s="38">
        <f t="shared" ref="H194:H257" si="6">COUNTIF(C194:E194,"?*")</f>
        <v>2</v>
      </c>
      <c r="I194" s="41" t="str">
        <f t="shared" ref="I194:I257" si="7">IF(H194=0,"None",IF(H194=3,"All three",IF(H194=1,"Only "&amp;TRIM(IF(C194&lt;&gt;"","Gemini ","")&amp;IF(D194&lt;&gt;"","RAKE ","")&amp;IF(E194&lt;&gt;"","YAKE","")),SUBSTITUTE(TRIM(IF(C194&lt;&gt;"","Gemini ","")&amp;IF(D194&lt;&gt;"","RAKE ","")&amp;IF(E194&lt;&gt;"","YAKE",""))," "," + "))))</f>
        <v>RAKE + YAKE</v>
      </c>
      <c r="K194" s="32"/>
      <c r="L194" s="32"/>
      <c r="M194" s="32"/>
      <c r="N194" s="32"/>
      <c r="O194" s="32"/>
      <c r="P194" s="32"/>
    </row>
    <row r="195" spans="1:16" x14ac:dyDescent="0.3">
      <c r="A195" s="38">
        <v>194</v>
      </c>
      <c r="B195" s="39" t="s">
        <v>564</v>
      </c>
      <c r="C195" s="30"/>
      <c r="D195" s="30" t="s">
        <v>634</v>
      </c>
      <c r="E195" s="30" t="s">
        <v>634</v>
      </c>
      <c r="F195" s="38" t="s">
        <v>566</v>
      </c>
      <c r="G195" s="40" t="s">
        <v>570</v>
      </c>
      <c r="H195" s="38">
        <f t="shared" si="6"/>
        <v>2</v>
      </c>
      <c r="I195" s="41" t="str">
        <f t="shared" si="7"/>
        <v>RAKE + YAKE</v>
      </c>
      <c r="K195" s="32"/>
      <c r="L195" s="32"/>
      <c r="M195" s="32"/>
      <c r="N195" s="32"/>
      <c r="O195" s="32"/>
      <c r="P195" s="32"/>
    </row>
    <row r="196" spans="1:16" x14ac:dyDescent="0.3">
      <c r="A196" s="38">
        <v>195</v>
      </c>
      <c r="B196" s="39" t="s">
        <v>564</v>
      </c>
      <c r="C196" s="30"/>
      <c r="D196" s="30" t="s">
        <v>635</v>
      </c>
      <c r="E196" s="30" t="s">
        <v>635</v>
      </c>
      <c r="F196" s="38" t="s">
        <v>566</v>
      </c>
      <c r="G196" s="40" t="s">
        <v>570</v>
      </c>
      <c r="H196" s="38">
        <f t="shared" si="6"/>
        <v>2</v>
      </c>
      <c r="I196" s="41" t="str">
        <f t="shared" si="7"/>
        <v>RAKE + YAKE</v>
      </c>
      <c r="K196" s="32"/>
      <c r="L196" s="32"/>
      <c r="M196" s="32"/>
      <c r="N196" s="32"/>
      <c r="O196" s="32"/>
      <c r="P196" s="32"/>
    </row>
    <row r="197" spans="1:16" x14ac:dyDescent="0.3">
      <c r="A197" s="38">
        <v>196</v>
      </c>
      <c r="B197" s="39" t="s">
        <v>564</v>
      </c>
      <c r="C197" s="30"/>
      <c r="D197" s="30" t="s">
        <v>636</v>
      </c>
      <c r="E197" s="30" t="s">
        <v>636</v>
      </c>
      <c r="F197" s="38" t="s">
        <v>566</v>
      </c>
      <c r="G197" s="40" t="s">
        <v>567</v>
      </c>
      <c r="H197" s="38">
        <f t="shared" si="6"/>
        <v>2</v>
      </c>
      <c r="I197" s="41" t="str">
        <f t="shared" si="7"/>
        <v>RAKE + YAKE</v>
      </c>
      <c r="K197" s="32"/>
      <c r="L197" s="32"/>
      <c r="M197" s="32"/>
      <c r="N197" s="32"/>
      <c r="O197" s="32"/>
      <c r="P197" s="32"/>
    </row>
    <row r="198" spans="1:16" x14ac:dyDescent="0.3">
      <c r="A198" s="38">
        <v>197</v>
      </c>
      <c r="B198" s="39" t="s">
        <v>564</v>
      </c>
      <c r="C198" s="30"/>
      <c r="D198" s="30" t="s">
        <v>637</v>
      </c>
      <c r="E198" s="30" t="s">
        <v>637</v>
      </c>
      <c r="F198" s="38" t="s">
        <v>566</v>
      </c>
      <c r="G198" s="40" t="s">
        <v>570</v>
      </c>
      <c r="H198" s="38">
        <f t="shared" si="6"/>
        <v>2</v>
      </c>
      <c r="I198" s="41" t="str">
        <f t="shared" si="7"/>
        <v>RAKE + YAKE</v>
      </c>
      <c r="K198" s="32"/>
      <c r="L198" s="32"/>
      <c r="M198" s="32"/>
      <c r="N198" s="32"/>
      <c r="O198" s="32"/>
      <c r="P198" s="32"/>
    </row>
    <row r="199" spans="1:16" x14ac:dyDescent="0.3">
      <c r="A199" s="38">
        <v>198</v>
      </c>
      <c r="B199" s="39" t="s">
        <v>564</v>
      </c>
      <c r="C199" s="30"/>
      <c r="D199" s="30" t="s">
        <v>638</v>
      </c>
      <c r="E199" s="30" t="s">
        <v>638</v>
      </c>
      <c r="F199" s="38" t="s">
        <v>566</v>
      </c>
      <c r="G199" s="40" t="s">
        <v>570</v>
      </c>
      <c r="H199" s="38">
        <f t="shared" si="6"/>
        <v>2</v>
      </c>
      <c r="I199" s="41" t="str">
        <f t="shared" si="7"/>
        <v>RAKE + YAKE</v>
      </c>
      <c r="K199" s="32"/>
      <c r="L199" s="32"/>
      <c r="M199" s="32"/>
      <c r="N199" s="32"/>
      <c r="O199" s="32"/>
      <c r="P199" s="32"/>
    </row>
    <row r="200" spans="1:16" x14ac:dyDescent="0.3">
      <c r="A200" s="38">
        <v>199</v>
      </c>
      <c r="B200" s="39" t="s">
        <v>564</v>
      </c>
      <c r="C200" s="30" t="s">
        <v>639</v>
      </c>
      <c r="D200" s="30"/>
      <c r="E200" s="30" t="s">
        <v>639</v>
      </c>
      <c r="F200" s="38" t="s">
        <v>566</v>
      </c>
      <c r="G200" s="40" t="s">
        <v>570</v>
      </c>
      <c r="H200" s="38">
        <f t="shared" si="6"/>
        <v>2</v>
      </c>
      <c r="I200" s="41" t="str">
        <f t="shared" si="7"/>
        <v>Gemini + YAKE</v>
      </c>
      <c r="K200" s="32"/>
      <c r="L200" s="32"/>
      <c r="M200" s="32"/>
      <c r="N200" s="32"/>
      <c r="O200" s="32"/>
      <c r="P200" s="32"/>
    </row>
    <row r="201" spans="1:16" x14ac:dyDescent="0.3">
      <c r="A201" s="38">
        <v>200</v>
      </c>
      <c r="B201" s="39" t="s">
        <v>564</v>
      </c>
      <c r="C201" s="30"/>
      <c r="D201" s="30" t="s">
        <v>640</v>
      </c>
      <c r="E201" s="30" t="s">
        <v>640</v>
      </c>
      <c r="F201" s="38" t="s">
        <v>566</v>
      </c>
      <c r="G201" s="40" t="s">
        <v>570</v>
      </c>
      <c r="H201" s="38">
        <f t="shared" si="6"/>
        <v>2</v>
      </c>
      <c r="I201" s="41" t="str">
        <f t="shared" si="7"/>
        <v>RAKE + YAKE</v>
      </c>
      <c r="K201" s="32"/>
      <c r="L201" s="32"/>
      <c r="M201" s="32"/>
      <c r="N201" s="32"/>
      <c r="O201" s="32"/>
      <c r="P201" s="32"/>
    </row>
    <row r="202" spans="1:16" x14ac:dyDescent="0.3">
      <c r="A202" s="38">
        <v>201</v>
      </c>
      <c r="B202" s="39" t="s">
        <v>564</v>
      </c>
      <c r="C202" s="30"/>
      <c r="D202" s="30" t="s">
        <v>641</v>
      </c>
      <c r="E202" s="30" t="s">
        <v>642</v>
      </c>
      <c r="F202" s="38" t="s">
        <v>566</v>
      </c>
      <c r="G202" s="40" t="s">
        <v>570</v>
      </c>
      <c r="H202" s="38">
        <f t="shared" si="6"/>
        <v>2</v>
      </c>
      <c r="I202" s="41" t="str">
        <f t="shared" si="7"/>
        <v>RAKE + YAKE</v>
      </c>
      <c r="K202" s="32"/>
      <c r="L202" s="32"/>
      <c r="M202" s="32"/>
      <c r="N202" s="32"/>
      <c r="O202" s="32"/>
      <c r="P202" s="32"/>
    </row>
    <row r="203" spans="1:16" x14ac:dyDescent="0.3">
      <c r="A203" s="38">
        <v>202</v>
      </c>
      <c r="B203" s="39" t="s">
        <v>564</v>
      </c>
      <c r="C203" s="30" t="s">
        <v>643</v>
      </c>
      <c r="D203" s="30"/>
      <c r="E203" s="30" t="s">
        <v>643</v>
      </c>
      <c r="F203" s="38" t="s">
        <v>566</v>
      </c>
      <c r="G203" s="40" t="s">
        <v>570</v>
      </c>
      <c r="H203" s="38">
        <f t="shared" si="6"/>
        <v>2</v>
      </c>
      <c r="I203" s="41" t="str">
        <f t="shared" si="7"/>
        <v>Gemini + YAKE</v>
      </c>
      <c r="K203" s="32"/>
      <c r="L203" s="32"/>
      <c r="M203" s="32"/>
      <c r="N203" s="32"/>
      <c r="O203" s="32"/>
      <c r="P203" s="32"/>
    </row>
    <row r="204" spans="1:16" x14ac:dyDescent="0.3">
      <c r="A204" s="38">
        <v>203</v>
      </c>
      <c r="B204" s="39" t="s">
        <v>564</v>
      </c>
      <c r="C204" s="30"/>
      <c r="D204" s="30" t="s">
        <v>644</v>
      </c>
      <c r="E204" s="30" t="s">
        <v>644</v>
      </c>
      <c r="F204" s="38" t="s">
        <v>566</v>
      </c>
      <c r="G204" s="40" t="s">
        <v>570</v>
      </c>
      <c r="H204" s="38">
        <f t="shared" si="6"/>
        <v>2</v>
      </c>
      <c r="I204" s="41" t="str">
        <f t="shared" si="7"/>
        <v>RAKE + YAKE</v>
      </c>
      <c r="K204" s="32"/>
      <c r="L204" s="32"/>
      <c r="M204" s="32"/>
      <c r="N204" s="32"/>
      <c r="O204" s="32"/>
      <c r="P204" s="32"/>
    </row>
    <row r="205" spans="1:16" x14ac:dyDescent="0.3">
      <c r="A205" s="38">
        <v>204</v>
      </c>
      <c r="B205" s="39" t="s">
        <v>564</v>
      </c>
      <c r="C205" s="30"/>
      <c r="D205" s="30" t="s">
        <v>645</v>
      </c>
      <c r="E205" s="30" t="s">
        <v>645</v>
      </c>
      <c r="F205" s="38" t="s">
        <v>566</v>
      </c>
      <c r="G205" s="40" t="s">
        <v>570</v>
      </c>
      <c r="H205" s="38">
        <f t="shared" si="6"/>
        <v>2</v>
      </c>
      <c r="I205" s="41" t="str">
        <f t="shared" si="7"/>
        <v>RAKE + YAKE</v>
      </c>
      <c r="K205" s="32"/>
      <c r="L205" s="32"/>
      <c r="M205" s="32"/>
      <c r="N205" s="32"/>
      <c r="O205" s="32"/>
      <c r="P205" s="32"/>
    </row>
    <row r="206" spans="1:16" x14ac:dyDescent="0.3">
      <c r="A206" s="38">
        <v>205</v>
      </c>
      <c r="B206" s="39" t="s">
        <v>564</v>
      </c>
      <c r="C206" s="30"/>
      <c r="D206" s="30" t="s">
        <v>646</v>
      </c>
      <c r="E206" s="30" t="s">
        <v>646</v>
      </c>
      <c r="F206" s="38" t="s">
        <v>566</v>
      </c>
      <c r="G206" s="40" t="s">
        <v>570</v>
      </c>
      <c r="H206" s="38">
        <f t="shared" si="6"/>
        <v>2</v>
      </c>
      <c r="I206" s="41" t="str">
        <f t="shared" si="7"/>
        <v>RAKE + YAKE</v>
      </c>
      <c r="K206" s="32"/>
      <c r="L206" s="32"/>
      <c r="M206" s="32"/>
      <c r="N206" s="32"/>
      <c r="O206" s="32"/>
      <c r="P206" s="32"/>
    </row>
    <row r="207" spans="1:16" x14ac:dyDescent="0.3">
      <c r="A207" s="38">
        <v>206</v>
      </c>
      <c r="B207" s="39" t="s">
        <v>564</v>
      </c>
      <c r="C207" s="30" t="s">
        <v>647</v>
      </c>
      <c r="D207" s="30"/>
      <c r="E207" s="30" t="s">
        <v>648</v>
      </c>
      <c r="F207" s="38" t="s">
        <v>566</v>
      </c>
      <c r="G207" s="40" t="s">
        <v>570</v>
      </c>
      <c r="H207" s="38">
        <f t="shared" si="6"/>
        <v>2</v>
      </c>
      <c r="I207" s="41" t="str">
        <f t="shared" si="7"/>
        <v>Gemini + YAKE</v>
      </c>
      <c r="K207" s="32"/>
      <c r="L207" s="32"/>
      <c r="M207" s="32"/>
      <c r="N207" s="32"/>
      <c r="O207" s="32"/>
      <c r="P207" s="32"/>
    </row>
    <row r="208" spans="1:16" x14ac:dyDescent="0.3">
      <c r="A208" s="38">
        <v>207</v>
      </c>
      <c r="B208" s="39" t="s">
        <v>564</v>
      </c>
      <c r="C208" s="30" t="s">
        <v>649</v>
      </c>
      <c r="D208" s="30"/>
      <c r="E208" s="30" t="s">
        <v>649</v>
      </c>
      <c r="F208" s="38" t="s">
        <v>566</v>
      </c>
      <c r="G208" s="40" t="s">
        <v>570</v>
      </c>
      <c r="H208" s="38">
        <f t="shared" si="6"/>
        <v>2</v>
      </c>
      <c r="I208" s="41" t="str">
        <f t="shared" si="7"/>
        <v>Gemini + YAKE</v>
      </c>
      <c r="K208" s="32"/>
      <c r="L208" s="32"/>
      <c r="M208" s="32"/>
      <c r="N208" s="32"/>
      <c r="O208" s="32"/>
      <c r="P208" s="32"/>
    </row>
    <row r="209" spans="1:16" x14ac:dyDescent="0.3">
      <c r="A209" s="38">
        <v>208</v>
      </c>
      <c r="B209" s="39" t="s">
        <v>564</v>
      </c>
      <c r="C209" s="30" t="s">
        <v>650</v>
      </c>
      <c r="D209" s="30"/>
      <c r="E209" s="30" t="s">
        <v>650</v>
      </c>
      <c r="F209" s="38" t="s">
        <v>566</v>
      </c>
      <c r="G209" s="40" t="s">
        <v>570</v>
      </c>
      <c r="H209" s="38">
        <f t="shared" si="6"/>
        <v>2</v>
      </c>
      <c r="I209" s="41" t="str">
        <f t="shared" si="7"/>
        <v>Gemini + YAKE</v>
      </c>
      <c r="K209" s="32"/>
      <c r="L209" s="32"/>
      <c r="M209" s="32"/>
      <c r="N209" s="32"/>
      <c r="O209" s="32"/>
      <c r="P209" s="32"/>
    </row>
    <row r="210" spans="1:16" x14ac:dyDescent="0.3">
      <c r="A210" s="38">
        <v>209</v>
      </c>
      <c r="B210" s="39" t="s">
        <v>564</v>
      </c>
      <c r="C210" s="30"/>
      <c r="D210" s="30" t="s">
        <v>651</v>
      </c>
      <c r="E210" s="30" t="s">
        <v>651</v>
      </c>
      <c r="F210" s="38" t="s">
        <v>566</v>
      </c>
      <c r="G210" s="40" t="s">
        <v>570</v>
      </c>
      <c r="H210" s="38">
        <f t="shared" si="6"/>
        <v>2</v>
      </c>
      <c r="I210" s="41" t="str">
        <f t="shared" si="7"/>
        <v>RAKE + YAKE</v>
      </c>
      <c r="K210" s="32"/>
      <c r="L210" s="32"/>
      <c r="M210" s="32"/>
      <c r="N210" s="32"/>
      <c r="O210" s="32"/>
      <c r="P210" s="32"/>
    </row>
    <row r="211" spans="1:16" x14ac:dyDescent="0.3">
      <c r="A211" s="38">
        <v>210</v>
      </c>
      <c r="B211" s="39" t="s">
        <v>564</v>
      </c>
      <c r="C211" s="30"/>
      <c r="D211" s="30" t="s">
        <v>652</v>
      </c>
      <c r="E211" s="30" t="s">
        <v>652</v>
      </c>
      <c r="F211" s="38" t="s">
        <v>566</v>
      </c>
      <c r="G211" s="40" t="s">
        <v>570</v>
      </c>
      <c r="H211" s="38">
        <f t="shared" si="6"/>
        <v>2</v>
      </c>
      <c r="I211" s="41" t="str">
        <f t="shared" si="7"/>
        <v>RAKE + YAKE</v>
      </c>
      <c r="K211" s="32"/>
      <c r="L211" s="32"/>
      <c r="M211" s="32"/>
      <c r="N211" s="32"/>
      <c r="O211" s="32"/>
      <c r="P211" s="32"/>
    </row>
    <row r="212" spans="1:16" x14ac:dyDescent="0.3">
      <c r="A212" s="38">
        <v>211</v>
      </c>
      <c r="B212" s="39" t="s">
        <v>564</v>
      </c>
      <c r="C212" s="30"/>
      <c r="D212" s="30" t="s">
        <v>653</v>
      </c>
      <c r="E212" s="30" t="s">
        <v>653</v>
      </c>
      <c r="F212" s="38" t="s">
        <v>566</v>
      </c>
      <c r="G212" s="40" t="s">
        <v>570</v>
      </c>
      <c r="H212" s="38">
        <f t="shared" si="6"/>
        <v>2</v>
      </c>
      <c r="I212" s="41" t="str">
        <f t="shared" si="7"/>
        <v>RAKE + YAKE</v>
      </c>
      <c r="K212" s="32"/>
      <c r="L212" s="32"/>
      <c r="M212" s="32"/>
      <c r="N212" s="32"/>
      <c r="O212" s="32"/>
      <c r="P212" s="32"/>
    </row>
    <row r="213" spans="1:16" x14ac:dyDescent="0.3">
      <c r="A213" s="38">
        <v>212</v>
      </c>
      <c r="B213" s="39" t="s">
        <v>564</v>
      </c>
      <c r="C213" s="30"/>
      <c r="D213" s="30" t="s">
        <v>654</v>
      </c>
      <c r="E213" s="30" t="s">
        <v>654</v>
      </c>
      <c r="F213" s="38" t="s">
        <v>566</v>
      </c>
      <c r="G213" s="40" t="s">
        <v>570</v>
      </c>
      <c r="H213" s="38">
        <f t="shared" si="6"/>
        <v>2</v>
      </c>
      <c r="I213" s="41" t="str">
        <f t="shared" si="7"/>
        <v>RAKE + YAKE</v>
      </c>
      <c r="K213" s="32"/>
      <c r="L213" s="32"/>
      <c r="M213" s="32"/>
      <c r="N213" s="32"/>
      <c r="O213" s="32"/>
      <c r="P213" s="32"/>
    </row>
    <row r="214" spans="1:16" x14ac:dyDescent="0.3">
      <c r="A214" s="38">
        <v>213</v>
      </c>
      <c r="B214" s="39" t="s">
        <v>564</v>
      </c>
      <c r="C214" s="30"/>
      <c r="D214" s="30" t="s">
        <v>655</v>
      </c>
      <c r="E214" s="30" t="s">
        <v>655</v>
      </c>
      <c r="F214" s="38" t="s">
        <v>566</v>
      </c>
      <c r="G214" s="40" t="s">
        <v>570</v>
      </c>
      <c r="H214" s="38">
        <f t="shared" si="6"/>
        <v>2</v>
      </c>
      <c r="I214" s="41" t="str">
        <f t="shared" si="7"/>
        <v>RAKE + YAKE</v>
      </c>
      <c r="K214" s="32"/>
      <c r="L214" s="32"/>
      <c r="M214" s="32"/>
      <c r="N214" s="32"/>
      <c r="O214" s="32"/>
      <c r="P214" s="32"/>
    </row>
    <row r="215" spans="1:16" x14ac:dyDescent="0.3">
      <c r="A215" s="38">
        <v>214</v>
      </c>
      <c r="B215" s="39" t="s">
        <v>564</v>
      </c>
      <c r="C215" s="30"/>
      <c r="D215" s="30" t="s">
        <v>656</v>
      </c>
      <c r="E215" s="30" t="s">
        <v>656</v>
      </c>
      <c r="F215" s="38" t="s">
        <v>566</v>
      </c>
      <c r="G215" s="40" t="s">
        <v>570</v>
      </c>
      <c r="H215" s="38">
        <f t="shared" si="6"/>
        <v>2</v>
      </c>
      <c r="I215" s="41" t="str">
        <f t="shared" si="7"/>
        <v>RAKE + YAKE</v>
      </c>
      <c r="K215" s="32"/>
      <c r="L215" s="32"/>
      <c r="M215" s="32"/>
      <c r="N215" s="32"/>
      <c r="O215" s="32"/>
      <c r="P215" s="32"/>
    </row>
    <row r="216" spans="1:16" x14ac:dyDescent="0.3">
      <c r="A216" s="38">
        <v>215</v>
      </c>
      <c r="B216" s="39" t="s">
        <v>564</v>
      </c>
      <c r="C216" s="30"/>
      <c r="D216" s="30" t="s">
        <v>657</v>
      </c>
      <c r="E216" s="30" t="s">
        <v>657</v>
      </c>
      <c r="F216" s="38" t="s">
        <v>566</v>
      </c>
      <c r="G216" s="40" t="s">
        <v>570</v>
      </c>
      <c r="H216" s="38">
        <f t="shared" si="6"/>
        <v>2</v>
      </c>
      <c r="I216" s="41" t="str">
        <f t="shared" si="7"/>
        <v>RAKE + YAKE</v>
      </c>
      <c r="K216" s="32"/>
      <c r="L216" s="32"/>
      <c r="M216" s="32"/>
      <c r="N216" s="32"/>
      <c r="O216" s="32"/>
      <c r="P216" s="32"/>
    </row>
    <row r="217" spans="1:16" x14ac:dyDescent="0.3">
      <c r="A217" s="38">
        <v>216</v>
      </c>
      <c r="B217" s="39" t="s">
        <v>564</v>
      </c>
      <c r="C217" s="30" t="s">
        <v>658</v>
      </c>
      <c r="D217" s="30"/>
      <c r="E217" s="30" t="s">
        <v>658</v>
      </c>
      <c r="F217" s="38" t="s">
        <v>566</v>
      </c>
      <c r="G217" s="40" t="s">
        <v>570</v>
      </c>
      <c r="H217" s="38">
        <f t="shared" si="6"/>
        <v>2</v>
      </c>
      <c r="I217" s="41" t="str">
        <f t="shared" si="7"/>
        <v>Gemini + YAKE</v>
      </c>
      <c r="K217" s="32"/>
      <c r="L217" s="32"/>
      <c r="M217" s="32"/>
      <c r="N217" s="32"/>
      <c r="O217" s="32"/>
      <c r="P217" s="32"/>
    </row>
    <row r="218" spans="1:16" x14ac:dyDescent="0.3">
      <c r="A218" s="38">
        <v>217</v>
      </c>
      <c r="B218" s="39" t="s">
        <v>564</v>
      </c>
      <c r="C218" s="30" t="s">
        <v>659</v>
      </c>
      <c r="D218" s="30"/>
      <c r="E218" s="30" t="s">
        <v>659</v>
      </c>
      <c r="F218" s="38" t="s">
        <v>566</v>
      </c>
      <c r="G218" s="40" t="s">
        <v>660</v>
      </c>
      <c r="H218" s="38">
        <f t="shared" si="6"/>
        <v>2</v>
      </c>
      <c r="I218" s="41" t="str">
        <f t="shared" si="7"/>
        <v>Gemini + YAKE</v>
      </c>
      <c r="K218" s="32"/>
      <c r="L218" s="32"/>
      <c r="M218" s="32"/>
      <c r="N218" s="32"/>
      <c r="O218" s="32"/>
      <c r="P218" s="32"/>
    </row>
    <row r="219" spans="1:16" x14ac:dyDescent="0.3">
      <c r="A219" s="38">
        <v>218</v>
      </c>
      <c r="B219" s="39" t="s">
        <v>564</v>
      </c>
      <c r="C219" s="30"/>
      <c r="D219" s="30" t="s">
        <v>661</v>
      </c>
      <c r="E219" s="30" t="s">
        <v>661</v>
      </c>
      <c r="F219" s="38" t="s">
        <v>566</v>
      </c>
      <c r="G219" s="40" t="s">
        <v>570</v>
      </c>
      <c r="H219" s="38">
        <f t="shared" si="6"/>
        <v>2</v>
      </c>
      <c r="I219" s="41" t="str">
        <f t="shared" si="7"/>
        <v>RAKE + YAKE</v>
      </c>
      <c r="K219" s="32"/>
      <c r="L219" s="32"/>
      <c r="M219" s="32"/>
      <c r="N219" s="32"/>
      <c r="O219" s="32"/>
      <c r="P219" s="32"/>
    </row>
    <row r="220" spans="1:16" x14ac:dyDescent="0.3">
      <c r="A220" s="38">
        <v>219</v>
      </c>
      <c r="B220" s="39" t="s">
        <v>564</v>
      </c>
      <c r="C220" s="30" t="s">
        <v>662</v>
      </c>
      <c r="D220" s="30"/>
      <c r="E220" s="30" t="s">
        <v>662</v>
      </c>
      <c r="F220" s="38" t="s">
        <v>566</v>
      </c>
      <c r="G220" s="40" t="s">
        <v>570</v>
      </c>
      <c r="H220" s="38">
        <f t="shared" si="6"/>
        <v>2</v>
      </c>
      <c r="I220" s="41" t="str">
        <f t="shared" si="7"/>
        <v>Gemini + YAKE</v>
      </c>
      <c r="K220" s="32"/>
      <c r="L220" s="32"/>
      <c r="M220" s="32"/>
      <c r="N220" s="32"/>
      <c r="O220" s="32"/>
      <c r="P220" s="32"/>
    </row>
    <row r="221" spans="1:16" x14ac:dyDescent="0.3">
      <c r="A221" s="38">
        <v>220</v>
      </c>
      <c r="B221" s="39" t="s">
        <v>564</v>
      </c>
      <c r="C221" s="30"/>
      <c r="D221" s="30" t="s">
        <v>663</v>
      </c>
      <c r="E221" s="30" t="s">
        <v>663</v>
      </c>
      <c r="F221" s="38" t="s">
        <v>566</v>
      </c>
      <c r="G221" s="40" t="s">
        <v>570</v>
      </c>
      <c r="H221" s="38">
        <f t="shared" si="6"/>
        <v>2</v>
      </c>
      <c r="I221" s="41" t="str">
        <f t="shared" si="7"/>
        <v>RAKE + YAKE</v>
      </c>
      <c r="K221" s="32"/>
      <c r="L221" s="32"/>
      <c r="M221" s="32"/>
      <c r="N221" s="32"/>
      <c r="O221" s="32"/>
      <c r="P221" s="32"/>
    </row>
    <row r="222" spans="1:16" x14ac:dyDescent="0.3">
      <c r="A222" s="38">
        <v>221</v>
      </c>
      <c r="B222" s="39" t="s">
        <v>564</v>
      </c>
      <c r="C222" s="30"/>
      <c r="D222" s="30" t="s">
        <v>664</v>
      </c>
      <c r="E222" s="30" t="s">
        <v>664</v>
      </c>
      <c r="F222" s="38" t="s">
        <v>566</v>
      </c>
      <c r="G222" s="40" t="s">
        <v>570</v>
      </c>
      <c r="H222" s="38">
        <f t="shared" si="6"/>
        <v>2</v>
      </c>
      <c r="I222" s="41" t="str">
        <f t="shared" si="7"/>
        <v>RAKE + YAKE</v>
      </c>
      <c r="K222" s="32"/>
      <c r="L222" s="32"/>
      <c r="M222" s="32"/>
      <c r="N222" s="32"/>
      <c r="O222" s="32"/>
      <c r="P222" s="32"/>
    </row>
    <row r="223" spans="1:16" x14ac:dyDescent="0.3">
      <c r="A223" s="38">
        <v>222</v>
      </c>
      <c r="B223" s="39" t="s">
        <v>564</v>
      </c>
      <c r="C223" s="30" t="s">
        <v>665</v>
      </c>
      <c r="D223" s="30"/>
      <c r="E223" s="30" t="s">
        <v>665</v>
      </c>
      <c r="F223" s="38" t="s">
        <v>566</v>
      </c>
      <c r="G223" s="40" t="s">
        <v>570</v>
      </c>
      <c r="H223" s="38">
        <f t="shared" si="6"/>
        <v>2</v>
      </c>
      <c r="I223" s="41" t="str">
        <f t="shared" si="7"/>
        <v>Gemini + YAKE</v>
      </c>
      <c r="K223" s="32"/>
      <c r="L223" s="32"/>
      <c r="M223" s="32"/>
      <c r="N223" s="32"/>
      <c r="O223" s="32"/>
      <c r="P223" s="32"/>
    </row>
    <row r="224" spans="1:16" x14ac:dyDescent="0.3">
      <c r="A224" s="38">
        <v>223</v>
      </c>
      <c r="B224" s="39" t="s">
        <v>564</v>
      </c>
      <c r="C224" s="30"/>
      <c r="D224" s="30" t="s">
        <v>666</v>
      </c>
      <c r="E224" s="30" t="s">
        <v>666</v>
      </c>
      <c r="F224" s="38" t="s">
        <v>566</v>
      </c>
      <c r="G224" s="40" t="s">
        <v>570</v>
      </c>
      <c r="H224" s="38">
        <f t="shared" si="6"/>
        <v>2</v>
      </c>
      <c r="I224" s="41" t="str">
        <f t="shared" si="7"/>
        <v>RAKE + YAKE</v>
      </c>
      <c r="K224" s="32"/>
      <c r="L224" s="32"/>
      <c r="M224" s="32"/>
      <c r="N224" s="32"/>
      <c r="O224" s="32"/>
      <c r="P224" s="32"/>
    </row>
    <row r="225" spans="1:16" x14ac:dyDescent="0.3">
      <c r="A225" s="38">
        <v>224</v>
      </c>
      <c r="B225" s="39" t="s">
        <v>564</v>
      </c>
      <c r="C225" s="30"/>
      <c r="D225" s="30" t="s">
        <v>667</v>
      </c>
      <c r="E225" s="30" t="s">
        <v>667</v>
      </c>
      <c r="F225" s="38" t="s">
        <v>566</v>
      </c>
      <c r="G225" s="40" t="s">
        <v>570</v>
      </c>
      <c r="H225" s="38">
        <f t="shared" si="6"/>
        <v>2</v>
      </c>
      <c r="I225" s="41" t="str">
        <f t="shared" si="7"/>
        <v>RAKE + YAKE</v>
      </c>
      <c r="K225" s="32"/>
      <c r="L225" s="32"/>
      <c r="M225" s="32"/>
      <c r="N225" s="32"/>
      <c r="O225" s="32"/>
      <c r="P225" s="32"/>
    </row>
    <row r="226" spans="1:16" x14ac:dyDescent="0.3">
      <c r="A226" s="38">
        <v>225</v>
      </c>
      <c r="B226" s="39" t="s">
        <v>564</v>
      </c>
      <c r="C226" s="30" t="s">
        <v>668</v>
      </c>
      <c r="D226" s="30"/>
      <c r="E226" s="30" t="s">
        <v>668</v>
      </c>
      <c r="F226" s="38" t="s">
        <v>566</v>
      </c>
      <c r="G226" s="40" t="s">
        <v>570</v>
      </c>
      <c r="H226" s="38">
        <f t="shared" si="6"/>
        <v>2</v>
      </c>
      <c r="I226" s="41" t="str">
        <f t="shared" si="7"/>
        <v>Gemini + YAKE</v>
      </c>
      <c r="K226" s="32"/>
      <c r="L226" s="32"/>
      <c r="M226" s="32"/>
      <c r="N226" s="32"/>
      <c r="O226" s="32"/>
      <c r="P226" s="32"/>
    </row>
    <row r="227" spans="1:16" x14ac:dyDescent="0.3">
      <c r="A227" s="38">
        <v>226</v>
      </c>
      <c r="B227" s="39" t="s">
        <v>564</v>
      </c>
      <c r="C227" s="30" t="s">
        <v>669</v>
      </c>
      <c r="D227" s="30"/>
      <c r="E227" s="30" t="s">
        <v>669</v>
      </c>
      <c r="F227" s="38" t="s">
        <v>566</v>
      </c>
      <c r="G227" s="40" t="s">
        <v>570</v>
      </c>
      <c r="H227" s="38">
        <f t="shared" si="6"/>
        <v>2</v>
      </c>
      <c r="I227" s="41" t="str">
        <f t="shared" si="7"/>
        <v>Gemini + YAKE</v>
      </c>
      <c r="K227" s="32"/>
      <c r="L227" s="32"/>
      <c r="M227" s="32"/>
      <c r="N227" s="32"/>
      <c r="O227" s="32"/>
      <c r="P227" s="32"/>
    </row>
    <row r="228" spans="1:16" x14ac:dyDescent="0.3">
      <c r="A228" s="38">
        <v>227</v>
      </c>
      <c r="B228" s="39" t="s">
        <v>564</v>
      </c>
      <c r="C228" s="30"/>
      <c r="D228" s="30" t="s">
        <v>670</v>
      </c>
      <c r="E228" s="30" t="s">
        <v>670</v>
      </c>
      <c r="F228" s="38" t="s">
        <v>566</v>
      </c>
      <c r="G228" s="40" t="s">
        <v>570</v>
      </c>
      <c r="H228" s="38">
        <f t="shared" si="6"/>
        <v>2</v>
      </c>
      <c r="I228" s="41" t="str">
        <f t="shared" si="7"/>
        <v>RAKE + YAKE</v>
      </c>
      <c r="K228" s="32"/>
      <c r="L228" s="32"/>
      <c r="M228" s="32"/>
      <c r="N228" s="32"/>
      <c r="O228" s="32"/>
      <c r="P228" s="32"/>
    </row>
    <row r="229" spans="1:16" x14ac:dyDescent="0.3">
      <c r="A229" s="38">
        <v>228</v>
      </c>
      <c r="B229" s="39" t="s">
        <v>564</v>
      </c>
      <c r="C229" s="30" t="s">
        <v>671</v>
      </c>
      <c r="D229" s="30"/>
      <c r="E229" s="30" t="s">
        <v>671</v>
      </c>
      <c r="F229" s="38" t="s">
        <v>566</v>
      </c>
      <c r="G229" s="40" t="s">
        <v>570</v>
      </c>
      <c r="H229" s="38">
        <f t="shared" si="6"/>
        <v>2</v>
      </c>
      <c r="I229" s="41" t="str">
        <f t="shared" si="7"/>
        <v>Gemini + YAKE</v>
      </c>
      <c r="K229" s="32"/>
      <c r="L229" s="32"/>
      <c r="M229" s="32"/>
      <c r="N229" s="32"/>
      <c r="O229" s="32"/>
      <c r="P229" s="32"/>
    </row>
    <row r="230" spans="1:16" x14ac:dyDescent="0.3">
      <c r="A230" s="38">
        <v>229</v>
      </c>
      <c r="B230" s="39" t="s">
        <v>564</v>
      </c>
      <c r="C230" s="30"/>
      <c r="D230" s="30" t="s">
        <v>672</v>
      </c>
      <c r="E230" s="30" t="s">
        <v>672</v>
      </c>
      <c r="F230" s="38" t="s">
        <v>566</v>
      </c>
      <c r="G230" s="40" t="s">
        <v>570</v>
      </c>
      <c r="H230" s="38">
        <f t="shared" si="6"/>
        <v>2</v>
      </c>
      <c r="I230" s="41" t="str">
        <f t="shared" si="7"/>
        <v>RAKE + YAKE</v>
      </c>
      <c r="K230" s="32"/>
      <c r="L230" s="32"/>
      <c r="M230" s="32"/>
      <c r="N230" s="32"/>
      <c r="O230" s="32"/>
      <c r="P230" s="32"/>
    </row>
    <row r="231" spans="1:16" x14ac:dyDescent="0.3">
      <c r="A231" s="38">
        <v>230</v>
      </c>
      <c r="B231" s="39" t="s">
        <v>564</v>
      </c>
      <c r="C231" s="30" t="s">
        <v>673</v>
      </c>
      <c r="D231" s="30"/>
      <c r="E231" s="30" t="s">
        <v>673</v>
      </c>
      <c r="F231" s="38" t="s">
        <v>566</v>
      </c>
      <c r="G231" s="40" t="s">
        <v>570</v>
      </c>
      <c r="H231" s="38">
        <f t="shared" si="6"/>
        <v>2</v>
      </c>
      <c r="I231" s="41" t="str">
        <f t="shared" si="7"/>
        <v>Gemini + YAKE</v>
      </c>
      <c r="K231" s="32"/>
      <c r="L231" s="32"/>
      <c r="M231" s="32"/>
      <c r="N231" s="32"/>
      <c r="O231" s="32"/>
      <c r="P231" s="32"/>
    </row>
    <row r="232" spans="1:16" x14ac:dyDescent="0.3">
      <c r="A232" s="38">
        <v>231</v>
      </c>
      <c r="B232" s="39" t="s">
        <v>564</v>
      </c>
      <c r="C232" s="30" t="s">
        <v>674</v>
      </c>
      <c r="D232" s="30"/>
      <c r="E232" s="30" t="s">
        <v>674</v>
      </c>
      <c r="F232" s="38" t="s">
        <v>566</v>
      </c>
      <c r="G232" s="40" t="s">
        <v>570</v>
      </c>
      <c r="H232" s="38">
        <f t="shared" si="6"/>
        <v>2</v>
      </c>
      <c r="I232" s="41" t="str">
        <f t="shared" si="7"/>
        <v>Gemini + YAKE</v>
      </c>
      <c r="K232" s="32"/>
      <c r="L232" s="32"/>
      <c r="M232" s="32"/>
      <c r="N232" s="32"/>
      <c r="O232" s="32"/>
      <c r="P232" s="32"/>
    </row>
    <row r="233" spans="1:16" x14ac:dyDescent="0.3">
      <c r="A233" s="38">
        <v>232</v>
      </c>
      <c r="B233" s="39" t="s">
        <v>564</v>
      </c>
      <c r="C233" s="30"/>
      <c r="D233" s="30" t="s">
        <v>675</v>
      </c>
      <c r="E233" s="30" t="s">
        <v>675</v>
      </c>
      <c r="F233" s="38" t="s">
        <v>566</v>
      </c>
      <c r="G233" s="40" t="s">
        <v>570</v>
      </c>
      <c r="H233" s="38">
        <f t="shared" si="6"/>
        <v>2</v>
      </c>
      <c r="I233" s="41" t="str">
        <f t="shared" si="7"/>
        <v>RAKE + YAKE</v>
      </c>
      <c r="K233" s="32"/>
      <c r="L233" s="32"/>
      <c r="M233" s="32"/>
      <c r="N233" s="32"/>
      <c r="O233" s="32"/>
      <c r="P233" s="32"/>
    </row>
    <row r="234" spans="1:16" x14ac:dyDescent="0.3">
      <c r="A234" s="38">
        <v>233</v>
      </c>
      <c r="B234" s="39" t="s">
        <v>564</v>
      </c>
      <c r="C234" s="30"/>
      <c r="D234" s="30" t="s">
        <v>676</v>
      </c>
      <c r="E234" s="30" t="s">
        <v>676</v>
      </c>
      <c r="F234" s="38" t="s">
        <v>566</v>
      </c>
      <c r="G234" s="40" t="s">
        <v>570</v>
      </c>
      <c r="H234" s="38">
        <f t="shared" si="6"/>
        <v>2</v>
      </c>
      <c r="I234" s="41" t="str">
        <f t="shared" si="7"/>
        <v>RAKE + YAKE</v>
      </c>
      <c r="K234" s="32"/>
      <c r="L234" s="32"/>
      <c r="M234" s="32"/>
      <c r="N234" s="32"/>
      <c r="O234" s="32"/>
      <c r="P234" s="32"/>
    </row>
    <row r="235" spans="1:16" x14ac:dyDescent="0.3">
      <c r="A235" s="38">
        <v>234</v>
      </c>
      <c r="B235" s="39" t="s">
        <v>564</v>
      </c>
      <c r="C235" s="30"/>
      <c r="D235" s="30" t="s">
        <v>677</v>
      </c>
      <c r="E235" s="30" t="s">
        <v>677</v>
      </c>
      <c r="F235" s="38" t="s">
        <v>566</v>
      </c>
      <c r="G235" s="40" t="s">
        <v>570</v>
      </c>
      <c r="H235" s="38">
        <f t="shared" si="6"/>
        <v>2</v>
      </c>
      <c r="I235" s="41" t="str">
        <f t="shared" si="7"/>
        <v>RAKE + YAKE</v>
      </c>
      <c r="K235" s="32"/>
      <c r="L235" s="32"/>
      <c r="M235" s="32"/>
      <c r="N235" s="32"/>
      <c r="O235" s="32"/>
      <c r="P235" s="32"/>
    </row>
    <row r="236" spans="1:16" x14ac:dyDescent="0.3">
      <c r="A236" s="38">
        <v>235</v>
      </c>
      <c r="B236" s="39" t="s">
        <v>564</v>
      </c>
      <c r="C236" s="30" t="s">
        <v>678</v>
      </c>
      <c r="D236" s="30"/>
      <c r="E236" s="30" t="s">
        <v>678</v>
      </c>
      <c r="F236" s="38" t="s">
        <v>566</v>
      </c>
      <c r="G236" s="40" t="s">
        <v>567</v>
      </c>
      <c r="H236" s="38">
        <f t="shared" si="6"/>
        <v>2</v>
      </c>
      <c r="I236" s="41" t="str">
        <f t="shared" si="7"/>
        <v>Gemini + YAKE</v>
      </c>
      <c r="K236" s="32"/>
      <c r="L236" s="32"/>
      <c r="M236" s="32"/>
      <c r="N236" s="32"/>
      <c r="O236" s="32"/>
      <c r="P236" s="32"/>
    </row>
    <row r="237" spans="1:16" x14ac:dyDescent="0.3">
      <c r="A237" s="38">
        <v>236</v>
      </c>
      <c r="B237" s="39" t="s">
        <v>564</v>
      </c>
      <c r="C237" s="30"/>
      <c r="D237" s="30" t="s">
        <v>679</v>
      </c>
      <c r="E237" s="30" t="s">
        <v>679</v>
      </c>
      <c r="F237" s="38" t="s">
        <v>566</v>
      </c>
      <c r="G237" s="40" t="s">
        <v>570</v>
      </c>
      <c r="H237" s="38">
        <f t="shared" si="6"/>
        <v>2</v>
      </c>
      <c r="I237" s="41" t="str">
        <f t="shared" si="7"/>
        <v>RAKE + YAKE</v>
      </c>
      <c r="K237" s="32"/>
      <c r="L237" s="32"/>
      <c r="M237" s="32"/>
      <c r="N237" s="32"/>
      <c r="O237" s="32"/>
      <c r="P237" s="32"/>
    </row>
    <row r="238" spans="1:16" x14ac:dyDescent="0.3">
      <c r="A238" s="38">
        <v>237</v>
      </c>
      <c r="B238" s="39" t="s">
        <v>564</v>
      </c>
      <c r="C238" s="30"/>
      <c r="D238" s="30" t="s">
        <v>680</v>
      </c>
      <c r="E238" s="30" t="s">
        <v>680</v>
      </c>
      <c r="F238" s="38" t="s">
        <v>566</v>
      </c>
      <c r="G238" s="40" t="s">
        <v>570</v>
      </c>
      <c r="H238" s="38">
        <f t="shared" si="6"/>
        <v>2</v>
      </c>
      <c r="I238" s="41" t="str">
        <f t="shared" si="7"/>
        <v>RAKE + YAKE</v>
      </c>
      <c r="K238" s="32"/>
      <c r="L238" s="32"/>
      <c r="M238" s="32"/>
      <c r="N238" s="32"/>
      <c r="O238" s="32"/>
      <c r="P238" s="32"/>
    </row>
    <row r="239" spans="1:16" x14ac:dyDescent="0.3">
      <c r="A239" s="38">
        <v>238</v>
      </c>
      <c r="B239" s="39" t="s">
        <v>564</v>
      </c>
      <c r="C239" s="30"/>
      <c r="D239" s="30" t="s">
        <v>681</v>
      </c>
      <c r="E239" s="30" t="s">
        <v>681</v>
      </c>
      <c r="F239" s="38" t="s">
        <v>566</v>
      </c>
      <c r="G239" s="40" t="s">
        <v>570</v>
      </c>
      <c r="H239" s="38">
        <f t="shared" si="6"/>
        <v>2</v>
      </c>
      <c r="I239" s="41" t="str">
        <f t="shared" si="7"/>
        <v>RAKE + YAKE</v>
      </c>
      <c r="K239" s="32"/>
      <c r="L239" s="32"/>
      <c r="M239" s="32"/>
      <c r="N239" s="32"/>
      <c r="O239" s="32"/>
      <c r="P239" s="32"/>
    </row>
    <row r="240" spans="1:16" x14ac:dyDescent="0.3">
      <c r="A240" s="38">
        <v>239</v>
      </c>
      <c r="B240" s="39" t="s">
        <v>564</v>
      </c>
      <c r="C240" s="30" t="s">
        <v>682</v>
      </c>
      <c r="D240" s="30"/>
      <c r="E240" s="30" t="s">
        <v>682</v>
      </c>
      <c r="F240" s="38" t="s">
        <v>566</v>
      </c>
      <c r="G240" s="40" t="s">
        <v>570</v>
      </c>
      <c r="H240" s="38">
        <f t="shared" si="6"/>
        <v>2</v>
      </c>
      <c r="I240" s="41" t="str">
        <f t="shared" si="7"/>
        <v>Gemini + YAKE</v>
      </c>
      <c r="K240" s="32"/>
      <c r="L240" s="32"/>
      <c r="M240" s="32"/>
      <c r="N240" s="32"/>
      <c r="O240" s="32"/>
      <c r="P240" s="32"/>
    </row>
    <row r="241" spans="1:16" x14ac:dyDescent="0.3">
      <c r="A241" s="38">
        <v>240</v>
      </c>
      <c r="B241" s="39" t="s">
        <v>564</v>
      </c>
      <c r="C241" s="30"/>
      <c r="D241" s="30" t="s">
        <v>683</v>
      </c>
      <c r="E241" s="30" t="s">
        <v>683</v>
      </c>
      <c r="F241" s="38" t="s">
        <v>566</v>
      </c>
      <c r="G241" s="40" t="s">
        <v>570</v>
      </c>
      <c r="H241" s="38">
        <f t="shared" si="6"/>
        <v>2</v>
      </c>
      <c r="I241" s="41" t="str">
        <f t="shared" si="7"/>
        <v>RAKE + YAKE</v>
      </c>
      <c r="K241" s="32"/>
      <c r="L241" s="32"/>
      <c r="M241" s="32"/>
      <c r="N241" s="32"/>
      <c r="O241" s="32"/>
      <c r="P241" s="32"/>
    </row>
    <row r="242" spans="1:16" x14ac:dyDescent="0.3">
      <c r="A242" s="38">
        <v>241</v>
      </c>
      <c r="B242" s="39" t="s">
        <v>564</v>
      </c>
      <c r="C242" s="30"/>
      <c r="D242" s="30" t="s">
        <v>684</v>
      </c>
      <c r="E242" s="30" t="s">
        <v>684</v>
      </c>
      <c r="F242" s="38" t="s">
        <v>566</v>
      </c>
      <c r="G242" s="40" t="s">
        <v>570</v>
      </c>
      <c r="H242" s="38">
        <f t="shared" si="6"/>
        <v>2</v>
      </c>
      <c r="I242" s="41" t="str">
        <f t="shared" si="7"/>
        <v>RAKE + YAKE</v>
      </c>
      <c r="K242" s="32"/>
      <c r="L242" s="32"/>
      <c r="M242" s="32"/>
      <c r="N242" s="32"/>
      <c r="O242" s="32"/>
      <c r="P242" s="32"/>
    </row>
    <row r="243" spans="1:16" x14ac:dyDescent="0.3">
      <c r="A243" s="38">
        <v>242</v>
      </c>
      <c r="B243" s="39" t="s">
        <v>564</v>
      </c>
      <c r="C243" s="30"/>
      <c r="D243" s="30" t="s">
        <v>685</v>
      </c>
      <c r="E243" s="30" t="s">
        <v>685</v>
      </c>
      <c r="F243" s="38" t="s">
        <v>566</v>
      </c>
      <c r="G243" s="40" t="s">
        <v>570</v>
      </c>
      <c r="H243" s="38">
        <f t="shared" si="6"/>
        <v>2</v>
      </c>
      <c r="I243" s="41" t="str">
        <f t="shared" si="7"/>
        <v>RAKE + YAKE</v>
      </c>
      <c r="K243" s="32"/>
      <c r="L243" s="32"/>
      <c r="M243" s="32"/>
      <c r="N243" s="32"/>
      <c r="O243" s="32"/>
      <c r="P243" s="32"/>
    </row>
    <row r="244" spans="1:16" x14ac:dyDescent="0.3">
      <c r="A244" s="38">
        <v>243</v>
      </c>
      <c r="B244" s="39" t="s">
        <v>564</v>
      </c>
      <c r="C244" s="30"/>
      <c r="D244" s="30" t="s">
        <v>686</v>
      </c>
      <c r="E244" s="30" t="s">
        <v>686</v>
      </c>
      <c r="F244" s="38" t="s">
        <v>566</v>
      </c>
      <c r="G244" s="40" t="s">
        <v>570</v>
      </c>
      <c r="H244" s="38">
        <f t="shared" si="6"/>
        <v>2</v>
      </c>
      <c r="I244" s="41" t="str">
        <f t="shared" si="7"/>
        <v>RAKE + YAKE</v>
      </c>
      <c r="K244" s="32"/>
      <c r="L244" s="32"/>
      <c r="M244" s="32"/>
      <c r="N244" s="32"/>
      <c r="O244" s="32"/>
      <c r="P244" s="32"/>
    </row>
    <row r="245" spans="1:16" x14ac:dyDescent="0.3">
      <c r="A245" s="38">
        <v>244</v>
      </c>
      <c r="B245" s="39" t="s">
        <v>564</v>
      </c>
      <c r="C245" s="30" t="s">
        <v>687</v>
      </c>
      <c r="D245" s="30"/>
      <c r="E245" s="30" t="s">
        <v>687</v>
      </c>
      <c r="F245" s="38" t="s">
        <v>566</v>
      </c>
      <c r="G245" s="40" t="s">
        <v>570</v>
      </c>
      <c r="H245" s="38">
        <f t="shared" si="6"/>
        <v>2</v>
      </c>
      <c r="I245" s="41" t="str">
        <f t="shared" si="7"/>
        <v>Gemini + YAKE</v>
      </c>
      <c r="K245" s="32"/>
      <c r="L245" s="32"/>
      <c r="M245" s="32"/>
      <c r="N245" s="32"/>
      <c r="O245" s="32"/>
      <c r="P245" s="32"/>
    </row>
    <row r="246" spans="1:16" x14ac:dyDescent="0.3">
      <c r="A246" s="38">
        <v>245</v>
      </c>
      <c r="B246" s="39" t="s">
        <v>564</v>
      </c>
      <c r="C246" s="30"/>
      <c r="D246" s="30" t="s">
        <v>688</v>
      </c>
      <c r="E246" s="30" t="s">
        <v>688</v>
      </c>
      <c r="F246" s="38" t="s">
        <v>566</v>
      </c>
      <c r="G246" s="40" t="s">
        <v>570</v>
      </c>
      <c r="H246" s="38">
        <f t="shared" si="6"/>
        <v>2</v>
      </c>
      <c r="I246" s="41" t="str">
        <f t="shared" si="7"/>
        <v>RAKE + YAKE</v>
      </c>
      <c r="K246" s="32"/>
      <c r="L246" s="32"/>
      <c r="M246" s="32"/>
      <c r="N246" s="32"/>
      <c r="O246" s="32"/>
      <c r="P246" s="32"/>
    </row>
    <row r="247" spans="1:16" x14ac:dyDescent="0.3">
      <c r="A247" s="38">
        <v>246</v>
      </c>
      <c r="B247" s="39" t="s">
        <v>564</v>
      </c>
      <c r="C247" s="30" t="s">
        <v>689</v>
      </c>
      <c r="D247" s="30"/>
      <c r="E247" s="30" t="s">
        <v>689</v>
      </c>
      <c r="F247" s="38" t="s">
        <v>566</v>
      </c>
      <c r="G247" s="40" t="s">
        <v>570</v>
      </c>
      <c r="H247" s="38">
        <f t="shared" si="6"/>
        <v>2</v>
      </c>
      <c r="I247" s="41" t="str">
        <f t="shared" si="7"/>
        <v>Gemini + YAKE</v>
      </c>
      <c r="K247" s="32"/>
      <c r="L247" s="32"/>
      <c r="M247" s="32"/>
      <c r="N247" s="32"/>
      <c r="O247" s="32"/>
      <c r="P247" s="32"/>
    </row>
    <row r="248" spans="1:16" x14ac:dyDescent="0.3">
      <c r="A248" s="38">
        <v>247</v>
      </c>
      <c r="B248" s="39" t="s">
        <v>564</v>
      </c>
      <c r="C248" s="30"/>
      <c r="D248" s="30" t="s">
        <v>690</v>
      </c>
      <c r="E248" s="30" t="s">
        <v>690</v>
      </c>
      <c r="F248" s="38" t="s">
        <v>566</v>
      </c>
      <c r="G248" s="40" t="s">
        <v>570</v>
      </c>
      <c r="H248" s="38">
        <f t="shared" si="6"/>
        <v>2</v>
      </c>
      <c r="I248" s="41" t="str">
        <f t="shared" si="7"/>
        <v>RAKE + YAKE</v>
      </c>
      <c r="K248" s="32"/>
      <c r="L248" s="32"/>
      <c r="M248" s="32"/>
      <c r="N248" s="32"/>
      <c r="O248" s="32"/>
      <c r="P248" s="32"/>
    </row>
    <row r="249" spans="1:16" x14ac:dyDescent="0.3">
      <c r="A249" s="38">
        <v>248</v>
      </c>
      <c r="B249" s="39" t="s">
        <v>564</v>
      </c>
      <c r="C249" s="30" t="s">
        <v>691</v>
      </c>
      <c r="D249" s="30"/>
      <c r="E249" s="30" t="s">
        <v>691</v>
      </c>
      <c r="F249" s="38" t="s">
        <v>566</v>
      </c>
      <c r="G249" s="40" t="s">
        <v>570</v>
      </c>
      <c r="H249" s="38">
        <f t="shared" si="6"/>
        <v>2</v>
      </c>
      <c r="I249" s="41" t="str">
        <f t="shared" si="7"/>
        <v>Gemini + YAKE</v>
      </c>
      <c r="K249" s="32"/>
      <c r="L249" s="32"/>
      <c r="M249" s="32"/>
      <c r="N249" s="32"/>
      <c r="O249" s="32"/>
      <c r="P249" s="32"/>
    </row>
    <row r="250" spans="1:16" x14ac:dyDescent="0.3">
      <c r="A250" s="38">
        <v>249</v>
      </c>
      <c r="B250" s="39" t="s">
        <v>564</v>
      </c>
      <c r="C250" s="30" t="s">
        <v>692</v>
      </c>
      <c r="D250" s="30"/>
      <c r="E250" s="30" t="s">
        <v>692</v>
      </c>
      <c r="F250" s="38" t="s">
        <v>566</v>
      </c>
      <c r="G250" s="40" t="s">
        <v>570</v>
      </c>
      <c r="H250" s="38">
        <f t="shared" si="6"/>
        <v>2</v>
      </c>
      <c r="I250" s="41" t="str">
        <f t="shared" si="7"/>
        <v>Gemini + YAKE</v>
      </c>
      <c r="K250" s="32"/>
      <c r="L250" s="32"/>
      <c r="M250" s="32"/>
      <c r="N250" s="32"/>
      <c r="O250" s="32"/>
      <c r="P250" s="32"/>
    </row>
    <row r="251" spans="1:16" x14ac:dyDescent="0.3">
      <c r="A251" s="38">
        <v>250</v>
      </c>
      <c r="B251" s="39" t="s">
        <v>564</v>
      </c>
      <c r="C251" s="30"/>
      <c r="D251" s="30" t="s">
        <v>693</v>
      </c>
      <c r="E251" s="30" t="s">
        <v>693</v>
      </c>
      <c r="F251" s="38" t="s">
        <v>566</v>
      </c>
      <c r="G251" s="40" t="s">
        <v>570</v>
      </c>
      <c r="H251" s="38">
        <f t="shared" si="6"/>
        <v>2</v>
      </c>
      <c r="I251" s="41" t="str">
        <f t="shared" si="7"/>
        <v>RAKE + YAKE</v>
      </c>
      <c r="K251" s="32"/>
      <c r="L251" s="32"/>
      <c r="M251" s="32"/>
      <c r="N251" s="32"/>
      <c r="O251" s="32"/>
      <c r="P251" s="32"/>
    </row>
    <row r="252" spans="1:16" x14ac:dyDescent="0.3">
      <c r="A252" s="38">
        <v>251</v>
      </c>
      <c r="B252" s="39" t="s">
        <v>564</v>
      </c>
      <c r="C252" s="30"/>
      <c r="D252" s="30" t="s">
        <v>694</v>
      </c>
      <c r="E252" s="30" t="s">
        <v>694</v>
      </c>
      <c r="F252" s="38" t="s">
        <v>566</v>
      </c>
      <c r="G252" s="40" t="s">
        <v>570</v>
      </c>
      <c r="H252" s="38">
        <f t="shared" si="6"/>
        <v>2</v>
      </c>
      <c r="I252" s="41" t="str">
        <f t="shared" si="7"/>
        <v>RAKE + YAKE</v>
      </c>
      <c r="K252" s="32"/>
      <c r="L252" s="32"/>
      <c r="M252" s="32"/>
      <c r="N252" s="32"/>
      <c r="O252" s="32"/>
      <c r="P252" s="32"/>
    </row>
    <row r="253" spans="1:16" x14ac:dyDescent="0.3">
      <c r="A253" s="38">
        <v>252</v>
      </c>
      <c r="B253" s="39" t="s">
        <v>564</v>
      </c>
      <c r="C253" s="30" t="s">
        <v>695</v>
      </c>
      <c r="D253" s="30"/>
      <c r="E253" s="30" t="s">
        <v>695</v>
      </c>
      <c r="F253" s="38" t="s">
        <v>566</v>
      </c>
      <c r="G253" s="40" t="s">
        <v>570</v>
      </c>
      <c r="H253" s="38">
        <f t="shared" si="6"/>
        <v>2</v>
      </c>
      <c r="I253" s="41" t="str">
        <f t="shared" si="7"/>
        <v>Gemini + YAKE</v>
      </c>
      <c r="K253" s="32"/>
      <c r="L253" s="32"/>
      <c r="M253" s="32"/>
      <c r="N253" s="32"/>
      <c r="O253" s="32"/>
      <c r="P253" s="32"/>
    </row>
    <row r="254" spans="1:16" x14ac:dyDescent="0.3">
      <c r="A254" s="38">
        <v>253</v>
      </c>
      <c r="B254" s="39" t="s">
        <v>564</v>
      </c>
      <c r="C254" s="30"/>
      <c r="D254" s="30" t="s">
        <v>696</v>
      </c>
      <c r="E254" s="30" t="s">
        <v>697</v>
      </c>
      <c r="F254" s="38" t="s">
        <v>566</v>
      </c>
      <c r="G254" s="40" t="s">
        <v>570</v>
      </c>
      <c r="H254" s="38">
        <f t="shared" si="6"/>
        <v>2</v>
      </c>
      <c r="I254" s="41" t="str">
        <f t="shared" si="7"/>
        <v>RAKE + YAKE</v>
      </c>
      <c r="K254" s="32"/>
      <c r="L254" s="32"/>
      <c r="M254" s="32"/>
      <c r="N254" s="32"/>
      <c r="O254" s="32"/>
      <c r="P254" s="32"/>
    </row>
    <row r="255" spans="1:16" x14ac:dyDescent="0.3">
      <c r="A255" s="38">
        <v>254</v>
      </c>
      <c r="B255" s="39" t="s">
        <v>564</v>
      </c>
      <c r="C255" s="30"/>
      <c r="D255" s="30" t="s">
        <v>698</v>
      </c>
      <c r="E255" s="30" t="s">
        <v>698</v>
      </c>
      <c r="F255" s="38" t="s">
        <v>566</v>
      </c>
      <c r="G255" s="40" t="s">
        <v>570</v>
      </c>
      <c r="H255" s="38">
        <f t="shared" si="6"/>
        <v>2</v>
      </c>
      <c r="I255" s="41" t="str">
        <f t="shared" si="7"/>
        <v>RAKE + YAKE</v>
      </c>
      <c r="K255" s="32"/>
      <c r="L255" s="32"/>
      <c r="M255" s="32"/>
      <c r="N255" s="32"/>
      <c r="O255" s="32"/>
      <c r="P255" s="32"/>
    </row>
    <row r="256" spans="1:16" x14ac:dyDescent="0.3">
      <c r="A256" s="38">
        <v>255</v>
      </c>
      <c r="B256" s="39" t="s">
        <v>564</v>
      </c>
      <c r="C256" s="30"/>
      <c r="D256" s="30" t="s">
        <v>699</v>
      </c>
      <c r="E256" s="30" t="s">
        <v>699</v>
      </c>
      <c r="F256" s="38" t="s">
        <v>566</v>
      </c>
      <c r="G256" s="40" t="s">
        <v>570</v>
      </c>
      <c r="H256" s="38">
        <f t="shared" si="6"/>
        <v>2</v>
      </c>
      <c r="I256" s="41" t="str">
        <f t="shared" si="7"/>
        <v>RAKE + YAKE</v>
      </c>
      <c r="K256" s="32"/>
      <c r="L256" s="32"/>
      <c r="M256" s="32"/>
      <c r="N256" s="32"/>
      <c r="O256" s="32"/>
      <c r="P256" s="32"/>
    </row>
    <row r="257" spans="1:16" x14ac:dyDescent="0.3">
      <c r="A257" s="38">
        <v>256</v>
      </c>
      <c r="B257" s="39" t="s">
        <v>564</v>
      </c>
      <c r="C257" s="30"/>
      <c r="D257" s="30" t="s">
        <v>700</v>
      </c>
      <c r="E257" s="30" t="s">
        <v>700</v>
      </c>
      <c r="F257" s="38" t="s">
        <v>566</v>
      </c>
      <c r="G257" s="40" t="s">
        <v>570</v>
      </c>
      <c r="H257" s="38">
        <f t="shared" si="6"/>
        <v>2</v>
      </c>
      <c r="I257" s="41" t="str">
        <f t="shared" si="7"/>
        <v>RAKE + YAKE</v>
      </c>
      <c r="K257" s="32"/>
      <c r="L257" s="32"/>
      <c r="M257" s="32"/>
      <c r="N257" s="32"/>
      <c r="O257" s="32"/>
      <c r="P257" s="32"/>
    </row>
    <row r="258" spans="1:16" x14ac:dyDescent="0.3">
      <c r="A258" s="38">
        <v>257</v>
      </c>
      <c r="B258" s="39" t="s">
        <v>564</v>
      </c>
      <c r="C258" s="30"/>
      <c r="D258" s="30" t="s">
        <v>701</v>
      </c>
      <c r="E258" s="30" t="s">
        <v>701</v>
      </c>
      <c r="F258" s="38" t="s">
        <v>566</v>
      </c>
      <c r="G258" s="40" t="s">
        <v>570</v>
      </c>
      <c r="H258" s="38">
        <f t="shared" ref="H258:H321" si="8">COUNTIF(C258:E258,"?*")</f>
        <v>2</v>
      </c>
      <c r="I258" s="41" t="str">
        <f t="shared" ref="I258:I321" si="9">IF(H258=0,"None",IF(H258=3,"All three",IF(H258=1,"Only "&amp;TRIM(IF(C258&lt;&gt;"","Gemini ","")&amp;IF(D258&lt;&gt;"","RAKE ","")&amp;IF(E258&lt;&gt;"","YAKE","")),SUBSTITUTE(TRIM(IF(C258&lt;&gt;"","Gemini ","")&amp;IF(D258&lt;&gt;"","RAKE ","")&amp;IF(E258&lt;&gt;"","YAKE",""))," "," + "))))</f>
        <v>RAKE + YAKE</v>
      </c>
      <c r="K258" s="32"/>
      <c r="L258" s="32"/>
      <c r="M258" s="32"/>
      <c r="N258" s="32"/>
      <c r="O258" s="32"/>
      <c r="P258" s="32"/>
    </row>
    <row r="259" spans="1:16" x14ac:dyDescent="0.3">
      <c r="A259" s="38">
        <v>258</v>
      </c>
      <c r="B259" s="39" t="s">
        <v>564</v>
      </c>
      <c r="C259" s="30"/>
      <c r="D259" s="30" t="s">
        <v>702</v>
      </c>
      <c r="E259" s="30" t="s">
        <v>702</v>
      </c>
      <c r="F259" s="38" t="s">
        <v>566</v>
      </c>
      <c r="G259" s="40" t="s">
        <v>570</v>
      </c>
      <c r="H259" s="38">
        <f t="shared" si="8"/>
        <v>2</v>
      </c>
      <c r="I259" s="41" t="str">
        <f t="shared" si="9"/>
        <v>RAKE + YAKE</v>
      </c>
      <c r="K259" s="32"/>
      <c r="L259" s="32"/>
      <c r="M259" s="32"/>
      <c r="N259" s="32"/>
      <c r="O259" s="32"/>
      <c r="P259" s="32"/>
    </row>
    <row r="260" spans="1:16" x14ac:dyDescent="0.3">
      <c r="A260" s="38">
        <v>259</v>
      </c>
      <c r="B260" s="39" t="s">
        <v>564</v>
      </c>
      <c r="C260" s="30" t="s">
        <v>703</v>
      </c>
      <c r="D260" s="30"/>
      <c r="E260" s="30" t="s">
        <v>703</v>
      </c>
      <c r="F260" s="38" t="s">
        <v>566</v>
      </c>
      <c r="G260" s="40" t="s">
        <v>570</v>
      </c>
      <c r="H260" s="38">
        <f t="shared" si="8"/>
        <v>2</v>
      </c>
      <c r="I260" s="41" t="str">
        <f t="shared" si="9"/>
        <v>Gemini + YAKE</v>
      </c>
      <c r="K260" s="32"/>
      <c r="L260" s="32"/>
      <c r="M260" s="32"/>
      <c r="N260" s="32"/>
      <c r="O260" s="32"/>
      <c r="P260" s="32"/>
    </row>
    <row r="261" spans="1:16" x14ac:dyDescent="0.3">
      <c r="A261" s="38">
        <v>260</v>
      </c>
      <c r="B261" s="39" t="s">
        <v>564</v>
      </c>
      <c r="C261" s="30"/>
      <c r="D261" s="30" t="s">
        <v>704</v>
      </c>
      <c r="E261" s="30" t="s">
        <v>704</v>
      </c>
      <c r="F261" s="38" t="s">
        <v>566</v>
      </c>
      <c r="G261" s="40" t="s">
        <v>570</v>
      </c>
      <c r="H261" s="38">
        <f t="shared" si="8"/>
        <v>2</v>
      </c>
      <c r="I261" s="41" t="str">
        <f t="shared" si="9"/>
        <v>RAKE + YAKE</v>
      </c>
      <c r="K261" s="32"/>
      <c r="L261" s="32"/>
      <c r="M261" s="32"/>
      <c r="N261" s="32"/>
      <c r="O261" s="32"/>
      <c r="P261" s="32"/>
    </row>
    <row r="262" spans="1:16" x14ac:dyDescent="0.3">
      <c r="A262" s="38">
        <v>261</v>
      </c>
      <c r="B262" s="39" t="s">
        <v>564</v>
      </c>
      <c r="C262" s="30"/>
      <c r="D262" s="30" t="s">
        <v>705</v>
      </c>
      <c r="E262" s="30" t="s">
        <v>705</v>
      </c>
      <c r="F262" s="38" t="s">
        <v>566</v>
      </c>
      <c r="G262" s="40" t="s">
        <v>570</v>
      </c>
      <c r="H262" s="38">
        <f t="shared" si="8"/>
        <v>2</v>
      </c>
      <c r="I262" s="41" t="str">
        <f t="shared" si="9"/>
        <v>RAKE + YAKE</v>
      </c>
      <c r="K262" s="32"/>
      <c r="L262" s="32"/>
      <c r="M262" s="32"/>
      <c r="N262" s="32"/>
      <c r="O262" s="32"/>
      <c r="P262" s="32"/>
    </row>
    <row r="263" spans="1:16" x14ac:dyDescent="0.3">
      <c r="A263" s="38">
        <v>262</v>
      </c>
      <c r="B263" s="39" t="s">
        <v>564</v>
      </c>
      <c r="C263" s="30"/>
      <c r="D263" s="30" t="s">
        <v>706</v>
      </c>
      <c r="E263" s="30" t="s">
        <v>706</v>
      </c>
      <c r="F263" s="38" t="s">
        <v>566</v>
      </c>
      <c r="G263" s="40" t="s">
        <v>570</v>
      </c>
      <c r="H263" s="38">
        <f t="shared" si="8"/>
        <v>2</v>
      </c>
      <c r="I263" s="41" t="str">
        <f t="shared" si="9"/>
        <v>RAKE + YAKE</v>
      </c>
      <c r="K263" s="32"/>
      <c r="L263" s="32"/>
      <c r="M263" s="32"/>
      <c r="N263" s="32"/>
      <c r="O263" s="32"/>
      <c r="P263" s="32"/>
    </row>
    <row r="264" spans="1:16" x14ac:dyDescent="0.3">
      <c r="A264" s="38">
        <v>263</v>
      </c>
      <c r="B264" s="39" t="s">
        <v>564</v>
      </c>
      <c r="C264" s="30"/>
      <c r="D264" s="30" t="s">
        <v>707</v>
      </c>
      <c r="E264" s="30" t="s">
        <v>707</v>
      </c>
      <c r="F264" s="38" t="s">
        <v>566</v>
      </c>
      <c r="G264" s="40" t="s">
        <v>570</v>
      </c>
      <c r="H264" s="38">
        <f t="shared" si="8"/>
        <v>2</v>
      </c>
      <c r="I264" s="41" t="str">
        <f t="shared" si="9"/>
        <v>RAKE + YAKE</v>
      </c>
      <c r="K264" s="32"/>
      <c r="L264" s="32"/>
      <c r="M264" s="32"/>
      <c r="N264" s="32"/>
      <c r="O264" s="32"/>
      <c r="P264" s="32"/>
    </row>
    <row r="265" spans="1:16" x14ac:dyDescent="0.3">
      <c r="A265" s="38">
        <v>264</v>
      </c>
      <c r="B265" s="39" t="s">
        <v>564</v>
      </c>
      <c r="C265" s="30" t="s">
        <v>708</v>
      </c>
      <c r="D265" s="30"/>
      <c r="E265" s="30" t="s">
        <v>708</v>
      </c>
      <c r="F265" s="38" t="s">
        <v>566</v>
      </c>
      <c r="G265" s="40" t="s">
        <v>570</v>
      </c>
      <c r="H265" s="38">
        <f t="shared" si="8"/>
        <v>2</v>
      </c>
      <c r="I265" s="41" t="str">
        <f t="shared" si="9"/>
        <v>Gemini + YAKE</v>
      </c>
      <c r="K265" s="32"/>
      <c r="L265" s="32"/>
      <c r="M265" s="32"/>
      <c r="N265" s="32"/>
      <c r="O265" s="32"/>
      <c r="P265" s="32"/>
    </row>
    <row r="266" spans="1:16" x14ac:dyDescent="0.3">
      <c r="A266" s="38">
        <v>265</v>
      </c>
      <c r="B266" s="39" t="s">
        <v>564</v>
      </c>
      <c r="C266" s="30"/>
      <c r="D266" s="30" t="s">
        <v>709</v>
      </c>
      <c r="E266" s="30" t="s">
        <v>709</v>
      </c>
      <c r="F266" s="38" t="s">
        <v>566</v>
      </c>
      <c r="G266" s="40" t="s">
        <v>570</v>
      </c>
      <c r="H266" s="38">
        <f t="shared" si="8"/>
        <v>2</v>
      </c>
      <c r="I266" s="41" t="str">
        <f t="shared" si="9"/>
        <v>RAKE + YAKE</v>
      </c>
      <c r="K266" s="32"/>
      <c r="L266" s="32"/>
      <c r="M266" s="32"/>
      <c r="N266" s="32"/>
      <c r="O266" s="32"/>
      <c r="P266" s="32"/>
    </row>
    <row r="267" spans="1:16" x14ac:dyDescent="0.3">
      <c r="A267" s="38">
        <v>266</v>
      </c>
      <c r="B267" s="39" t="s">
        <v>564</v>
      </c>
      <c r="C267" s="30"/>
      <c r="D267" s="30" t="s">
        <v>710</v>
      </c>
      <c r="E267" s="30" t="s">
        <v>711</v>
      </c>
      <c r="F267" s="38" t="s">
        <v>566</v>
      </c>
      <c r="G267" s="40" t="s">
        <v>570</v>
      </c>
      <c r="H267" s="38">
        <f t="shared" si="8"/>
        <v>2</v>
      </c>
      <c r="I267" s="41" t="str">
        <f t="shared" si="9"/>
        <v>RAKE + YAKE</v>
      </c>
      <c r="K267" s="32"/>
      <c r="L267" s="32"/>
      <c r="M267" s="32"/>
      <c r="N267" s="32"/>
      <c r="O267" s="32"/>
      <c r="P267" s="32"/>
    </row>
    <row r="268" spans="1:16" x14ac:dyDescent="0.3">
      <c r="A268" s="38">
        <v>267</v>
      </c>
      <c r="B268" s="39" t="s">
        <v>564</v>
      </c>
      <c r="C268" s="30" t="s">
        <v>712</v>
      </c>
      <c r="D268" s="30"/>
      <c r="E268" s="30" t="s">
        <v>712</v>
      </c>
      <c r="F268" s="38" t="s">
        <v>566</v>
      </c>
      <c r="G268" s="40" t="s">
        <v>570</v>
      </c>
      <c r="H268" s="38">
        <f t="shared" si="8"/>
        <v>2</v>
      </c>
      <c r="I268" s="41" t="str">
        <f t="shared" si="9"/>
        <v>Gemini + YAKE</v>
      </c>
      <c r="K268" s="32"/>
      <c r="L268" s="32"/>
      <c r="M268" s="32"/>
      <c r="N268" s="32"/>
      <c r="O268" s="32"/>
      <c r="P268" s="32"/>
    </row>
    <row r="269" spans="1:16" x14ac:dyDescent="0.3">
      <c r="A269" s="38">
        <v>268</v>
      </c>
      <c r="B269" s="39" t="s">
        <v>564</v>
      </c>
      <c r="C269" s="30" t="s">
        <v>713</v>
      </c>
      <c r="D269" s="30"/>
      <c r="E269" s="30" t="s">
        <v>713</v>
      </c>
      <c r="F269" s="38" t="s">
        <v>566</v>
      </c>
      <c r="G269" s="40" t="s">
        <v>570</v>
      </c>
      <c r="H269" s="38">
        <f t="shared" si="8"/>
        <v>2</v>
      </c>
      <c r="I269" s="41" t="str">
        <f t="shared" si="9"/>
        <v>Gemini + YAKE</v>
      </c>
      <c r="K269" s="32"/>
      <c r="L269" s="32"/>
      <c r="M269" s="32"/>
      <c r="N269" s="32"/>
      <c r="O269" s="32"/>
      <c r="P269" s="32"/>
    </row>
    <row r="270" spans="1:16" x14ac:dyDescent="0.3">
      <c r="A270" s="38">
        <v>269</v>
      </c>
      <c r="B270" s="39" t="s">
        <v>564</v>
      </c>
      <c r="C270" s="30"/>
      <c r="D270" s="30" t="s">
        <v>714</v>
      </c>
      <c r="E270" s="30" t="s">
        <v>715</v>
      </c>
      <c r="F270" s="38" t="s">
        <v>566</v>
      </c>
      <c r="G270" s="40" t="s">
        <v>716</v>
      </c>
      <c r="H270" s="38">
        <f t="shared" si="8"/>
        <v>2</v>
      </c>
      <c r="I270" s="41" t="str">
        <f t="shared" si="9"/>
        <v>RAKE + YAKE</v>
      </c>
      <c r="K270" s="32"/>
      <c r="L270" s="32"/>
      <c r="M270" s="32"/>
      <c r="N270" s="32"/>
      <c r="O270" s="32"/>
      <c r="P270" s="32"/>
    </row>
    <row r="271" spans="1:16" x14ac:dyDescent="0.3">
      <c r="A271" s="38">
        <v>270</v>
      </c>
      <c r="B271" s="39" t="s">
        <v>564</v>
      </c>
      <c r="C271" s="30" t="s">
        <v>717</v>
      </c>
      <c r="D271" s="30"/>
      <c r="E271" s="30" t="s">
        <v>717</v>
      </c>
      <c r="F271" s="38" t="s">
        <v>566</v>
      </c>
      <c r="G271" s="40" t="s">
        <v>570</v>
      </c>
      <c r="H271" s="38">
        <f t="shared" si="8"/>
        <v>2</v>
      </c>
      <c r="I271" s="41" t="str">
        <f t="shared" si="9"/>
        <v>Gemini + YAKE</v>
      </c>
      <c r="K271" s="32"/>
      <c r="L271" s="32"/>
      <c r="M271" s="32"/>
      <c r="N271" s="32"/>
      <c r="O271" s="32"/>
      <c r="P271" s="32"/>
    </row>
    <row r="272" spans="1:16" x14ac:dyDescent="0.3">
      <c r="A272" s="38">
        <v>271</v>
      </c>
      <c r="B272" s="39" t="s">
        <v>564</v>
      </c>
      <c r="C272" s="30"/>
      <c r="D272" s="30" t="s">
        <v>718</v>
      </c>
      <c r="E272" s="30" t="s">
        <v>718</v>
      </c>
      <c r="F272" s="38" t="s">
        <v>566</v>
      </c>
      <c r="G272" s="40" t="s">
        <v>570</v>
      </c>
      <c r="H272" s="38">
        <f t="shared" si="8"/>
        <v>2</v>
      </c>
      <c r="I272" s="41" t="str">
        <f t="shared" si="9"/>
        <v>RAKE + YAKE</v>
      </c>
      <c r="K272" s="32"/>
      <c r="L272" s="32"/>
      <c r="M272" s="32"/>
      <c r="N272" s="32"/>
      <c r="O272" s="32"/>
      <c r="P272" s="32"/>
    </row>
    <row r="273" spans="1:16" x14ac:dyDescent="0.3">
      <c r="A273" s="38">
        <v>272</v>
      </c>
      <c r="B273" s="39" t="s">
        <v>564</v>
      </c>
      <c r="C273" s="30"/>
      <c r="D273" s="30" t="s">
        <v>719</v>
      </c>
      <c r="E273" s="30" t="s">
        <v>719</v>
      </c>
      <c r="F273" s="38" t="s">
        <v>566</v>
      </c>
      <c r="G273" s="40" t="s">
        <v>570</v>
      </c>
      <c r="H273" s="38">
        <f t="shared" si="8"/>
        <v>2</v>
      </c>
      <c r="I273" s="41" t="str">
        <f t="shared" si="9"/>
        <v>RAKE + YAKE</v>
      </c>
      <c r="K273" s="32"/>
      <c r="L273" s="32"/>
      <c r="M273" s="32"/>
      <c r="N273" s="32"/>
      <c r="O273" s="32"/>
      <c r="P273" s="32"/>
    </row>
    <row r="274" spans="1:16" x14ac:dyDescent="0.3">
      <c r="A274" s="38">
        <v>273</v>
      </c>
      <c r="B274" s="39" t="s">
        <v>564</v>
      </c>
      <c r="C274" s="30"/>
      <c r="D274" s="30" t="s">
        <v>720</v>
      </c>
      <c r="E274" s="30" t="s">
        <v>720</v>
      </c>
      <c r="F274" s="38" t="s">
        <v>566</v>
      </c>
      <c r="G274" s="40" t="s">
        <v>570</v>
      </c>
      <c r="H274" s="38">
        <f t="shared" si="8"/>
        <v>2</v>
      </c>
      <c r="I274" s="41" t="str">
        <f t="shared" si="9"/>
        <v>RAKE + YAKE</v>
      </c>
      <c r="K274" s="32"/>
      <c r="L274" s="32"/>
      <c r="M274" s="32"/>
      <c r="N274" s="32"/>
      <c r="O274" s="32"/>
      <c r="P274" s="32"/>
    </row>
    <row r="275" spans="1:16" x14ac:dyDescent="0.3">
      <c r="A275" s="38">
        <v>274</v>
      </c>
      <c r="B275" s="39" t="s">
        <v>564</v>
      </c>
      <c r="C275" s="30"/>
      <c r="D275" s="30" t="s">
        <v>721</v>
      </c>
      <c r="E275" s="30" t="s">
        <v>721</v>
      </c>
      <c r="F275" s="38" t="s">
        <v>566</v>
      </c>
      <c r="G275" s="40" t="s">
        <v>570</v>
      </c>
      <c r="H275" s="38">
        <f t="shared" si="8"/>
        <v>2</v>
      </c>
      <c r="I275" s="41" t="str">
        <f t="shared" si="9"/>
        <v>RAKE + YAKE</v>
      </c>
      <c r="K275" s="32"/>
      <c r="L275" s="32"/>
      <c r="M275" s="32"/>
      <c r="N275" s="32"/>
      <c r="O275" s="32"/>
      <c r="P275" s="32"/>
    </row>
    <row r="276" spans="1:16" x14ac:dyDescent="0.3">
      <c r="A276" s="38">
        <v>275</v>
      </c>
      <c r="B276" s="39" t="s">
        <v>564</v>
      </c>
      <c r="C276" s="30"/>
      <c r="D276" s="30" t="s">
        <v>722</v>
      </c>
      <c r="E276" s="30" t="s">
        <v>722</v>
      </c>
      <c r="F276" s="38" t="s">
        <v>566</v>
      </c>
      <c r="G276" s="40" t="s">
        <v>570</v>
      </c>
      <c r="H276" s="38">
        <f t="shared" si="8"/>
        <v>2</v>
      </c>
      <c r="I276" s="41" t="str">
        <f t="shared" si="9"/>
        <v>RAKE + YAKE</v>
      </c>
      <c r="K276" s="32"/>
      <c r="L276" s="32"/>
      <c r="M276" s="32"/>
      <c r="N276" s="32"/>
      <c r="O276" s="32"/>
      <c r="P276" s="32"/>
    </row>
    <row r="277" spans="1:16" x14ac:dyDescent="0.3">
      <c r="A277" s="38">
        <v>276</v>
      </c>
      <c r="B277" s="39" t="s">
        <v>564</v>
      </c>
      <c r="C277" s="30"/>
      <c r="D277" s="30" t="s">
        <v>723</v>
      </c>
      <c r="E277" s="30" t="s">
        <v>724</v>
      </c>
      <c r="F277" s="38" t="s">
        <v>566</v>
      </c>
      <c r="G277" s="40" t="s">
        <v>570</v>
      </c>
      <c r="H277" s="38">
        <f t="shared" si="8"/>
        <v>2</v>
      </c>
      <c r="I277" s="41" t="str">
        <f t="shared" si="9"/>
        <v>RAKE + YAKE</v>
      </c>
      <c r="K277" s="32"/>
      <c r="L277" s="32"/>
      <c r="M277" s="32"/>
      <c r="N277" s="32"/>
      <c r="O277" s="32"/>
      <c r="P277" s="32"/>
    </row>
    <row r="278" spans="1:16" x14ac:dyDescent="0.3">
      <c r="A278" s="38">
        <v>277</v>
      </c>
      <c r="B278" s="39" t="s">
        <v>564</v>
      </c>
      <c r="C278" s="30"/>
      <c r="D278" s="30" t="s">
        <v>725</v>
      </c>
      <c r="E278" s="30" t="s">
        <v>725</v>
      </c>
      <c r="F278" s="38" t="s">
        <v>566</v>
      </c>
      <c r="G278" s="40" t="s">
        <v>570</v>
      </c>
      <c r="H278" s="38">
        <f t="shared" si="8"/>
        <v>2</v>
      </c>
      <c r="I278" s="41" t="str">
        <f t="shared" si="9"/>
        <v>RAKE + YAKE</v>
      </c>
      <c r="K278" s="32"/>
      <c r="L278" s="32"/>
      <c r="M278" s="32"/>
      <c r="N278" s="32"/>
      <c r="O278" s="32"/>
      <c r="P278" s="32"/>
    </row>
    <row r="279" spans="1:16" x14ac:dyDescent="0.3">
      <c r="A279" s="38">
        <v>278</v>
      </c>
      <c r="B279" s="39" t="s">
        <v>564</v>
      </c>
      <c r="C279" s="30" t="s">
        <v>726</v>
      </c>
      <c r="D279" s="30"/>
      <c r="E279" s="30" t="s">
        <v>726</v>
      </c>
      <c r="F279" s="38" t="s">
        <v>566</v>
      </c>
      <c r="G279" s="40" t="s">
        <v>570</v>
      </c>
      <c r="H279" s="38">
        <f t="shared" si="8"/>
        <v>2</v>
      </c>
      <c r="I279" s="41" t="str">
        <f t="shared" si="9"/>
        <v>Gemini + YAKE</v>
      </c>
      <c r="K279" s="32"/>
      <c r="L279" s="32"/>
      <c r="M279" s="32"/>
      <c r="N279" s="32"/>
      <c r="O279" s="32"/>
      <c r="P279" s="32"/>
    </row>
    <row r="280" spans="1:16" x14ac:dyDescent="0.3">
      <c r="A280" s="38">
        <v>279</v>
      </c>
      <c r="B280" s="39" t="s">
        <v>564</v>
      </c>
      <c r="C280" s="30"/>
      <c r="D280" s="30" t="s">
        <v>727</v>
      </c>
      <c r="E280" s="30" t="s">
        <v>727</v>
      </c>
      <c r="F280" s="38" t="s">
        <v>566</v>
      </c>
      <c r="G280" s="40" t="s">
        <v>570</v>
      </c>
      <c r="H280" s="38">
        <f t="shared" si="8"/>
        <v>2</v>
      </c>
      <c r="I280" s="41" t="str">
        <f t="shared" si="9"/>
        <v>RAKE + YAKE</v>
      </c>
      <c r="K280" s="32"/>
      <c r="L280" s="32"/>
      <c r="M280" s="32"/>
      <c r="N280" s="32"/>
      <c r="O280" s="32"/>
      <c r="P280" s="32"/>
    </row>
    <row r="281" spans="1:16" x14ac:dyDescent="0.3">
      <c r="A281" s="38">
        <v>280</v>
      </c>
      <c r="B281" s="39" t="s">
        <v>564</v>
      </c>
      <c r="C281" s="30"/>
      <c r="D281" s="30" t="s">
        <v>728</v>
      </c>
      <c r="E281" s="30" t="s">
        <v>728</v>
      </c>
      <c r="F281" s="38" t="s">
        <v>566</v>
      </c>
      <c r="G281" s="40" t="s">
        <v>570</v>
      </c>
      <c r="H281" s="38">
        <f t="shared" si="8"/>
        <v>2</v>
      </c>
      <c r="I281" s="41" t="str">
        <f t="shared" si="9"/>
        <v>RAKE + YAKE</v>
      </c>
      <c r="K281" s="32"/>
      <c r="L281" s="32"/>
      <c r="M281" s="32"/>
      <c r="N281" s="32"/>
      <c r="O281" s="32"/>
      <c r="P281" s="32"/>
    </row>
    <row r="282" spans="1:16" x14ac:dyDescent="0.3">
      <c r="A282" s="38">
        <v>281</v>
      </c>
      <c r="B282" s="39" t="s">
        <v>564</v>
      </c>
      <c r="C282" s="30"/>
      <c r="D282" s="30" t="s">
        <v>729</v>
      </c>
      <c r="E282" s="30" t="s">
        <v>729</v>
      </c>
      <c r="F282" s="38" t="s">
        <v>566</v>
      </c>
      <c r="G282" s="40" t="s">
        <v>570</v>
      </c>
      <c r="H282" s="38">
        <f t="shared" si="8"/>
        <v>2</v>
      </c>
      <c r="I282" s="41" t="str">
        <f t="shared" si="9"/>
        <v>RAKE + YAKE</v>
      </c>
      <c r="K282" s="32"/>
      <c r="L282" s="32"/>
      <c r="M282" s="32"/>
      <c r="N282" s="32"/>
      <c r="O282" s="32"/>
      <c r="P282" s="32"/>
    </row>
    <row r="283" spans="1:16" x14ac:dyDescent="0.3">
      <c r="A283" s="38">
        <v>282</v>
      </c>
      <c r="B283" s="39" t="s">
        <v>564</v>
      </c>
      <c r="C283" s="30"/>
      <c r="D283" s="30" t="s">
        <v>730</v>
      </c>
      <c r="E283" s="30" t="s">
        <v>730</v>
      </c>
      <c r="F283" s="38" t="s">
        <v>566</v>
      </c>
      <c r="G283" s="40" t="s">
        <v>570</v>
      </c>
      <c r="H283" s="38">
        <f t="shared" si="8"/>
        <v>2</v>
      </c>
      <c r="I283" s="41" t="str">
        <f t="shared" si="9"/>
        <v>RAKE + YAKE</v>
      </c>
      <c r="K283" s="32"/>
      <c r="L283" s="32"/>
      <c r="M283" s="32"/>
      <c r="N283" s="32"/>
      <c r="O283" s="32"/>
      <c r="P283" s="32"/>
    </row>
    <row r="284" spans="1:16" x14ac:dyDescent="0.3">
      <c r="A284" s="38">
        <v>283</v>
      </c>
      <c r="B284" s="39" t="s">
        <v>564</v>
      </c>
      <c r="C284" s="30"/>
      <c r="D284" s="30" t="s">
        <v>731</v>
      </c>
      <c r="E284" s="30" t="s">
        <v>731</v>
      </c>
      <c r="F284" s="38" t="s">
        <v>566</v>
      </c>
      <c r="G284" s="40" t="s">
        <v>570</v>
      </c>
      <c r="H284" s="38">
        <f t="shared" si="8"/>
        <v>2</v>
      </c>
      <c r="I284" s="41" t="str">
        <f t="shared" si="9"/>
        <v>RAKE + YAKE</v>
      </c>
      <c r="K284" s="32"/>
      <c r="L284" s="32"/>
      <c r="M284" s="32"/>
      <c r="N284" s="32"/>
      <c r="O284" s="32"/>
      <c r="P284" s="32"/>
    </row>
    <row r="285" spans="1:16" x14ac:dyDescent="0.3">
      <c r="A285" s="38">
        <v>284</v>
      </c>
      <c r="B285" s="39" t="s">
        <v>564</v>
      </c>
      <c r="C285" s="30"/>
      <c r="D285" s="30" t="s">
        <v>732</v>
      </c>
      <c r="E285" s="30" t="s">
        <v>732</v>
      </c>
      <c r="F285" s="38" t="s">
        <v>566</v>
      </c>
      <c r="G285" s="40" t="s">
        <v>570</v>
      </c>
      <c r="H285" s="38">
        <f t="shared" si="8"/>
        <v>2</v>
      </c>
      <c r="I285" s="41" t="str">
        <f t="shared" si="9"/>
        <v>RAKE + YAKE</v>
      </c>
      <c r="K285" s="32"/>
      <c r="L285" s="32"/>
      <c r="M285" s="32"/>
      <c r="N285" s="32"/>
      <c r="O285" s="32"/>
      <c r="P285" s="32"/>
    </row>
    <row r="286" spans="1:16" x14ac:dyDescent="0.3">
      <c r="A286" s="38">
        <v>285</v>
      </c>
      <c r="B286" s="39" t="s">
        <v>564</v>
      </c>
      <c r="C286" s="30"/>
      <c r="D286" s="30" t="s">
        <v>733</v>
      </c>
      <c r="E286" s="30" t="s">
        <v>733</v>
      </c>
      <c r="F286" s="38" t="s">
        <v>566</v>
      </c>
      <c r="G286" s="40" t="s">
        <v>570</v>
      </c>
      <c r="H286" s="38">
        <f t="shared" si="8"/>
        <v>2</v>
      </c>
      <c r="I286" s="41" t="str">
        <f t="shared" si="9"/>
        <v>RAKE + YAKE</v>
      </c>
      <c r="K286" s="32"/>
      <c r="L286" s="32"/>
      <c r="M286" s="32"/>
      <c r="N286" s="32"/>
      <c r="O286" s="32"/>
      <c r="P286" s="32"/>
    </row>
    <row r="287" spans="1:16" x14ac:dyDescent="0.3">
      <c r="A287" s="38">
        <v>286</v>
      </c>
      <c r="B287" s="39" t="s">
        <v>564</v>
      </c>
      <c r="C287" s="30"/>
      <c r="D287" s="30" t="s">
        <v>734</v>
      </c>
      <c r="E287" s="30" t="s">
        <v>734</v>
      </c>
      <c r="F287" s="38" t="s">
        <v>566</v>
      </c>
      <c r="G287" s="40" t="s">
        <v>570</v>
      </c>
      <c r="H287" s="38">
        <f t="shared" si="8"/>
        <v>2</v>
      </c>
      <c r="I287" s="41" t="str">
        <f t="shared" si="9"/>
        <v>RAKE + YAKE</v>
      </c>
      <c r="K287" s="32"/>
      <c r="L287" s="32"/>
      <c r="M287" s="32"/>
      <c r="N287" s="32"/>
      <c r="O287" s="32"/>
      <c r="P287" s="32"/>
    </row>
    <row r="288" spans="1:16" x14ac:dyDescent="0.3">
      <c r="A288" s="38">
        <v>287</v>
      </c>
      <c r="B288" s="39" t="s">
        <v>564</v>
      </c>
      <c r="C288" s="30" t="s">
        <v>735</v>
      </c>
      <c r="D288" s="30"/>
      <c r="E288" s="30" t="s">
        <v>735</v>
      </c>
      <c r="F288" s="38" t="s">
        <v>566</v>
      </c>
      <c r="G288" s="40" t="s">
        <v>570</v>
      </c>
      <c r="H288" s="38">
        <f t="shared" si="8"/>
        <v>2</v>
      </c>
      <c r="I288" s="41" t="str">
        <f t="shared" si="9"/>
        <v>Gemini + YAKE</v>
      </c>
      <c r="K288" s="32"/>
      <c r="L288" s="32"/>
      <c r="M288" s="32"/>
      <c r="N288" s="32"/>
      <c r="O288" s="32"/>
      <c r="P288" s="32"/>
    </row>
    <row r="289" spans="1:16" ht="26.4" x14ac:dyDescent="0.3">
      <c r="A289" s="38">
        <v>288</v>
      </c>
      <c r="B289" s="39" t="s">
        <v>564</v>
      </c>
      <c r="C289" s="30"/>
      <c r="D289" s="30" t="s">
        <v>736</v>
      </c>
      <c r="E289" s="30" t="s">
        <v>736</v>
      </c>
      <c r="F289" s="38" t="s">
        <v>566</v>
      </c>
      <c r="G289" s="40" t="s">
        <v>570</v>
      </c>
      <c r="H289" s="38">
        <f t="shared" si="8"/>
        <v>2</v>
      </c>
      <c r="I289" s="41" t="str">
        <f t="shared" si="9"/>
        <v>RAKE + YAKE</v>
      </c>
      <c r="K289" s="32"/>
      <c r="L289" s="32"/>
      <c r="M289" s="32"/>
      <c r="N289" s="32"/>
      <c r="O289" s="32"/>
      <c r="P289" s="32"/>
    </row>
    <row r="290" spans="1:16" x14ac:dyDescent="0.3">
      <c r="A290" s="38">
        <v>289</v>
      </c>
      <c r="B290" s="39" t="s">
        <v>564</v>
      </c>
      <c r="C290" s="30" t="s">
        <v>737</v>
      </c>
      <c r="D290" s="30"/>
      <c r="E290" s="30" t="s">
        <v>737</v>
      </c>
      <c r="F290" s="38" t="s">
        <v>566</v>
      </c>
      <c r="G290" s="40" t="s">
        <v>570</v>
      </c>
      <c r="H290" s="38">
        <f t="shared" si="8"/>
        <v>2</v>
      </c>
      <c r="I290" s="41" t="str">
        <f t="shared" si="9"/>
        <v>Gemini + YAKE</v>
      </c>
      <c r="K290" s="32"/>
      <c r="L290" s="32"/>
      <c r="M290" s="32"/>
      <c r="N290" s="32"/>
      <c r="O290" s="32"/>
      <c r="P290" s="32"/>
    </row>
    <row r="291" spans="1:16" x14ac:dyDescent="0.3">
      <c r="A291" s="38">
        <v>290</v>
      </c>
      <c r="B291" s="39" t="s">
        <v>564</v>
      </c>
      <c r="C291" s="30"/>
      <c r="D291" s="30" t="s">
        <v>738</v>
      </c>
      <c r="E291" s="30" t="s">
        <v>738</v>
      </c>
      <c r="F291" s="38" t="s">
        <v>566</v>
      </c>
      <c r="G291" s="40" t="s">
        <v>570</v>
      </c>
      <c r="H291" s="38">
        <f t="shared" si="8"/>
        <v>2</v>
      </c>
      <c r="I291" s="41" t="str">
        <f t="shared" si="9"/>
        <v>RAKE + YAKE</v>
      </c>
      <c r="K291" s="32"/>
      <c r="L291" s="32"/>
      <c r="M291" s="32"/>
      <c r="N291" s="32"/>
      <c r="O291" s="32"/>
      <c r="P291" s="32"/>
    </row>
    <row r="292" spans="1:16" x14ac:dyDescent="0.3">
      <c r="A292" s="38">
        <v>291</v>
      </c>
      <c r="B292" s="39" t="s">
        <v>564</v>
      </c>
      <c r="C292" s="30"/>
      <c r="D292" s="30" t="s">
        <v>739</v>
      </c>
      <c r="E292" s="30" t="s">
        <v>739</v>
      </c>
      <c r="F292" s="38" t="s">
        <v>566</v>
      </c>
      <c r="G292" s="40" t="s">
        <v>570</v>
      </c>
      <c r="H292" s="38">
        <f t="shared" si="8"/>
        <v>2</v>
      </c>
      <c r="I292" s="41" t="str">
        <f t="shared" si="9"/>
        <v>RAKE + YAKE</v>
      </c>
      <c r="K292" s="32"/>
      <c r="L292" s="32"/>
      <c r="M292" s="32"/>
      <c r="N292" s="32"/>
      <c r="O292" s="32"/>
      <c r="P292" s="32"/>
    </row>
    <row r="293" spans="1:16" x14ac:dyDescent="0.3">
      <c r="A293" s="38">
        <v>292</v>
      </c>
      <c r="B293" s="39" t="s">
        <v>564</v>
      </c>
      <c r="C293" s="30"/>
      <c r="D293" s="30" t="s">
        <v>740</v>
      </c>
      <c r="E293" s="30" t="s">
        <v>740</v>
      </c>
      <c r="F293" s="38" t="s">
        <v>566</v>
      </c>
      <c r="G293" s="40" t="s">
        <v>570</v>
      </c>
      <c r="H293" s="38">
        <f t="shared" si="8"/>
        <v>2</v>
      </c>
      <c r="I293" s="41" t="str">
        <f t="shared" si="9"/>
        <v>RAKE + YAKE</v>
      </c>
      <c r="K293" s="32"/>
      <c r="L293" s="32"/>
      <c r="M293" s="32"/>
      <c r="N293" s="32"/>
      <c r="O293" s="32"/>
      <c r="P293" s="32"/>
    </row>
    <row r="294" spans="1:16" x14ac:dyDescent="0.3">
      <c r="A294" s="38">
        <v>293</v>
      </c>
      <c r="B294" s="39" t="s">
        <v>564</v>
      </c>
      <c r="C294" s="30"/>
      <c r="D294" s="30" t="s">
        <v>741</v>
      </c>
      <c r="E294" s="30" t="s">
        <v>741</v>
      </c>
      <c r="F294" s="38" t="s">
        <v>566</v>
      </c>
      <c r="G294" s="40" t="s">
        <v>570</v>
      </c>
      <c r="H294" s="38">
        <f t="shared" si="8"/>
        <v>2</v>
      </c>
      <c r="I294" s="41" t="str">
        <f t="shared" si="9"/>
        <v>RAKE + YAKE</v>
      </c>
      <c r="K294" s="32"/>
      <c r="L294" s="32"/>
      <c r="M294" s="32"/>
      <c r="N294" s="32"/>
      <c r="O294" s="32"/>
      <c r="P294" s="32"/>
    </row>
    <row r="295" spans="1:16" x14ac:dyDescent="0.3">
      <c r="A295" s="38">
        <v>294</v>
      </c>
      <c r="B295" s="39" t="s">
        <v>564</v>
      </c>
      <c r="C295" s="30" t="s">
        <v>742</v>
      </c>
      <c r="D295" s="30"/>
      <c r="E295" s="30" t="s">
        <v>742</v>
      </c>
      <c r="F295" s="38" t="s">
        <v>566</v>
      </c>
      <c r="G295" s="40" t="s">
        <v>570</v>
      </c>
      <c r="H295" s="38">
        <f t="shared" si="8"/>
        <v>2</v>
      </c>
      <c r="I295" s="41" t="str">
        <f t="shared" si="9"/>
        <v>Gemini + YAKE</v>
      </c>
      <c r="K295" s="32"/>
      <c r="L295" s="32"/>
      <c r="M295" s="32"/>
      <c r="N295" s="32"/>
      <c r="O295" s="32"/>
      <c r="P295" s="32"/>
    </row>
    <row r="296" spans="1:16" x14ac:dyDescent="0.3">
      <c r="A296" s="38">
        <v>295</v>
      </c>
      <c r="B296" s="39" t="s">
        <v>564</v>
      </c>
      <c r="C296" s="30"/>
      <c r="D296" s="30" t="s">
        <v>743</v>
      </c>
      <c r="E296" s="30" t="s">
        <v>743</v>
      </c>
      <c r="F296" s="38" t="s">
        <v>566</v>
      </c>
      <c r="G296" s="40" t="s">
        <v>570</v>
      </c>
      <c r="H296" s="38">
        <f t="shared" si="8"/>
        <v>2</v>
      </c>
      <c r="I296" s="41" t="str">
        <f t="shared" si="9"/>
        <v>RAKE + YAKE</v>
      </c>
      <c r="K296" s="32"/>
      <c r="L296" s="32"/>
      <c r="M296" s="32"/>
      <c r="N296" s="32"/>
      <c r="O296" s="32"/>
      <c r="P296" s="32"/>
    </row>
    <row r="297" spans="1:16" x14ac:dyDescent="0.3">
      <c r="A297" s="38">
        <v>296</v>
      </c>
      <c r="B297" s="39" t="s">
        <v>564</v>
      </c>
      <c r="C297" s="30"/>
      <c r="D297" s="30" t="s">
        <v>744</v>
      </c>
      <c r="E297" s="30" t="s">
        <v>744</v>
      </c>
      <c r="F297" s="38" t="s">
        <v>566</v>
      </c>
      <c r="G297" s="40" t="s">
        <v>570</v>
      </c>
      <c r="H297" s="38">
        <f t="shared" si="8"/>
        <v>2</v>
      </c>
      <c r="I297" s="41" t="str">
        <f t="shared" si="9"/>
        <v>RAKE + YAKE</v>
      </c>
      <c r="K297" s="32"/>
      <c r="L297" s="32"/>
      <c r="M297" s="32"/>
      <c r="N297" s="32"/>
      <c r="O297" s="32"/>
      <c r="P297" s="32"/>
    </row>
    <row r="298" spans="1:16" x14ac:dyDescent="0.3">
      <c r="A298" s="38">
        <v>297</v>
      </c>
      <c r="B298" s="39" t="s">
        <v>564</v>
      </c>
      <c r="C298" s="30"/>
      <c r="D298" s="30" t="s">
        <v>745</v>
      </c>
      <c r="E298" s="30" t="s">
        <v>745</v>
      </c>
      <c r="F298" s="38" t="s">
        <v>566</v>
      </c>
      <c r="G298" s="40" t="s">
        <v>570</v>
      </c>
      <c r="H298" s="38">
        <f t="shared" si="8"/>
        <v>2</v>
      </c>
      <c r="I298" s="41" t="str">
        <f t="shared" si="9"/>
        <v>RAKE + YAKE</v>
      </c>
      <c r="K298" s="32"/>
      <c r="L298" s="32"/>
      <c r="M298" s="32"/>
      <c r="N298" s="32"/>
      <c r="O298" s="32"/>
      <c r="P298" s="32"/>
    </row>
    <row r="299" spans="1:16" x14ac:dyDescent="0.3">
      <c r="A299" s="38">
        <v>298</v>
      </c>
      <c r="B299" s="39" t="s">
        <v>564</v>
      </c>
      <c r="C299" s="30"/>
      <c r="D299" s="30" t="s">
        <v>746</v>
      </c>
      <c r="E299" s="30" t="s">
        <v>746</v>
      </c>
      <c r="F299" s="38" t="s">
        <v>566</v>
      </c>
      <c r="G299" s="40" t="s">
        <v>570</v>
      </c>
      <c r="H299" s="38">
        <f t="shared" si="8"/>
        <v>2</v>
      </c>
      <c r="I299" s="41" t="str">
        <f t="shared" si="9"/>
        <v>RAKE + YAKE</v>
      </c>
      <c r="K299" s="32"/>
      <c r="L299" s="32"/>
      <c r="M299" s="32"/>
      <c r="N299" s="32"/>
      <c r="O299" s="32"/>
      <c r="P299" s="32"/>
    </row>
    <row r="300" spans="1:16" x14ac:dyDescent="0.3">
      <c r="A300" s="38">
        <v>299</v>
      </c>
      <c r="B300" s="39" t="s">
        <v>564</v>
      </c>
      <c r="C300" s="30" t="s">
        <v>747</v>
      </c>
      <c r="D300" s="30"/>
      <c r="E300" s="30" t="s">
        <v>747</v>
      </c>
      <c r="F300" s="38" t="s">
        <v>566</v>
      </c>
      <c r="G300" s="40" t="s">
        <v>570</v>
      </c>
      <c r="H300" s="38">
        <f t="shared" si="8"/>
        <v>2</v>
      </c>
      <c r="I300" s="41" t="str">
        <f t="shared" si="9"/>
        <v>Gemini + YAKE</v>
      </c>
      <c r="K300" s="32"/>
      <c r="L300" s="32"/>
      <c r="M300" s="32"/>
      <c r="N300" s="32"/>
      <c r="O300" s="32"/>
      <c r="P300" s="32"/>
    </row>
    <row r="301" spans="1:16" x14ac:dyDescent="0.3">
      <c r="A301" s="38">
        <v>300</v>
      </c>
      <c r="B301" s="39" t="s">
        <v>564</v>
      </c>
      <c r="C301" s="30"/>
      <c r="D301" s="30" t="s">
        <v>748</v>
      </c>
      <c r="E301" s="30" t="s">
        <v>748</v>
      </c>
      <c r="F301" s="38" t="s">
        <v>566</v>
      </c>
      <c r="G301" s="40" t="s">
        <v>570</v>
      </c>
      <c r="H301" s="38">
        <f t="shared" si="8"/>
        <v>2</v>
      </c>
      <c r="I301" s="41" t="str">
        <f t="shared" si="9"/>
        <v>RAKE + YAKE</v>
      </c>
      <c r="K301" s="32"/>
      <c r="L301" s="32"/>
      <c r="M301" s="32"/>
      <c r="N301" s="32"/>
      <c r="O301" s="32"/>
      <c r="P301" s="32"/>
    </row>
    <row r="302" spans="1:16" x14ac:dyDescent="0.3">
      <c r="A302" s="38">
        <v>301</v>
      </c>
      <c r="B302" s="39" t="s">
        <v>564</v>
      </c>
      <c r="C302" s="30"/>
      <c r="D302" s="30" t="s">
        <v>749</v>
      </c>
      <c r="E302" s="30" t="s">
        <v>749</v>
      </c>
      <c r="F302" s="38" t="s">
        <v>566</v>
      </c>
      <c r="G302" s="40" t="s">
        <v>570</v>
      </c>
      <c r="H302" s="38">
        <f t="shared" si="8"/>
        <v>2</v>
      </c>
      <c r="I302" s="41" t="str">
        <f t="shared" si="9"/>
        <v>RAKE + YAKE</v>
      </c>
      <c r="K302" s="32"/>
      <c r="L302" s="32"/>
      <c r="M302" s="32"/>
      <c r="N302" s="32"/>
      <c r="O302" s="32"/>
      <c r="P302" s="32"/>
    </row>
    <row r="303" spans="1:16" x14ac:dyDescent="0.3">
      <c r="A303" s="38">
        <v>302</v>
      </c>
      <c r="B303" s="39" t="s">
        <v>564</v>
      </c>
      <c r="C303" s="30"/>
      <c r="D303" s="30" t="s">
        <v>750</v>
      </c>
      <c r="E303" s="30" t="s">
        <v>750</v>
      </c>
      <c r="F303" s="38" t="s">
        <v>566</v>
      </c>
      <c r="G303" s="40" t="s">
        <v>570</v>
      </c>
      <c r="H303" s="38">
        <f t="shared" si="8"/>
        <v>2</v>
      </c>
      <c r="I303" s="41" t="str">
        <f t="shared" si="9"/>
        <v>RAKE + YAKE</v>
      </c>
      <c r="K303" s="32"/>
      <c r="L303" s="32"/>
      <c r="M303" s="32"/>
      <c r="N303" s="32"/>
      <c r="O303" s="32"/>
      <c r="P303" s="32"/>
    </row>
    <row r="304" spans="1:16" x14ac:dyDescent="0.3">
      <c r="A304" s="38">
        <v>303</v>
      </c>
      <c r="B304" s="39" t="s">
        <v>564</v>
      </c>
      <c r="C304" s="30"/>
      <c r="D304" s="30" t="s">
        <v>751</v>
      </c>
      <c r="E304" s="30" t="s">
        <v>751</v>
      </c>
      <c r="F304" s="38" t="s">
        <v>566</v>
      </c>
      <c r="G304" s="40" t="s">
        <v>570</v>
      </c>
      <c r="H304" s="38">
        <f t="shared" si="8"/>
        <v>2</v>
      </c>
      <c r="I304" s="41" t="str">
        <f t="shared" si="9"/>
        <v>RAKE + YAKE</v>
      </c>
      <c r="K304" s="32"/>
      <c r="L304" s="32"/>
      <c r="M304" s="32"/>
      <c r="N304" s="32"/>
      <c r="O304" s="32"/>
      <c r="P304" s="32"/>
    </row>
    <row r="305" spans="1:16" x14ac:dyDescent="0.3">
      <c r="A305" s="38">
        <v>304</v>
      </c>
      <c r="B305" s="39" t="s">
        <v>564</v>
      </c>
      <c r="C305" s="30"/>
      <c r="D305" s="30" t="s">
        <v>752</v>
      </c>
      <c r="E305" s="30" t="s">
        <v>752</v>
      </c>
      <c r="F305" s="38" t="s">
        <v>566</v>
      </c>
      <c r="G305" s="40" t="s">
        <v>570</v>
      </c>
      <c r="H305" s="38">
        <f t="shared" si="8"/>
        <v>2</v>
      </c>
      <c r="I305" s="41" t="str">
        <f t="shared" si="9"/>
        <v>RAKE + YAKE</v>
      </c>
      <c r="K305" s="32"/>
      <c r="L305" s="32"/>
      <c r="M305" s="32"/>
      <c r="N305" s="32"/>
      <c r="O305" s="32"/>
      <c r="P305" s="32"/>
    </row>
    <row r="306" spans="1:16" x14ac:dyDescent="0.3">
      <c r="A306" s="38">
        <v>305</v>
      </c>
      <c r="B306" s="39" t="s">
        <v>564</v>
      </c>
      <c r="C306" s="30"/>
      <c r="D306" s="30" t="s">
        <v>753</v>
      </c>
      <c r="E306" s="30" t="s">
        <v>753</v>
      </c>
      <c r="F306" s="38" t="s">
        <v>566</v>
      </c>
      <c r="G306" s="40" t="s">
        <v>570</v>
      </c>
      <c r="H306" s="38">
        <f t="shared" si="8"/>
        <v>2</v>
      </c>
      <c r="I306" s="41" t="str">
        <f t="shared" si="9"/>
        <v>RAKE + YAKE</v>
      </c>
      <c r="K306" s="32"/>
      <c r="L306" s="32"/>
      <c r="M306" s="32"/>
      <c r="N306" s="32"/>
      <c r="O306" s="32"/>
      <c r="P306" s="32"/>
    </row>
    <row r="307" spans="1:16" x14ac:dyDescent="0.3">
      <c r="A307" s="38">
        <v>306</v>
      </c>
      <c r="B307" s="39" t="s">
        <v>564</v>
      </c>
      <c r="C307" s="30"/>
      <c r="D307" s="30" t="s">
        <v>754</v>
      </c>
      <c r="E307" s="30" t="s">
        <v>754</v>
      </c>
      <c r="F307" s="38" t="s">
        <v>566</v>
      </c>
      <c r="G307" s="40" t="s">
        <v>570</v>
      </c>
      <c r="H307" s="38">
        <f t="shared" si="8"/>
        <v>2</v>
      </c>
      <c r="I307" s="41" t="str">
        <f t="shared" si="9"/>
        <v>RAKE + YAKE</v>
      </c>
      <c r="K307" s="32"/>
      <c r="L307" s="32"/>
      <c r="M307" s="32"/>
      <c r="N307" s="32"/>
      <c r="O307" s="32"/>
      <c r="P307" s="32"/>
    </row>
    <row r="308" spans="1:16" x14ac:dyDescent="0.3">
      <c r="A308" s="38">
        <v>307</v>
      </c>
      <c r="B308" s="39" t="s">
        <v>564</v>
      </c>
      <c r="C308" s="30"/>
      <c r="D308" s="30" t="s">
        <v>755</v>
      </c>
      <c r="E308" s="30" t="s">
        <v>755</v>
      </c>
      <c r="F308" s="38" t="s">
        <v>566</v>
      </c>
      <c r="G308" s="40" t="s">
        <v>570</v>
      </c>
      <c r="H308" s="38">
        <f t="shared" si="8"/>
        <v>2</v>
      </c>
      <c r="I308" s="41" t="str">
        <f t="shared" si="9"/>
        <v>RAKE + YAKE</v>
      </c>
      <c r="K308" s="32"/>
      <c r="L308" s="32"/>
      <c r="M308" s="32"/>
      <c r="N308" s="32"/>
      <c r="O308" s="32"/>
      <c r="P308" s="32"/>
    </row>
    <row r="309" spans="1:16" x14ac:dyDescent="0.3">
      <c r="A309" s="38">
        <v>308</v>
      </c>
      <c r="B309" s="39" t="s">
        <v>564</v>
      </c>
      <c r="C309" s="30"/>
      <c r="D309" s="30" t="s">
        <v>756</v>
      </c>
      <c r="E309" s="30" t="s">
        <v>756</v>
      </c>
      <c r="F309" s="38" t="s">
        <v>566</v>
      </c>
      <c r="G309" s="40" t="s">
        <v>570</v>
      </c>
      <c r="H309" s="38">
        <f t="shared" si="8"/>
        <v>2</v>
      </c>
      <c r="I309" s="41" t="str">
        <f t="shared" si="9"/>
        <v>RAKE + YAKE</v>
      </c>
      <c r="K309" s="32"/>
      <c r="L309" s="32"/>
      <c r="M309" s="32"/>
      <c r="N309" s="32"/>
      <c r="O309" s="32"/>
      <c r="P309" s="32"/>
    </row>
    <row r="310" spans="1:16" x14ac:dyDescent="0.3">
      <c r="A310" s="38">
        <v>309</v>
      </c>
      <c r="B310" s="39" t="s">
        <v>564</v>
      </c>
      <c r="C310" s="30"/>
      <c r="D310" s="30" t="s">
        <v>757</v>
      </c>
      <c r="E310" s="30" t="s">
        <v>757</v>
      </c>
      <c r="F310" s="38" t="s">
        <v>566</v>
      </c>
      <c r="G310" s="40" t="s">
        <v>570</v>
      </c>
      <c r="H310" s="38">
        <f t="shared" si="8"/>
        <v>2</v>
      </c>
      <c r="I310" s="41" t="str">
        <f t="shared" si="9"/>
        <v>RAKE + YAKE</v>
      </c>
      <c r="K310" s="32"/>
      <c r="L310" s="32"/>
      <c r="M310" s="32"/>
      <c r="N310" s="32"/>
      <c r="O310" s="32"/>
      <c r="P310" s="32"/>
    </row>
    <row r="311" spans="1:16" x14ac:dyDescent="0.3">
      <c r="A311" s="38">
        <v>310</v>
      </c>
      <c r="B311" s="39" t="s">
        <v>564</v>
      </c>
      <c r="C311" s="30"/>
      <c r="D311" s="30" t="s">
        <v>758</v>
      </c>
      <c r="E311" s="30" t="s">
        <v>758</v>
      </c>
      <c r="F311" s="38" t="s">
        <v>566</v>
      </c>
      <c r="G311" s="40" t="s">
        <v>570</v>
      </c>
      <c r="H311" s="38">
        <f t="shared" si="8"/>
        <v>2</v>
      </c>
      <c r="I311" s="41" t="str">
        <f t="shared" si="9"/>
        <v>RAKE + YAKE</v>
      </c>
      <c r="K311" s="32"/>
      <c r="L311" s="32"/>
      <c r="M311" s="32"/>
      <c r="N311" s="32"/>
      <c r="O311" s="32"/>
      <c r="P311" s="32"/>
    </row>
    <row r="312" spans="1:16" x14ac:dyDescent="0.3">
      <c r="A312" s="38">
        <v>311</v>
      </c>
      <c r="B312" s="39" t="s">
        <v>564</v>
      </c>
      <c r="C312" s="30"/>
      <c r="D312" s="30" t="s">
        <v>759</v>
      </c>
      <c r="E312" s="30" t="s">
        <v>759</v>
      </c>
      <c r="F312" s="38" t="s">
        <v>566</v>
      </c>
      <c r="G312" s="40" t="s">
        <v>570</v>
      </c>
      <c r="H312" s="38">
        <f t="shared" si="8"/>
        <v>2</v>
      </c>
      <c r="I312" s="41" t="str">
        <f t="shared" si="9"/>
        <v>RAKE + YAKE</v>
      </c>
      <c r="K312" s="32"/>
      <c r="L312" s="32"/>
      <c r="M312" s="32"/>
      <c r="N312" s="32"/>
      <c r="O312" s="32"/>
      <c r="P312" s="32"/>
    </row>
    <row r="313" spans="1:16" x14ac:dyDescent="0.3">
      <c r="A313" s="38">
        <v>312</v>
      </c>
      <c r="B313" s="39" t="s">
        <v>564</v>
      </c>
      <c r="C313" s="30"/>
      <c r="D313" s="30" t="s">
        <v>760</v>
      </c>
      <c r="E313" s="30" t="s">
        <v>760</v>
      </c>
      <c r="F313" s="38" t="s">
        <v>566</v>
      </c>
      <c r="G313" s="40" t="s">
        <v>570</v>
      </c>
      <c r="H313" s="38">
        <f t="shared" si="8"/>
        <v>2</v>
      </c>
      <c r="I313" s="41" t="str">
        <f t="shared" si="9"/>
        <v>RAKE + YAKE</v>
      </c>
      <c r="K313" s="32"/>
      <c r="L313" s="32"/>
      <c r="M313" s="32"/>
      <c r="N313" s="32"/>
      <c r="O313" s="32"/>
      <c r="P313" s="32"/>
    </row>
    <row r="314" spans="1:16" x14ac:dyDescent="0.3">
      <c r="A314" s="38">
        <v>313</v>
      </c>
      <c r="B314" s="39" t="s">
        <v>564</v>
      </c>
      <c r="C314" s="30"/>
      <c r="D314" s="30" t="s">
        <v>761</v>
      </c>
      <c r="E314" s="30" t="s">
        <v>761</v>
      </c>
      <c r="F314" s="38" t="s">
        <v>566</v>
      </c>
      <c r="G314" s="40" t="s">
        <v>570</v>
      </c>
      <c r="H314" s="38">
        <f t="shared" si="8"/>
        <v>2</v>
      </c>
      <c r="I314" s="41" t="str">
        <f t="shared" si="9"/>
        <v>RAKE + YAKE</v>
      </c>
      <c r="K314" s="32"/>
      <c r="L314" s="32"/>
      <c r="M314" s="32"/>
      <c r="N314" s="32"/>
      <c r="O314" s="32"/>
      <c r="P314" s="32"/>
    </row>
    <row r="315" spans="1:16" x14ac:dyDescent="0.3">
      <c r="A315" s="38">
        <v>314</v>
      </c>
      <c r="B315" s="39" t="s">
        <v>564</v>
      </c>
      <c r="C315" s="30"/>
      <c r="D315" s="30" t="s">
        <v>762</v>
      </c>
      <c r="E315" s="30" t="s">
        <v>762</v>
      </c>
      <c r="F315" s="38" t="s">
        <v>566</v>
      </c>
      <c r="G315" s="40" t="s">
        <v>570</v>
      </c>
      <c r="H315" s="38">
        <f t="shared" si="8"/>
        <v>2</v>
      </c>
      <c r="I315" s="41" t="str">
        <f t="shared" si="9"/>
        <v>RAKE + YAKE</v>
      </c>
      <c r="K315" s="32"/>
      <c r="L315" s="32"/>
      <c r="M315" s="32"/>
      <c r="N315" s="32"/>
      <c r="O315" s="32"/>
      <c r="P315" s="32"/>
    </row>
    <row r="316" spans="1:16" x14ac:dyDescent="0.3">
      <c r="A316" s="38">
        <v>315</v>
      </c>
      <c r="B316" s="39" t="s">
        <v>564</v>
      </c>
      <c r="C316" s="30"/>
      <c r="D316" s="30" t="s">
        <v>763</v>
      </c>
      <c r="E316" s="30" t="s">
        <v>763</v>
      </c>
      <c r="F316" s="38" t="s">
        <v>566</v>
      </c>
      <c r="G316" s="40" t="s">
        <v>570</v>
      </c>
      <c r="H316" s="38">
        <f t="shared" si="8"/>
        <v>2</v>
      </c>
      <c r="I316" s="41" t="str">
        <f t="shared" si="9"/>
        <v>RAKE + YAKE</v>
      </c>
      <c r="K316" s="32"/>
      <c r="L316" s="32"/>
      <c r="M316" s="32"/>
      <c r="N316" s="32"/>
      <c r="O316" s="32"/>
      <c r="P316" s="32"/>
    </row>
    <row r="317" spans="1:16" x14ac:dyDescent="0.3">
      <c r="A317" s="38">
        <v>316</v>
      </c>
      <c r="B317" s="39" t="s">
        <v>564</v>
      </c>
      <c r="C317" s="30" t="s">
        <v>764</v>
      </c>
      <c r="D317" s="30"/>
      <c r="E317" s="30" t="s">
        <v>764</v>
      </c>
      <c r="F317" s="38" t="s">
        <v>566</v>
      </c>
      <c r="G317" s="40" t="s">
        <v>570</v>
      </c>
      <c r="H317" s="38">
        <f t="shared" si="8"/>
        <v>2</v>
      </c>
      <c r="I317" s="41" t="str">
        <f t="shared" si="9"/>
        <v>Gemini + YAKE</v>
      </c>
      <c r="K317" s="32"/>
      <c r="L317" s="32"/>
      <c r="M317" s="32"/>
      <c r="N317" s="32"/>
      <c r="O317" s="32"/>
      <c r="P317" s="32"/>
    </row>
    <row r="318" spans="1:16" x14ac:dyDescent="0.3">
      <c r="A318" s="38">
        <v>317</v>
      </c>
      <c r="B318" s="39" t="s">
        <v>564</v>
      </c>
      <c r="C318" s="30"/>
      <c r="D318" s="30" t="s">
        <v>765</v>
      </c>
      <c r="E318" s="30" t="s">
        <v>766</v>
      </c>
      <c r="F318" s="38" t="s">
        <v>566</v>
      </c>
      <c r="G318" s="40" t="s">
        <v>570</v>
      </c>
      <c r="H318" s="38">
        <f t="shared" si="8"/>
        <v>2</v>
      </c>
      <c r="I318" s="41" t="str">
        <f t="shared" si="9"/>
        <v>RAKE + YAKE</v>
      </c>
      <c r="K318" s="32"/>
      <c r="L318" s="32"/>
      <c r="M318" s="32"/>
      <c r="N318" s="32"/>
      <c r="O318" s="32"/>
      <c r="P318" s="32"/>
    </row>
    <row r="319" spans="1:16" x14ac:dyDescent="0.3">
      <c r="A319" s="38">
        <v>318</v>
      </c>
      <c r="B319" s="39" t="s">
        <v>564</v>
      </c>
      <c r="C319" s="30"/>
      <c r="D319" s="30" t="s">
        <v>767</v>
      </c>
      <c r="E319" s="30" t="s">
        <v>767</v>
      </c>
      <c r="F319" s="38" t="s">
        <v>566</v>
      </c>
      <c r="G319" s="40" t="s">
        <v>570</v>
      </c>
      <c r="H319" s="38">
        <f t="shared" si="8"/>
        <v>2</v>
      </c>
      <c r="I319" s="41" t="str">
        <f t="shared" si="9"/>
        <v>RAKE + YAKE</v>
      </c>
      <c r="K319" s="32"/>
      <c r="L319" s="32"/>
      <c r="M319" s="32"/>
      <c r="N319" s="32"/>
      <c r="O319" s="32"/>
      <c r="P319" s="32"/>
    </row>
    <row r="320" spans="1:16" x14ac:dyDescent="0.3">
      <c r="A320" s="38">
        <v>319</v>
      </c>
      <c r="B320" s="39" t="s">
        <v>564</v>
      </c>
      <c r="C320" s="30" t="s">
        <v>768</v>
      </c>
      <c r="D320" s="30"/>
      <c r="E320" s="30" t="s">
        <v>768</v>
      </c>
      <c r="F320" s="38" t="s">
        <v>566</v>
      </c>
      <c r="G320" s="40" t="s">
        <v>570</v>
      </c>
      <c r="H320" s="38">
        <f t="shared" si="8"/>
        <v>2</v>
      </c>
      <c r="I320" s="41" t="str">
        <f t="shared" si="9"/>
        <v>Gemini + YAKE</v>
      </c>
      <c r="K320" s="32"/>
      <c r="L320" s="32"/>
      <c r="M320" s="32"/>
      <c r="N320" s="32"/>
      <c r="O320" s="32"/>
      <c r="P320" s="32"/>
    </row>
    <row r="321" spans="1:16" x14ac:dyDescent="0.3">
      <c r="A321" s="38">
        <v>320</v>
      </c>
      <c r="B321" s="39" t="s">
        <v>564</v>
      </c>
      <c r="C321" s="30" t="s">
        <v>769</v>
      </c>
      <c r="D321" s="30"/>
      <c r="E321" s="30" t="s">
        <v>769</v>
      </c>
      <c r="F321" s="38" t="s">
        <v>566</v>
      </c>
      <c r="G321" s="40" t="s">
        <v>570</v>
      </c>
      <c r="H321" s="38">
        <f t="shared" si="8"/>
        <v>2</v>
      </c>
      <c r="I321" s="41" t="str">
        <f t="shared" si="9"/>
        <v>Gemini + YAKE</v>
      </c>
      <c r="K321" s="32"/>
      <c r="L321" s="32"/>
      <c r="M321" s="32"/>
      <c r="N321" s="32"/>
      <c r="O321" s="32"/>
      <c r="P321" s="32"/>
    </row>
    <row r="322" spans="1:16" x14ac:dyDescent="0.3">
      <c r="A322" s="38">
        <v>321</v>
      </c>
      <c r="B322" s="39" t="s">
        <v>564</v>
      </c>
      <c r="C322" s="30" t="s">
        <v>770</v>
      </c>
      <c r="D322" s="30"/>
      <c r="E322" s="30" t="s">
        <v>770</v>
      </c>
      <c r="F322" s="38" t="s">
        <v>566</v>
      </c>
      <c r="G322" s="40" t="s">
        <v>570</v>
      </c>
      <c r="H322" s="38">
        <f t="shared" ref="H322:H385" si="10">COUNTIF(C322:E322,"?*")</f>
        <v>2</v>
      </c>
      <c r="I322" s="41" t="str">
        <f t="shared" ref="I322:I385" si="11">IF(H322=0,"None",IF(H322=3,"All three",IF(H322=1,"Only "&amp;TRIM(IF(C322&lt;&gt;"","Gemini ","")&amp;IF(D322&lt;&gt;"","RAKE ","")&amp;IF(E322&lt;&gt;"","YAKE","")),SUBSTITUTE(TRIM(IF(C322&lt;&gt;"","Gemini ","")&amp;IF(D322&lt;&gt;"","RAKE ","")&amp;IF(E322&lt;&gt;"","YAKE",""))," "," + "))))</f>
        <v>Gemini + YAKE</v>
      </c>
      <c r="K322" s="32"/>
      <c r="L322" s="32"/>
      <c r="M322" s="32"/>
      <c r="N322" s="32"/>
      <c r="O322" s="32"/>
      <c r="P322" s="32"/>
    </row>
    <row r="323" spans="1:16" x14ac:dyDescent="0.3">
      <c r="A323" s="38">
        <v>322</v>
      </c>
      <c r="B323" s="39" t="s">
        <v>564</v>
      </c>
      <c r="C323" s="30"/>
      <c r="D323" s="30" t="s">
        <v>771</v>
      </c>
      <c r="E323" s="30" t="s">
        <v>771</v>
      </c>
      <c r="F323" s="38" t="s">
        <v>566</v>
      </c>
      <c r="G323" s="40" t="s">
        <v>570</v>
      </c>
      <c r="H323" s="38">
        <f t="shared" si="10"/>
        <v>2</v>
      </c>
      <c r="I323" s="41" t="str">
        <f t="shared" si="11"/>
        <v>RAKE + YAKE</v>
      </c>
      <c r="K323" s="32"/>
      <c r="L323" s="32"/>
      <c r="M323" s="32"/>
      <c r="N323" s="32"/>
      <c r="O323" s="32"/>
      <c r="P323" s="32"/>
    </row>
    <row r="324" spans="1:16" x14ac:dyDescent="0.3">
      <c r="A324" s="38">
        <v>323</v>
      </c>
      <c r="B324" s="39" t="s">
        <v>564</v>
      </c>
      <c r="C324" s="30"/>
      <c r="D324" s="30" t="s">
        <v>772</v>
      </c>
      <c r="E324" s="30" t="s">
        <v>772</v>
      </c>
      <c r="F324" s="38" t="s">
        <v>566</v>
      </c>
      <c r="G324" s="40" t="s">
        <v>570</v>
      </c>
      <c r="H324" s="38">
        <f t="shared" si="10"/>
        <v>2</v>
      </c>
      <c r="I324" s="41" t="str">
        <f t="shared" si="11"/>
        <v>RAKE + YAKE</v>
      </c>
      <c r="K324" s="32"/>
      <c r="L324" s="32"/>
      <c r="M324" s="32"/>
      <c r="N324" s="32"/>
      <c r="O324" s="32"/>
      <c r="P324" s="32"/>
    </row>
    <row r="325" spans="1:16" x14ac:dyDescent="0.3">
      <c r="A325" s="38">
        <v>324</v>
      </c>
      <c r="B325" s="39" t="s">
        <v>564</v>
      </c>
      <c r="C325" s="30"/>
      <c r="D325" s="30" t="s">
        <v>773</v>
      </c>
      <c r="E325" s="30" t="s">
        <v>774</v>
      </c>
      <c r="F325" s="38" t="s">
        <v>566</v>
      </c>
      <c r="G325" s="40" t="s">
        <v>570</v>
      </c>
      <c r="H325" s="38">
        <f t="shared" si="10"/>
        <v>2</v>
      </c>
      <c r="I325" s="41" t="str">
        <f t="shared" si="11"/>
        <v>RAKE + YAKE</v>
      </c>
      <c r="K325" s="32"/>
      <c r="L325" s="32"/>
      <c r="M325" s="32"/>
      <c r="N325" s="32"/>
      <c r="O325" s="32"/>
      <c r="P325" s="32"/>
    </row>
    <row r="326" spans="1:16" x14ac:dyDescent="0.3">
      <c r="A326" s="38">
        <v>325</v>
      </c>
      <c r="B326" s="39" t="s">
        <v>564</v>
      </c>
      <c r="C326" s="30"/>
      <c r="D326" s="30" t="s">
        <v>775</v>
      </c>
      <c r="E326" s="30" t="s">
        <v>775</v>
      </c>
      <c r="F326" s="38" t="s">
        <v>566</v>
      </c>
      <c r="G326" s="40" t="s">
        <v>570</v>
      </c>
      <c r="H326" s="38">
        <f t="shared" si="10"/>
        <v>2</v>
      </c>
      <c r="I326" s="41" t="str">
        <f t="shared" si="11"/>
        <v>RAKE + YAKE</v>
      </c>
      <c r="K326" s="32"/>
      <c r="L326" s="32"/>
      <c r="M326" s="32"/>
      <c r="N326" s="32"/>
      <c r="O326" s="32"/>
      <c r="P326" s="32"/>
    </row>
    <row r="327" spans="1:16" x14ac:dyDescent="0.3">
      <c r="A327" s="38">
        <v>326</v>
      </c>
      <c r="B327" s="39" t="s">
        <v>564</v>
      </c>
      <c r="C327" s="30"/>
      <c r="D327" s="30" t="s">
        <v>776</v>
      </c>
      <c r="E327" s="30" t="s">
        <v>776</v>
      </c>
      <c r="F327" s="38" t="s">
        <v>566</v>
      </c>
      <c r="G327" s="40" t="s">
        <v>570</v>
      </c>
      <c r="H327" s="38">
        <f t="shared" si="10"/>
        <v>2</v>
      </c>
      <c r="I327" s="41" t="str">
        <f t="shared" si="11"/>
        <v>RAKE + YAKE</v>
      </c>
      <c r="K327" s="32"/>
      <c r="L327" s="32"/>
      <c r="M327" s="32"/>
      <c r="N327" s="32"/>
      <c r="O327" s="32"/>
      <c r="P327" s="32"/>
    </row>
    <row r="328" spans="1:16" x14ac:dyDescent="0.3">
      <c r="A328" s="38">
        <v>327</v>
      </c>
      <c r="B328" s="39" t="s">
        <v>564</v>
      </c>
      <c r="C328" s="30"/>
      <c r="D328" s="30" t="s">
        <v>777</v>
      </c>
      <c r="E328" s="30" t="s">
        <v>777</v>
      </c>
      <c r="F328" s="38" t="s">
        <v>566</v>
      </c>
      <c r="G328" s="40" t="s">
        <v>570</v>
      </c>
      <c r="H328" s="38">
        <f t="shared" si="10"/>
        <v>2</v>
      </c>
      <c r="I328" s="41" t="str">
        <f t="shared" si="11"/>
        <v>RAKE + YAKE</v>
      </c>
      <c r="K328" s="32"/>
      <c r="L328" s="32"/>
      <c r="M328" s="32"/>
      <c r="N328" s="32"/>
      <c r="O328" s="32"/>
      <c r="P328" s="32"/>
    </row>
    <row r="329" spans="1:16" x14ac:dyDescent="0.3">
      <c r="A329" s="38">
        <v>328</v>
      </c>
      <c r="B329" s="39" t="s">
        <v>564</v>
      </c>
      <c r="C329" s="30"/>
      <c r="D329" s="30" t="s">
        <v>778</v>
      </c>
      <c r="E329" s="30" t="s">
        <v>778</v>
      </c>
      <c r="F329" s="38" t="s">
        <v>566</v>
      </c>
      <c r="G329" s="40" t="s">
        <v>570</v>
      </c>
      <c r="H329" s="38">
        <f t="shared" si="10"/>
        <v>2</v>
      </c>
      <c r="I329" s="41" t="str">
        <f t="shared" si="11"/>
        <v>RAKE + YAKE</v>
      </c>
      <c r="K329" s="32"/>
      <c r="L329" s="32"/>
      <c r="M329" s="32"/>
      <c r="N329" s="32"/>
      <c r="O329" s="32"/>
      <c r="P329" s="32"/>
    </row>
    <row r="330" spans="1:16" x14ac:dyDescent="0.3">
      <c r="A330" s="38">
        <v>329</v>
      </c>
      <c r="B330" s="39" t="s">
        <v>564</v>
      </c>
      <c r="C330" s="30"/>
      <c r="D330" s="30" t="s">
        <v>779</v>
      </c>
      <c r="E330" s="30" t="s">
        <v>779</v>
      </c>
      <c r="F330" s="38" t="s">
        <v>566</v>
      </c>
      <c r="G330" s="40" t="s">
        <v>570</v>
      </c>
      <c r="H330" s="38">
        <f t="shared" si="10"/>
        <v>2</v>
      </c>
      <c r="I330" s="41" t="str">
        <f t="shared" si="11"/>
        <v>RAKE + YAKE</v>
      </c>
      <c r="K330" s="32"/>
      <c r="L330" s="32"/>
      <c r="M330" s="32"/>
      <c r="N330" s="32"/>
      <c r="O330" s="32"/>
      <c r="P330" s="32"/>
    </row>
    <row r="331" spans="1:16" x14ac:dyDescent="0.3">
      <c r="A331" s="38">
        <v>330</v>
      </c>
      <c r="B331" s="39" t="s">
        <v>564</v>
      </c>
      <c r="C331" s="30"/>
      <c r="D331" s="30" t="s">
        <v>780</v>
      </c>
      <c r="E331" s="30" t="s">
        <v>780</v>
      </c>
      <c r="F331" s="38" t="s">
        <v>566</v>
      </c>
      <c r="G331" s="40" t="s">
        <v>570</v>
      </c>
      <c r="H331" s="38">
        <f t="shared" si="10"/>
        <v>2</v>
      </c>
      <c r="I331" s="41" t="str">
        <f t="shared" si="11"/>
        <v>RAKE + YAKE</v>
      </c>
      <c r="K331" s="32"/>
      <c r="L331" s="32"/>
      <c r="M331" s="32"/>
      <c r="N331" s="32"/>
      <c r="O331" s="32"/>
      <c r="P331" s="32"/>
    </row>
    <row r="332" spans="1:16" x14ac:dyDescent="0.3">
      <c r="A332" s="38">
        <v>331</v>
      </c>
      <c r="B332" s="39" t="s">
        <v>564</v>
      </c>
      <c r="C332" s="30" t="s">
        <v>781</v>
      </c>
      <c r="D332" s="30"/>
      <c r="E332" s="30" t="s">
        <v>781</v>
      </c>
      <c r="F332" s="38" t="s">
        <v>566</v>
      </c>
      <c r="G332" s="40" t="s">
        <v>570</v>
      </c>
      <c r="H332" s="38">
        <f t="shared" si="10"/>
        <v>2</v>
      </c>
      <c r="I332" s="41" t="str">
        <f t="shared" si="11"/>
        <v>Gemini + YAKE</v>
      </c>
      <c r="K332" s="32"/>
      <c r="L332" s="32"/>
      <c r="M332" s="32"/>
      <c r="N332" s="32"/>
      <c r="O332" s="32"/>
      <c r="P332" s="32"/>
    </row>
    <row r="333" spans="1:16" x14ac:dyDescent="0.3">
      <c r="A333" s="38">
        <v>332</v>
      </c>
      <c r="B333" s="39" t="s">
        <v>564</v>
      </c>
      <c r="C333" s="30"/>
      <c r="D333" s="30" t="s">
        <v>782</v>
      </c>
      <c r="E333" s="30" t="s">
        <v>783</v>
      </c>
      <c r="F333" s="38" t="s">
        <v>566</v>
      </c>
      <c r="G333" s="40" t="s">
        <v>570</v>
      </c>
      <c r="H333" s="38">
        <f t="shared" si="10"/>
        <v>2</v>
      </c>
      <c r="I333" s="41" t="str">
        <f t="shared" si="11"/>
        <v>RAKE + YAKE</v>
      </c>
      <c r="K333" s="32"/>
      <c r="L333" s="32"/>
      <c r="M333" s="32"/>
      <c r="N333" s="32"/>
      <c r="O333" s="32"/>
      <c r="P333" s="32"/>
    </row>
    <row r="334" spans="1:16" x14ac:dyDescent="0.3">
      <c r="A334" s="38">
        <v>333</v>
      </c>
      <c r="B334" s="39" t="s">
        <v>564</v>
      </c>
      <c r="C334" s="30"/>
      <c r="D334" s="30" t="s">
        <v>784</v>
      </c>
      <c r="E334" s="30" t="s">
        <v>784</v>
      </c>
      <c r="F334" s="38" t="s">
        <v>566</v>
      </c>
      <c r="G334" s="40" t="s">
        <v>570</v>
      </c>
      <c r="H334" s="38">
        <f t="shared" si="10"/>
        <v>2</v>
      </c>
      <c r="I334" s="41" t="str">
        <f t="shared" si="11"/>
        <v>RAKE + YAKE</v>
      </c>
      <c r="K334" s="32"/>
      <c r="L334" s="32"/>
      <c r="M334" s="32"/>
      <c r="N334" s="32"/>
      <c r="O334" s="32"/>
      <c r="P334" s="32"/>
    </row>
    <row r="335" spans="1:16" x14ac:dyDescent="0.3">
      <c r="A335" s="38">
        <v>334</v>
      </c>
      <c r="B335" s="39" t="s">
        <v>564</v>
      </c>
      <c r="C335" s="30"/>
      <c r="D335" s="30" t="s">
        <v>785</v>
      </c>
      <c r="E335" s="30" t="s">
        <v>785</v>
      </c>
      <c r="F335" s="38" t="s">
        <v>566</v>
      </c>
      <c r="G335" s="40" t="s">
        <v>570</v>
      </c>
      <c r="H335" s="38">
        <f t="shared" si="10"/>
        <v>2</v>
      </c>
      <c r="I335" s="41" t="str">
        <f t="shared" si="11"/>
        <v>RAKE + YAKE</v>
      </c>
      <c r="K335" s="32"/>
      <c r="L335" s="32"/>
      <c r="M335" s="32"/>
      <c r="N335" s="32"/>
      <c r="O335" s="32"/>
      <c r="P335" s="32"/>
    </row>
    <row r="336" spans="1:16" x14ac:dyDescent="0.3">
      <c r="A336" s="38">
        <v>335</v>
      </c>
      <c r="B336" s="39" t="s">
        <v>564</v>
      </c>
      <c r="C336" s="30"/>
      <c r="D336" s="30" t="s">
        <v>786</v>
      </c>
      <c r="E336" s="30" t="s">
        <v>787</v>
      </c>
      <c r="F336" s="38" t="s">
        <v>566</v>
      </c>
      <c r="G336" s="40" t="s">
        <v>570</v>
      </c>
      <c r="H336" s="38">
        <f t="shared" si="10"/>
        <v>2</v>
      </c>
      <c r="I336" s="41" t="str">
        <f t="shared" si="11"/>
        <v>RAKE + YAKE</v>
      </c>
      <c r="K336" s="32"/>
      <c r="L336" s="32"/>
      <c r="M336" s="32"/>
      <c r="N336" s="32"/>
      <c r="O336" s="32"/>
      <c r="P336" s="32"/>
    </row>
    <row r="337" spans="1:16" x14ac:dyDescent="0.3">
      <c r="A337" s="38">
        <v>336</v>
      </c>
      <c r="B337" s="39" t="s">
        <v>564</v>
      </c>
      <c r="C337" s="30"/>
      <c r="D337" s="30" t="s">
        <v>788</v>
      </c>
      <c r="E337" s="30" t="s">
        <v>788</v>
      </c>
      <c r="F337" s="38" t="s">
        <v>566</v>
      </c>
      <c r="G337" s="40" t="s">
        <v>570</v>
      </c>
      <c r="H337" s="38">
        <f t="shared" si="10"/>
        <v>2</v>
      </c>
      <c r="I337" s="41" t="str">
        <f t="shared" si="11"/>
        <v>RAKE + YAKE</v>
      </c>
      <c r="K337" s="32"/>
      <c r="L337" s="32"/>
      <c r="M337" s="32"/>
      <c r="N337" s="32"/>
      <c r="O337" s="32"/>
      <c r="P337" s="32"/>
    </row>
    <row r="338" spans="1:16" x14ac:dyDescent="0.3">
      <c r="A338" s="38">
        <v>337</v>
      </c>
      <c r="B338" s="39" t="s">
        <v>564</v>
      </c>
      <c r="C338" s="30"/>
      <c r="D338" s="30" t="s">
        <v>789</v>
      </c>
      <c r="E338" s="30" t="s">
        <v>789</v>
      </c>
      <c r="F338" s="38" t="s">
        <v>566</v>
      </c>
      <c r="G338" s="40" t="s">
        <v>570</v>
      </c>
      <c r="H338" s="38">
        <f t="shared" si="10"/>
        <v>2</v>
      </c>
      <c r="I338" s="41" t="str">
        <f t="shared" si="11"/>
        <v>RAKE + YAKE</v>
      </c>
      <c r="K338" s="32"/>
      <c r="L338" s="32"/>
      <c r="M338" s="32"/>
      <c r="N338" s="32"/>
      <c r="O338" s="32"/>
      <c r="P338" s="32"/>
    </row>
    <row r="339" spans="1:16" x14ac:dyDescent="0.3">
      <c r="A339" s="38">
        <v>338</v>
      </c>
      <c r="B339" s="39" t="s">
        <v>564</v>
      </c>
      <c r="C339" s="30" t="s">
        <v>790</v>
      </c>
      <c r="D339" s="30"/>
      <c r="E339" s="30" t="s">
        <v>790</v>
      </c>
      <c r="F339" s="38" t="s">
        <v>566</v>
      </c>
      <c r="G339" s="40" t="s">
        <v>570</v>
      </c>
      <c r="H339" s="38">
        <f t="shared" si="10"/>
        <v>2</v>
      </c>
      <c r="I339" s="41" t="str">
        <f t="shared" si="11"/>
        <v>Gemini + YAKE</v>
      </c>
      <c r="K339" s="32"/>
      <c r="L339" s="32"/>
      <c r="M339" s="32"/>
      <c r="N339" s="32"/>
      <c r="O339" s="32"/>
      <c r="P339" s="32"/>
    </row>
    <row r="340" spans="1:16" x14ac:dyDescent="0.3">
      <c r="A340" s="38">
        <v>339</v>
      </c>
      <c r="B340" s="39" t="s">
        <v>564</v>
      </c>
      <c r="C340" s="30" t="s">
        <v>791</v>
      </c>
      <c r="D340" s="30"/>
      <c r="E340" s="30" t="s">
        <v>791</v>
      </c>
      <c r="F340" s="38" t="s">
        <v>566</v>
      </c>
      <c r="G340" s="40" t="s">
        <v>570</v>
      </c>
      <c r="H340" s="38">
        <f t="shared" si="10"/>
        <v>2</v>
      </c>
      <c r="I340" s="41" t="str">
        <f t="shared" si="11"/>
        <v>Gemini + YAKE</v>
      </c>
      <c r="K340" s="32"/>
      <c r="L340" s="32"/>
      <c r="M340" s="32"/>
      <c r="N340" s="32"/>
      <c r="O340" s="32"/>
      <c r="P340" s="32"/>
    </row>
    <row r="341" spans="1:16" x14ac:dyDescent="0.3">
      <c r="A341" s="38">
        <v>340</v>
      </c>
      <c r="B341" s="39" t="s">
        <v>564</v>
      </c>
      <c r="C341" s="30" t="s">
        <v>792</v>
      </c>
      <c r="D341" s="30"/>
      <c r="E341" s="30" t="s">
        <v>792</v>
      </c>
      <c r="F341" s="38" t="s">
        <v>566</v>
      </c>
      <c r="G341" s="40" t="s">
        <v>570</v>
      </c>
      <c r="H341" s="38">
        <f t="shared" si="10"/>
        <v>2</v>
      </c>
      <c r="I341" s="41" t="str">
        <f t="shared" si="11"/>
        <v>Gemini + YAKE</v>
      </c>
      <c r="K341" s="32"/>
      <c r="L341" s="32"/>
      <c r="M341" s="32"/>
      <c r="N341" s="32"/>
      <c r="O341" s="32"/>
      <c r="P341" s="32"/>
    </row>
    <row r="342" spans="1:16" x14ac:dyDescent="0.3">
      <c r="A342" s="38">
        <v>341</v>
      </c>
      <c r="B342" s="39" t="s">
        <v>564</v>
      </c>
      <c r="C342" s="30"/>
      <c r="D342" s="30" t="s">
        <v>793</v>
      </c>
      <c r="E342" s="30" t="s">
        <v>793</v>
      </c>
      <c r="F342" s="38" t="s">
        <v>566</v>
      </c>
      <c r="G342" s="40" t="s">
        <v>570</v>
      </c>
      <c r="H342" s="38">
        <f t="shared" si="10"/>
        <v>2</v>
      </c>
      <c r="I342" s="41" t="str">
        <f t="shared" si="11"/>
        <v>RAKE + YAKE</v>
      </c>
      <c r="K342" s="32"/>
      <c r="L342" s="32"/>
      <c r="M342" s="32"/>
      <c r="N342" s="32"/>
      <c r="O342" s="32"/>
      <c r="P342" s="32"/>
    </row>
    <row r="343" spans="1:16" x14ac:dyDescent="0.3">
      <c r="A343" s="38">
        <v>342</v>
      </c>
      <c r="B343" s="39" t="s">
        <v>564</v>
      </c>
      <c r="C343" s="30"/>
      <c r="D343" s="30" t="s">
        <v>794</v>
      </c>
      <c r="E343" s="30" t="s">
        <v>794</v>
      </c>
      <c r="F343" s="38" t="s">
        <v>566</v>
      </c>
      <c r="G343" s="40" t="s">
        <v>570</v>
      </c>
      <c r="H343" s="38">
        <f t="shared" si="10"/>
        <v>2</v>
      </c>
      <c r="I343" s="41" t="str">
        <f t="shared" si="11"/>
        <v>RAKE + YAKE</v>
      </c>
      <c r="K343" s="32"/>
      <c r="L343" s="32"/>
      <c r="M343" s="32"/>
      <c r="N343" s="32"/>
      <c r="O343" s="32"/>
      <c r="P343" s="32"/>
    </row>
    <row r="344" spans="1:16" x14ac:dyDescent="0.3">
      <c r="A344" s="38">
        <v>343</v>
      </c>
      <c r="B344" s="39" t="s">
        <v>564</v>
      </c>
      <c r="C344" s="30"/>
      <c r="D344" s="30" t="s">
        <v>795</v>
      </c>
      <c r="E344" s="30" t="s">
        <v>795</v>
      </c>
      <c r="F344" s="38" t="s">
        <v>566</v>
      </c>
      <c r="G344" s="40" t="s">
        <v>570</v>
      </c>
      <c r="H344" s="38">
        <f t="shared" si="10"/>
        <v>2</v>
      </c>
      <c r="I344" s="41" t="str">
        <f t="shared" si="11"/>
        <v>RAKE + YAKE</v>
      </c>
      <c r="K344" s="32"/>
      <c r="L344" s="32"/>
      <c r="M344" s="32"/>
      <c r="N344" s="32"/>
      <c r="O344" s="32"/>
      <c r="P344" s="32"/>
    </row>
    <row r="345" spans="1:16" x14ac:dyDescent="0.3">
      <c r="A345" s="38">
        <v>344</v>
      </c>
      <c r="B345" s="39" t="s">
        <v>564</v>
      </c>
      <c r="C345" s="30"/>
      <c r="D345" s="30" t="s">
        <v>796</v>
      </c>
      <c r="E345" s="30"/>
      <c r="F345" s="38" t="s">
        <v>566</v>
      </c>
      <c r="G345" s="40" t="s">
        <v>570</v>
      </c>
      <c r="H345" s="38">
        <f t="shared" si="10"/>
        <v>1</v>
      </c>
      <c r="I345" s="41" t="str">
        <f t="shared" si="11"/>
        <v>Only RAKE</v>
      </c>
      <c r="K345" s="32"/>
      <c r="L345" s="32"/>
      <c r="M345" s="32"/>
      <c r="N345" s="32"/>
      <c r="O345" s="32"/>
      <c r="P345" s="32"/>
    </row>
    <row r="346" spans="1:16" x14ac:dyDescent="0.3">
      <c r="A346" s="38">
        <v>345</v>
      </c>
      <c r="B346" s="39" t="s">
        <v>564</v>
      </c>
      <c r="C346" s="30"/>
      <c r="D346" s="30" t="s">
        <v>797</v>
      </c>
      <c r="E346" s="30"/>
      <c r="F346" s="38" t="s">
        <v>566</v>
      </c>
      <c r="G346" s="40" t="s">
        <v>570</v>
      </c>
      <c r="H346" s="38">
        <f t="shared" si="10"/>
        <v>1</v>
      </c>
      <c r="I346" s="41" t="str">
        <f t="shared" si="11"/>
        <v>Only RAKE</v>
      </c>
      <c r="K346" s="32"/>
      <c r="L346" s="32"/>
      <c r="M346" s="32"/>
      <c r="N346" s="32"/>
      <c r="O346" s="32"/>
      <c r="P346" s="32"/>
    </row>
    <row r="347" spans="1:16" x14ac:dyDescent="0.3">
      <c r="A347" s="38">
        <v>346</v>
      </c>
      <c r="B347" s="39" t="s">
        <v>564</v>
      </c>
      <c r="C347" s="30"/>
      <c r="D347" s="30" t="s">
        <v>798</v>
      </c>
      <c r="E347" s="30"/>
      <c r="F347" s="38" t="s">
        <v>566</v>
      </c>
      <c r="G347" s="40" t="s">
        <v>570</v>
      </c>
      <c r="H347" s="38">
        <f t="shared" si="10"/>
        <v>1</v>
      </c>
      <c r="I347" s="41" t="str">
        <f t="shared" si="11"/>
        <v>Only RAKE</v>
      </c>
      <c r="K347" s="32"/>
      <c r="L347" s="32"/>
      <c r="M347" s="32"/>
      <c r="N347" s="32"/>
      <c r="O347" s="32"/>
      <c r="P347" s="32"/>
    </row>
    <row r="348" spans="1:16" x14ac:dyDescent="0.3">
      <c r="A348" s="38">
        <v>347</v>
      </c>
      <c r="B348" s="39" t="s">
        <v>564</v>
      </c>
      <c r="C348" s="30"/>
      <c r="D348" s="30" t="s">
        <v>799</v>
      </c>
      <c r="E348" s="30"/>
      <c r="F348" s="38" t="s">
        <v>566</v>
      </c>
      <c r="G348" s="40" t="s">
        <v>570</v>
      </c>
      <c r="H348" s="38">
        <f t="shared" si="10"/>
        <v>1</v>
      </c>
      <c r="I348" s="41" t="str">
        <f t="shared" si="11"/>
        <v>Only RAKE</v>
      </c>
      <c r="K348" s="32"/>
      <c r="L348" s="32"/>
      <c r="M348" s="32"/>
      <c r="N348" s="32"/>
      <c r="O348" s="32"/>
      <c r="P348" s="32"/>
    </row>
    <row r="349" spans="1:16" x14ac:dyDescent="0.3">
      <c r="A349" s="38">
        <v>348</v>
      </c>
      <c r="B349" s="39" t="s">
        <v>564</v>
      </c>
      <c r="C349" s="30" t="s">
        <v>800</v>
      </c>
      <c r="D349" s="30"/>
      <c r="E349" s="30"/>
      <c r="F349" s="38" t="s">
        <v>566</v>
      </c>
      <c r="G349" s="40" t="s">
        <v>801</v>
      </c>
      <c r="H349" s="38">
        <f t="shared" si="10"/>
        <v>1</v>
      </c>
      <c r="I349" s="41" t="str">
        <f t="shared" si="11"/>
        <v>Only Gemini</v>
      </c>
      <c r="K349" s="32"/>
      <c r="L349" s="32"/>
      <c r="M349" s="32"/>
      <c r="N349" s="32"/>
      <c r="O349" s="32"/>
      <c r="P349" s="32"/>
    </row>
    <row r="350" spans="1:16" x14ac:dyDescent="0.3">
      <c r="A350" s="38">
        <v>349</v>
      </c>
      <c r="B350" s="39" t="s">
        <v>564</v>
      </c>
      <c r="C350" s="30"/>
      <c r="D350" s="30" t="s">
        <v>802</v>
      </c>
      <c r="E350" s="30"/>
      <c r="F350" s="38" t="s">
        <v>566</v>
      </c>
      <c r="G350" s="40" t="s">
        <v>570</v>
      </c>
      <c r="H350" s="38">
        <f t="shared" si="10"/>
        <v>1</v>
      </c>
      <c r="I350" s="41" t="str">
        <f t="shared" si="11"/>
        <v>Only RAKE</v>
      </c>
      <c r="K350" s="32"/>
      <c r="L350" s="32"/>
      <c r="M350" s="32"/>
      <c r="N350" s="32"/>
      <c r="O350" s="32"/>
      <c r="P350" s="32"/>
    </row>
    <row r="351" spans="1:16" x14ac:dyDescent="0.3">
      <c r="A351" s="38">
        <v>350</v>
      </c>
      <c r="B351" s="39" t="s">
        <v>564</v>
      </c>
      <c r="C351" s="30"/>
      <c r="D351" s="30" t="s">
        <v>803</v>
      </c>
      <c r="E351" s="30"/>
      <c r="F351" s="38" t="s">
        <v>566</v>
      </c>
      <c r="G351" s="40" t="s">
        <v>570</v>
      </c>
      <c r="H351" s="38">
        <f t="shared" si="10"/>
        <v>1</v>
      </c>
      <c r="I351" s="41" t="str">
        <f t="shared" si="11"/>
        <v>Only RAKE</v>
      </c>
      <c r="K351" s="32"/>
      <c r="L351" s="32"/>
      <c r="M351" s="32"/>
      <c r="N351" s="32"/>
      <c r="O351" s="32"/>
      <c r="P351" s="32"/>
    </row>
    <row r="352" spans="1:16" x14ac:dyDescent="0.3">
      <c r="A352" s="38">
        <v>351</v>
      </c>
      <c r="B352" s="39" t="s">
        <v>564</v>
      </c>
      <c r="C352" s="30"/>
      <c r="D352" s="30" t="s">
        <v>804</v>
      </c>
      <c r="E352" s="30"/>
      <c r="F352" s="38" t="s">
        <v>566</v>
      </c>
      <c r="G352" s="40" t="s">
        <v>570</v>
      </c>
      <c r="H352" s="38">
        <f t="shared" si="10"/>
        <v>1</v>
      </c>
      <c r="I352" s="41" t="str">
        <f t="shared" si="11"/>
        <v>Only RAKE</v>
      </c>
      <c r="K352" s="32"/>
      <c r="L352" s="32"/>
      <c r="M352" s="32"/>
      <c r="N352" s="32"/>
      <c r="O352" s="32"/>
      <c r="P352" s="32"/>
    </row>
    <row r="353" spans="1:16" x14ac:dyDescent="0.3">
      <c r="A353" s="38">
        <v>352</v>
      </c>
      <c r="B353" s="39" t="s">
        <v>564</v>
      </c>
      <c r="C353" s="30"/>
      <c r="D353" s="30"/>
      <c r="E353" s="30" t="s">
        <v>805</v>
      </c>
      <c r="F353" s="38" t="s">
        <v>566</v>
      </c>
      <c r="G353" s="40" t="s">
        <v>570</v>
      </c>
      <c r="H353" s="38">
        <f t="shared" si="10"/>
        <v>1</v>
      </c>
      <c r="I353" s="41" t="str">
        <f t="shared" si="11"/>
        <v>Only YAKE</v>
      </c>
      <c r="K353" s="32"/>
      <c r="L353" s="32"/>
      <c r="M353" s="32"/>
      <c r="N353" s="32"/>
      <c r="O353" s="32"/>
      <c r="P353" s="32"/>
    </row>
    <row r="354" spans="1:16" x14ac:dyDescent="0.3">
      <c r="A354" s="38">
        <v>353</v>
      </c>
      <c r="B354" s="39" t="s">
        <v>564</v>
      </c>
      <c r="C354" s="30"/>
      <c r="D354" s="30" t="s">
        <v>806</v>
      </c>
      <c r="E354" s="30"/>
      <c r="F354" s="38" t="s">
        <v>566</v>
      </c>
      <c r="G354" s="40" t="s">
        <v>570</v>
      </c>
      <c r="H354" s="38">
        <f t="shared" si="10"/>
        <v>1</v>
      </c>
      <c r="I354" s="41" t="str">
        <f t="shared" si="11"/>
        <v>Only RAKE</v>
      </c>
      <c r="K354" s="32"/>
      <c r="L354" s="32"/>
      <c r="M354" s="32"/>
      <c r="N354" s="32"/>
      <c r="O354" s="32"/>
      <c r="P354" s="32"/>
    </row>
    <row r="355" spans="1:16" x14ac:dyDescent="0.3">
      <c r="A355" s="38">
        <v>354</v>
      </c>
      <c r="B355" s="39" t="s">
        <v>564</v>
      </c>
      <c r="C355" s="30"/>
      <c r="D355" s="30" t="s">
        <v>807</v>
      </c>
      <c r="E355" s="30"/>
      <c r="F355" s="38" t="s">
        <v>566</v>
      </c>
      <c r="G355" s="40" t="s">
        <v>808</v>
      </c>
      <c r="H355" s="38">
        <f t="shared" si="10"/>
        <v>1</v>
      </c>
      <c r="I355" s="41" t="str">
        <f t="shared" si="11"/>
        <v>Only RAKE</v>
      </c>
      <c r="K355" s="32"/>
      <c r="L355" s="32"/>
      <c r="M355" s="32"/>
      <c r="N355" s="32"/>
      <c r="O355" s="32"/>
      <c r="P355" s="32"/>
    </row>
    <row r="356" spans="1:16" x14ac:dyDescent="0.3">
      <c r="A356" s="38">
        <v>355</v>
      </c>
      <c r="B356" s="39" t="s">
        <v>564</v>
      </c>
      <c r="C356" s="30"/>
      <c r="D356" s="30" t="s">
        <v>809</v>
      </c>
      <c r="E356" s="30"/>
      <c r="F356" s="38" t="s">
        <v>566</v>
      </c>
      <c r="G356" s="40" t="s">
        <v>570</v>
      </c>
      <c r="H356" s="38">
        <f t="shared" si="10"/>
        <v>1</v>
      </c>
      <c r="I356" s="41" t="str">
        <f t="shared" si="11"/>
        <v>Only RAKE</v>
      </c>
      <c r="K356" s="32"/>
      <c r="L356" s="32"/>
      <c r="M356" s="32"/>
      <c r="N356" s="32"/>
      <c r="O356" s="32"/>
      <c r="P356" s="32"/>
    </row>
    <row r="357" spans="1:16" x14ac:dyDescent="0.3">
      <c r="A357" s="38">
        <v>356</v>
      </c>
      <c r="B357" s="39" t="s">
        <v>564</v>
      </c>
      <c r="C357" s="30"/>
      <c r="D357" s="30" t="s">
        <v>810</v>
      </c>
      <c r="E357" s="30"/>
      <c r="F357" s="38" t="s">
        <v>566</v>
      </c>
      <c r="G357" s="40" t="s">
        <v>570</v>
      </c>
      <c r="H357" s="38">
        <f t="shared" si="10"/>
        <v>1</v>
      </c>
      <c r="I357" s="41" t="str">
        <f t="shared" si="11"/>
        <v>Only RAKE</v>
      </c>
      <c r="K357" s="32"/>
      <c r="L357" s="32"/>
      <c r="M357" s="32"/>
      <c r="N357" s="32"/>
      <c r="O357" s="32"/>
      <c r="P357" s="32"/>
    </row>
    <row r="358" spans="1:16" x14ac:dyDescent="0.3">
      <c r="A358" s="38">
        <v>357</v>
      </c>
      <c r="B358" s="39" t="s">
        <v>564</v>
      </c>
      <c r="C358" s="30"/>
      <c r="D358" s="30"/>
      <c r="E358" s="30" t="s">
        <v>811</v>
      </c>
      <c r="F358" s="38" t="s">
        <v>566</v>
      </c>
      <c r="G358" s="40" t="s">
        <v>570</v>
      </c>
      <c r="H358" s="38">
        <f t="shared" si="10"/>
        <v>1</v>
      </c>
      <c r="I358" s="41" t="str">
        <f t="shared" si="11"/>
        <v>Only YAKE</v>
      </c>
      <c r="K358" s="32"/>
      <c r="L358" s="32"/>
      <c r="M358" s="32"/>
      <c r="N358" s="32"/>
      <c r="O358" s="32"/>
      <c r="P358" s="32"/>
    </row>
    <row r="359" spans="1:16" x14ac:dyDescent="0.3">
      <c r="A359" s="38">
        <v>358</v>
      </c>
      <c r="B359" s="39" t="s">
        <v>564</v>
      </c>
      <c r="C359" s="30"/>
      <c r="D359" s="30" t="s">
        <v>812</v>
      </c>
      <c r="E359" s="30"/>
      <c r="F359" s="38" t="s">
        <v>566</v>
      </c>
      <c r="G359" s="40" t="s">
        <v>570</v>
      </c>
      <c r="H359" s="38">
        <f t="shared" si="10"/>
        <v>1</v>
      </c>
      <c r="I359" s="41" t="str">
        <f t="shared" si="11"/>
        <v>Only RAKE</v>
      </c>
      <c r="K359" s="32"/>
      <c r="L359" s="32"/>
      <c r="M359" s="32"/>
      <c r="N359" s="32"/>
      <c r="O359" s="32"/>
      <c r="P359" s="32"/>
    </row>
    <row r="360" spans="1:16" x14ac:dyDescent="0.3">
      <c r="A360" s="38">
        <v>359</v>
      </c>
      <c r="B360" s="39" t="s">
        <v>564</v>
      </c>
      <c r="C360" s="30"/>
      <c r="D360" s="30" t="s">
        <v>813</v>
      </c>
      <c r="E360" s="30"/>
      <c r="F360" s="38" t="s">
        <v>566</v>
      </c>
      <c r="G360" s="40" t="s">
        <v>570</v>
      </c>
      <c r="H360" s="38">
        <f t="shared" si="10"/>
        <v>1</v>
      </c>
      <c r="I360" s="41" t="str">
        <f t="shared" si="11"/>
        <v>Only RAKE</v>
      </c>
      <c r="K360" s="32"/>
      <c r="L360" s="32"/>
      <c r="M360" s="32"/>
      <c r="N360" s="32"/>
      <c r="O360" s="32"/>
      <c r="P360" s="32"/>
    </row>
    <row r="361" spans="1:16" x14ac:dyDescent="0.3">
      <c r="A361" s="38">
        <v>360</v>
      </c>
      <c r="B361" s="39" t="s">
        <v>564</v>
      </c>
      <c r="C361" s="30"/>
      <c r="D361" s="30" t="s">
        <v>814</v>
      </c>
      <c r="E361" s="30"/>
      <c r="F361" s="38" t="s">
        <v>566</v>
      </c>
      <c r="G361" s="40" t="s">
        <v>570</v>
      </c>
      <c r="H361" s="38">
        <f t="shared" si="10"/>
        <v>1</v>
      </c>
      <c r="I361" s="41" t="str">
        <f t="shared" si="11"/>
        <v>Only RAKE</v>
      </c>
      <c r="K361" s="32"/>
      <c r="L361" s="32"/>
      <c r="M361" s="32"/>
      <c r="N361" s="32"/>
      <c r="O361" s="32"/>
      <c r="P361" s="32"/>
    </row>
    <row r="362" spans="1:16" x14ac:dyDescent="0.3">
      <c r="A362" s="38">
        <v>361</v>
      </c>
      <c r="B362" s="39" t="s">
        <v>564</v>
      </c>
      <c r="C362" s="30"/>
      <c r="D362" s="30" t="s">
        <v>815</v>
      </c>
      <c r="E362" s="30"/>
      <c r="F362" s="38" t="s">
        <v>566</v>
      </c>
      <c r="G362" s="40" t="s">
        <v>570</v>
      </c>
      <c r="H362" s="38">
        <f t="shared" si="10"/>
        <v>1</v>
      </c>
      <c r="I362" s="41" t="str">
        <f t="shared" si="11"/>
        <v>Only RAKE</v>
      </c>
      <c r="K362" s="32"/>
      <c r="L362" s="32"/>
      <c r="M362" s="32"/>
      <c r="N362" s="32"/>
      <c r="O362" s="32"/>
      <c r="P362" s="32"/>
    </row>
    <row r="363" spans="1:16" x14ac:dyDescent="0.3">
      <c r="A363" s="38">
        <v>362</v>
      </c>
      <c r="B363" s="39" t="s">
        <v>564</v>
      </c>
      <c r="C363" s="30"/>
      <c r="D363" s="30"/>
      <c r="E363" s="30" t="s">
        <v>816</v>
      </c>
      <c r="F363" s="38" t="s">
        <v>566</v>
      </c>
      <c r="G363" s="40" t="s">
        <v>570</v>
      </c>
      <c r="H363" s="38">
        <f t="shared" si="10"/>
        <v>1</v>
      </c>
      <c r="I363" s="41" t="str">
        <f t="shared" si="11"/>
        <v>Only YAKE</v>
      </c>
      <c r="K363" s="32"/>
      <c r="L363" s="32"/>
      <c r="M363" s="32"/>
      <c r="N363" s="32"/>
      <c r="O363" s="32"/>
      <c r="P363" s="32"/>
    </row>
    <row r="364" spans="1:16" ht="26.4" x14ac:dyDescent="0.3">
      <c r="A364" s="38">
        <v>363</v>
      </c>
      <c r="B364" s="39" t="s">
        <v>564</v>
      </c>
      <c r="C364" s="30" t="s">
        <v>817</v>
      </c>
      <c r="D364" s="30"/>
      <c r="E364" s="30"/>
      <c r="F364" s="38" t="s">
        <v>566</v>
      </c>
      <c r="G364" s="40" t="s">
        <v>570</v>
      </c>
      <c r="H364" s="38">
        <f t="shared" si="10"/>
        <v>1</v>
      </c>
      <c r="I364" s="41" t="str">
        <f t="shared" si="11"/>
        <v>Only Gemini</v>
      </c>
      <c r="K364" s="32"/>
      <c r="L364" s="32"/>
      <c r="M364" s="32"/>
      <c r="N364" s="32"/>
      <c r="O364" s="32"/>
      <c r="P364" s="32"/>
    </row>
    <row r="365" spans="1:16" x14ac:dyDescent="0.3">
      <c r="A365" s="38">
        <v>364</v>
      </c>
      <c r="B365" s="39" t="s">
        <v>564</v>
      </c>
      <c r="C365" s="30"/>
      <c r="D365" s="30" t="s">
        <v>818</v>
      </c>
      <c r="E365" s="30"/>
      <c r="F365" s="38" t="s">
        <v>566</v>
      </c>
      <c r="G365" s="40" t="s">
        <v>570</v>
      </c>
      <c r="H365" s="38">
        <f t="shared" si="10"/>
        <v>1</v>
      </c>
      <c r="I365" s="41" t="str">
        <f t="shared" si="11"/>
        <v>Only RAKE</v>
      </c>
      <c r="K365" s="32"/>
      <c r="L365" s="32"/>
      <c r="M365" s="32"/>
      <c r="N365" s="32"/>
      <c r="O365" s="32"/>
      <c r="P365" s="32"/>
    </row>
    <row r="366" spans="1:16" x14ac:dyDescent="0.3">
      <c r="A366" s="38">
        <v>365</v>
      </c>
      <c r="B366" s="39" t="s">
        <v>564</v>
      </c>
      <c r="C366" s="30"/>
      <c r="D366" s="30" t="s">
        <v>819</v>
      </c>
      <c r="E366" s="30"/>
      <c r="F366" s="38" t="s">
        <v>566</v>
      </c>
      <c r="G366" s="40" t="s">
        <v>570</v>
      </c>
      <c r="H366" s="38">
        <f t="shared" si="10"/>
        <v>1</v>
      </c>
      <c r="I366" s="41" t="str">
        <f t="shared" si="11"/>
        <v>Only RAKE</v>
      </c>
      <c r="K366" s="32"/>
      <c r="L366" s="32"/>
      <c r="M366" s="32"/>
      <c r="N366" s="32"/>
      <c r="O366" s="32"/>
      <c r="P366" s="32"/>
    </row>
    <row r="367" spans="1:16" x14ac:dyDescent="0.3">
      <c r="A367" s="38">
        <v>366</v>
      </c>
      <c r="B367" s="39" t="s">
        <v>564</v>
      </c>
      <c r="C367" s="30"/>
      <c r="D367" s="30" t="s">
        <v>820</v>
      </c>
      <c r="E367" s="30"/>
      <c r="F367" s="38" t="s">
        <v>566</v>
      </c>
      <c r="G367" s="40" t="s">
        <v>808</v>
      </c>
      <c r="H367" s="38">
        <f t="shared" si="10"/>
        <v>1</v>
      </c>
      <c r="I367" s="41" t="str">
        <f t="shared" si="11"/>
        <v>Only RAKE</v>
      </c>
      <c r="K367" s="32"/>
      <c r="L367" s="32"/>
      <c r="M367" s="32"/>
      <c r="N367" s="32"/>
      <c r="O367" s="32"/>
      <c r="P367" s="32"/>
    </row>
    <row r="368" spans="1:16" x14ac:dyDescent="0.3">
      <c r="A368" s="38">
        <v>367</v>
      </c>
      <c r="B368" s="39" t="s">
        <v>564</v>
      </c>
      <c r="C368" s="30"/>
      <c r="D368" s="30" t="s">
        <v>821</v>
      </c>
      <c r="E368" s="30"/>
      <c r="F368" s="38" t="s">
        <v>566</v>
      </c>
      <c r="G368" s="40" t="s">
        <v>570</v>
      </c>
      <c r="H368" s="38">
        <f t="shared" si="10"/>
        <v>1</v>
      </c>
      <c r="I368" s="41" t="str">
        <f t="shared" si="11"/>
        <v>Only RAKE</v>
      </c>
      <c r="K368" s="32"/>
      <c r="L368" s="32"/>
      <c r="M368" s="32"/>
      <c r="N368" s="32"/>
      <c r="O368" s="32"/>
      <c r="P368" s="32"/>
    </row>
    <row r="369" spans="1:16" x14ac:dyDescent="0.3">
      <c r="A369" s="38">
        <v>368</v>
      </c>
      <c r="B369" s="39" t="s">
        <v>564</v>
      </c>
      <c r="C369" s="30"/>
      <c r="D369" s="30" t="s">
        <v>822</v>
      </c>
      <c r="E369" s="30"/>
      <c r="F369" s="38" t="s">
        <v>566</v>
      </c>
      <c r="G369" s="40" t="s">
        <v>570</v>
      </c>
      <c r="H369" s="38">
        <f t="shared" si="10"/>
        <v>1</v>
      </c>
      <c r="I369" s="41" t="str">
        <f t="shared" si="11"/>
        <v>Only RAKE</v>
      </c>
      <c r="K369" s="32"/>
      <c r="L369" s="32"/>
      <c r="M369" s="32"/>
      <c r="N369" s="32"/>
      <c r="O369" s="32"/>
      <c r="P369" s="32"/>
    </row>
    <row r="370" spans="1:16" x14ac:dyDescent="0.3">
      <c r="A370" s="38">
        <v>369</v>
      </c>
      <c r="B370" s="39" t="s">
        <v>564</v>
      </c>
      <c r="C370" s="30"/>
      <c r="D370" s="30" t="s">
        <v>823</v>
      </c>
      <c r="E370" s="30"/>
      <c r="F370" s="38" t="s">
        <v>566</v>
      </c>
      <c r="G370" s="40" t="s">
        <v>570</v>
      </c>
      <c r="H370" s="38">
        <f t="shared" si="10"/>
        <v>1</v>
      </c>
      <c r="I370" s="41" t="str">
        <f t="shared" si="11"/>
        <v>Only RAKE</v>
      </c>
      <c r="K370" s="32"/>
      <c r="L370" s="32"/>
      <c r="M370" s="32"/>
      <c r="N370" s="32"/>
      <c r="O370" s="32"/>
      <c r="P370" s="32"/>
    </row>
    <row r="371" spans="1:16" x14ac:dyDescent="0.3">
      <c r="A371" s="38">
        <v>370</v>
      </c>
      <c r="B371" s="39" t="s">
        <v>564</v>
      </c>
      <c r="C371" s="30"/>
      <c r="D371" s="30"/>
      <c r="E371" s="30" t="s">
        <v>824</v>
      </c>
      <c r="F371" s="38" t="s">
        <v>566</v>
      </c>
      <c r="G371" s="40" t="s">
        <v>570</v>
      </c>
      <c r="H371" s="38">
        <f t="shared" si="10"/>
        <v>1</v>
      </c>
      <c r="I371" s="41" t="str">
        <f t="shared" si="11"/>
        <v>Only YAKE</v>
      </c>
      <c r="K371" s="32"/>
      <c r="L371" s="32"/>
      <c r="M371" s="32"/>
      <c r="N371" s="32"/>
      <c r="O371" s="32"/>
      <c r="P371" s="32"/>
    </row>
    <row r="372" spans="1:16" x14ac:dyDescent="0.3">
      <c r="A372" s="38">
        <v>371</v>
      </c>
      <c r="B372" s="39" t="s">
        <v>564</v>
      </c>
      <c r="C372" s="30"/>
      <c r="D372" s="30" t="s">
        <v>825</v>
      </c>
      <c r="E372" s="30"/>
      <c r="F372" s="38" t="s">
        <v>566</v>
      </c>
      <c r="G372" s="40" t="s">
        <v>570</v>
      </c>
      <c r="H372" s="38">
        <f t="shared" si="10"/>
        <v>1</v>
      </c>
      <c r="I372" s="41" t="str">
        <f t="shared" si="11"/>
        <v>Only RAKE</v>
      </c>
      <c r="K372" s="32"/>
      <c r="L372" s="32"/>
      <c r="M372" s="32"/>
      <c r="N372" s="32"/>
      <c r="O372" s="32"/>
      <c r="P372" s="32"/>
    </row>
    <row r="373" spans="1:16" x14ac:dyDescent="0.3">
      <c r="A373" s="38">
        <v>372</v>
      </c>
      <c r="B373" s="39" t="s">
        <v>564</v>
      </c>
      <c r="C373" s="30"/>
      <c r="D373" s="30"/>
      <c r="E373" s="30" t="s">
        <v>826</v>
      </c>
      <c r="F373" s="38" t="s">
        <v>566</v>
      </c>
      <c r="G373" s="40" t="s">
        <v>570</v>
      </c>
      <c r="H373" s="38">
        <f t="shared" si="10"/>
        <v>1</v>
      </c>
      <c r="I373" s="41" t="str">
        <f t="shared" si="11"/>
        <v>Only YAKE</v>
      </c>
      <c r="K373" s="32"/>
      <c r="L373" s="32"/>
      <c r="M373" s="32"/>
      <c r="N373" s="32"/>
      <c r="O373" s="32"/>
      <c r="P373" s="32"/>
    </row>
    <row r="374" spans="1:16" x14ac:dyDescent="0.3">
      <c r="A374" s="38">
        <v>373</v>
      </c>
      <c r="B374" s="39" t="s">
        <v>564</v>
      </c>
      <c r="C374" s="30"/>
      <c r="D374" s="30"/>
      <c r="E374" s="30" t="s">
        <v>827</v>
      </c>
      <c r="F374" s="38" t="s">
        <v>566</v>
      </c>
      <c r="G374" s="40" t="s">
        <v>570</v>
      </c>
      <c r="H374" s="38">
        <f t="shared" si="10"/>
        <v>1</v>
      </c>
      <c r="I374" s="41" t="str">
        <f t="shared" si="11"/>
        <v>Only YAKE</v>
      </c>
      <c r="K374" s="32"/>
      <c r="L374" s="32"/>
      <c r="M374" s="32"/>
      <c r="N374" s="32"/>
      <c r="O374" s="32"/>
      <c r="P374" s="32"/>
    </row>
    <row r="375" spans="1:16" x14ac:dyDescent="0.3">
      <c r="A375" s="38">
        <v>374</v>
      </c>
      <c r="B375" s="39" t="s">
        <v>564</v>
      </c>
      <c r="C375" s="30"/>
      <c r="D375" s="30" t="s">
        <v>828</v>
      </c>
      <c r="E375" s="30"/>
      <c r="F375" s="38" t="s">
        <v>566</v>
      </c>
      <c r="G375" s="40" t="s">
        <v>570</v>
      </c>
      <c r="H375" s="38">
        <f t="shared" si="10"/>
        <v>1</v>
      </c>
      <c r="I375" s="41" t="str">
        <f t="shared" si="11"/>
        <v>Only RAKE</v>
      </c>
      <c r="K375" s="32"/>
      <c r="L375" s="32"/>
      <c r="M375" s="32"/>
      <c r="N375" s="32"/>
      <c r="O375" s="32"/>
      <c r="P375" s="32"/>
    </row>
    <row r="376" spans="1:16" x14ac:dyDescent="0.3">
      <c r="A376" s="38">
        <v>375</v>
      </c>
      <c r="B376" s="39" t="s">
        <v>564</v>
      </c>
      <c r="C376" s="30"/>
      <c r="D376" s="30"/>
      <c r="E376" s="30" t="s">
        <v>829</v>
      </c>
      <c r="F376" s="38" t="s">
        <v>566</v>
      </c>
      <c r="G376" s="40" t="s">
        <v>570</v>
      </c>
      <c r="H376" s="38">
        <f t="shared" si="10"/>
        <v>1</v>
      </c>
      <c r="I376" s="41" t="str">
        <f t="shared" si="11"/>
        <v>Only YAKE</v>
      </c>
      <c r="K376" s="32"/>
      <c r="L376" s="32"/>
      <c r="M376" s="32"/>
      <c r="N376" s="32"/>
      <c r="O376" s="32"/>
      <c r="P376" s="32"/>
    </row>
    <row r="377" spans="1:16" ht="26.4" x14ac:dyDescent="0.3">
      <c r="A377" s="38">
        <v>376</v>
      </c>
      <c r="B377" s="39" t="s">
        <v>564</v>
      </c>
      <c r="C377" s="30"/>
      <c r="D377" s="30" t="s">
        <v>830</v>
      </c>
      <c r="E377" s="30"/>
      <c r="F377" s="38" t="s">
        <v>566</v>
      </c>
      <c r="G377" s="40" t="s">
        <v>570</v>
      </c>
      <c r="H377" s="38">
        <f t="shared" si="10"/>
        <v>1</v>
      </c>
      <c r="I377" s="41" t="str">
        <f t="shared" si="11"/>
        <v>Only RAKE</v>
      </c>
      <c r="K377" s="32"/>
      <c r="L377" s="32"/>
      <c r="M377" s="32"/>
      <c r="N377" s="32"/>
      <c r="O377" s="32"/>
      <c r="P377" s="32"/>
    </row>
    <row r="378" spans="1:16" x14ac:dyDescent="0.3">
      <c r="A378" s="38">
        <v>377</v>
      </c>
      <c r="B378" s="39" t="s">
        <v>564</v>
      </c>
      <c r="C378" s="30"/>
      <c r="D378" s="30"/>
      <c r="E378" s="30" t="s">
        <v>831</v>
      </c>
      <c r="F378" s="38" t="s">
        <v>566</v>
      </c>
      <c r="G378" s="40" t="s">
        <v>570</v>
      </c>
      <c r="H378" s="38">
        <f t="shared" si="10"/>
        <v>1</v>
      </c>
      <c r="I378" s="41" t="str">
        <f t="shared" si="11"/>
        <v>Only YAKE</v>
      </c>
      <c r="K378" s="32"/>
      <c r="L378" s="32"/>
      <c r="M378" s="32"/>
      <c r="N378" s="32"/>
      <c r="O378" s="32"/>
      <c r="P378" s="32"/>
    </row>
    <row r="379" spans="1:16" x14ac:dyDescent="0.3">
      <c r="A379" s="38">
        <v>378</v>
      </c>
      <c r="B379" s="39" t="s">
        <v>564</v>
      </c>
      <c r="C379" s="30"/>
      <c r="D379" s="30" t="s">
        <v>832</v>
      </c>
      <c r="E379" s="30"/>
      <c r="F379" s="38" t="s">
        <v>566</v>
      </c>
      <c r="G379" s="40" t="s">
        <v>570</v>
      </c>
      <c r="H379" s="38">
        <f t="shared" si="10"/>
        <v>1</v>
      </c>
      <c r="I379" s="41" t="str">
        <f t="shared" si="11"/>
        <v>Only RAKE</v>
      </c>
      <c r="K379" s="32"/>
      <c r="L379" s="32"/>
      <c r="M379" s="32"/>
      <c r="N379" s="32"/>
      <c r="O379" s="32"/>
      <c r="P379" s="32"/>
    </row>
    <row r="380" spans="1:16" x14ac:dyDescent="0.3">
      <c r="A380" s="38">
        <v>379</v>
      </c>
      <c r="B380" s="39" t="s">
        <v>564</v>
      </c>
      <c r="C380" s="30"/>
      <c r="D380" s="30" t="s">
        <v>833</v>
      </c>
      <c r="E380" s="30"/>
      <c r="F380" s="38" t="s">
        <v>566</v>
      </c>
      <c r="G380" s="40" t="s">
        <v>570</v>
      </c>
      <c r="H380" s="38">
        <f t="shared" si="10"/>
        <v>1</v>
      </c>
      <c r="I380" s="41" t="str">
        <f t="shared" si="11"/>
        <v>Only RAKE</v>
      </c>
      <c r="K380" s="32"/>
      <c r="L380" s="32"/>
      <c r="M380" s="32"/>
      <c r="N380" s="32"/>
      <c r="O380" s="32"/>
      <c r="P380" s="32"/>
    </row>
    <row r="381" spans="1:16" x14ac:dyDescent="0.3">
      <c r="A381" s="38">
        <v>380</v>
      </c>
      <c r="B381" s="39" t="s">
        <v>564</v>
      </c>
      <c r="C381" s="30" t="s">
        <v>834</v>
      </c>
      <c r="D381" s="30"/>
      <c r="E381" s="30"/>
      <c r="F381" s="38" t="s">
        <v>566</v>
      </c>
      <c r="G381" s="40" t="s">
        <v>570</v>
      </c>
      <c r="H381" s="38">
        <f t="shared" si="10"/>
        <v>1</v>
      </c>
      <c r="I381" s="41" t="str">
        <f t="shared" si="11"/>
        <v>Only Gemini</v>
      </c>
      <c r="K381" s="32"/>
      <c r="L381" s="32"/>
      <c r="M381" s="32"/>
      <c r="N381" s="32"/>
      <c r="O381" s="32"/>
      <c r="P381" s="32"/>
    </row>
    <row r="382" spans="1:16" x14ac:dyDescent="0.3">
      <c r="A382" s="38">
        <v>381</v>
      </c>
      <c r="B382" s="39" t="s">
        <v>564</v>
      </c>
      <c r="C382" s="30" t="s">
        <v>835</v>
      </c>
      <c r="D382" s="30"/>
      <c r="E382" s="30"/>
      <c r="F382" s="38" t="s">
        <v>566</v>
      </c>
      <c r="G382" s="40" t="s">
        <v>570</v>
      </c>
      <c r="H382" s="38">
        <f t="shared" si="10"/>
        <v>1</v>
      </c>
      <c r="I382" s="41" t="str">
        <f t="shared" si="11"/>
        <v>Only Gemini</v>
      </c>
      <c r="K382" s="32"/>
      <c r="L382" s="32"/>
      <c r="M382" s="32"/>
      <c r="N382" s="32"/>
      <c r="O382" s="32"/>
      <c r="P382" s="32"/>
    </row>
    <row r="383" spans="1:16" x14ac:dyDescent="0.3">
      <c r="A383" s="38">
        <v>382</v>
      </c>
      <c r="B383" s="39" t="s">
        <v>564</v>
      </c>
      <c r="C383" s="30" t="s">
        <v>836</v>
      </c>
      <c r="D383" s="30"/>
      <c r="E383" s="30"/>
      <c r="F383" s="38" t="s">
        <v>566</v>
      </c>
      <c r="G383" s="40" t="s">
        <v>570</v>
      </c>
      <c r="H383" s="38">
        <f t="shared" si="10"/>
        <v>1</v>
      </c>
      <c r="I383" s="41" t="str">
        <f t="shared" si="11"/>
        <v>Only Gemini</v>
      </c>
      <c r="K383" s="32"/>
      <c r="L383" s="32"/>
      <c r="M383" s="32"/>
      <c r="N383" s="32"/>
      <c r="O383" s="32"/>
      <c r="P383" s="32"/>
    </row>
    <row r="384" spans="1:16" x14ac:dyDescent="0.3">
      <c r="A384" s="38">
        <v>383</v>
      </c>
      <c r="B384" s="39" t="s">
        <v>564</v>
      </c>
      <c r="C384" s="30" t="s">
        <v>837</v>
      </c>
      <c r="D384" s="30"/>
      <c r="E384" s="30"/>
      <c r="F384" s="38" t="s">
        <v>566</v>
      </c>
      <c r="G384" s="40" t="s">
        <v>570</v>
      </c>
      <c r="H384" s="38">
        <f t="shared" si="10"/>
        <v>1</v>
      </c>
      <c r="I384" s="41" t="str">
        <f t="shared" si="11"/>
        <v>Only Gemini</v>
      </c>
      <c r="K384" s="32"/>
      <c r="L384" s="32"/>
      <c r="M384" s="32"/>
      <c r="N384" s="32"/>
      <c r="O384" s="32"/>
      <c r="P384" s="32"/>
    </row>
    <row r="385" spans="1:16" x14ac:dyDescent="0.3">
      <c r="A385" s="38">
        <v>384</v>
      </c>
      <c r="B385" s="39" t="s">
        <v>564</v>
      </c>
      <c r="C385" s="30" t="s">
        <v>838</v>
      </c>
      <c r="D385" s="30"/>
      <c r="E385" s="30"/>
      <c r="F385" s="38" t="s">
        <v>566</v>
      </c>
      <c r="G385" s="40" t="s">
        <v>570</v>
      </c>
      <c r="H385" s="38">
        <f t="shared" si="10"/>
        <v>1</v>
      </c>
      <c r="I385" s="41" t="str">
        <f t="shared" si="11"/>
        <v>Only Gemini</v>
      </c>
      <c r="K385" s="32"/>
      <c r="L385" s="32"/>
      <c r="M385" s="32"/>
      <c r="N385" s="32"/>
      <c r="O385" s="32"/>
      <c r="P385" s="32"/>
    </row>
    <row r="386" spans="1:16" x14ac:dyDescent="0.3">
      <c r="A386" s="38">
        <v>385</v>
      </c>
      <c r="B386" s="39" t="s">
        <v>564</v>
      </c>
      <c r="C386" s="30"/>
      <c r="D386" s="30"/>
      <c r="E386" s="30" t="s">
        <v>839</v>
      </c>
      <c r="F386" s="38" t="s">
        <v>566</v>
      </c>
      <c r="G386" s="40" t="s">
        <v>570</v>
      </c>
      <c r="H386" s="38">
        <f t="shared" ref="H386:H449" si="12">COUNTIF(C386:E386,"?*")</f>
        <v>1</v>
      </c>
      <c r="I386" s="41" t="str">
        <f t="shared" ref="I386:I449" si="13">IF(H386=0,"None",IF(H386=3,"All three",IF(H386=1,"Only "&amp;TRIM(IF(C386&lt;&gt;"","Gemini ","")&amp;IF(D386&lt;&gt;"","RAKE ","")&amp;IF(E386&lt;&gt;"","YAKE","")),SUBSTITUTE(TRIM(IF(C386&lt;&gt;"","Gemini ","")&amp;IF(D386&lt;&gt;"","RAKE ","")&amp;IF(E386&lt;&gt;"","YAKE",""))," "," + "))))</f>
        <v>Only YAKE</v>
      </c>
      <c r="K386" s="32"/>
      <c r="L386" s="32"/>
      <c r="M386" s="32"/>
      <c r="N386" s="32"/>
      <c r="O386" s="32"/>
      <c r="P386" s="32"/>
    </row>
    <row r="387" spans="1:16" x14ac:dyDescent="0.3">
      <c r="A387" s="38">
        <v>386</v>
      </c>
      <c r="B387" s="39" t="s">
        <v>564</v>
      </c>
      <c r="C387" s="30"/>
      <c r="D387" s="30" t="s">
        <v>840</v>
      </c>
      <c r="E387" s="30"/>
      <c r="F387" s="38" t="s">
        <v>566</v>
      </c>
      <c r="G387" s="40" t="s">
        <v>570</v>
      </c>
      <c r="H387" s="38">
        <f t="shared" si="12"/>
        <v>1</v>
      </c>
      <c r="I387" s="41" t="str">
        <f t="shared" si="13"/>
        <v>Only RAKE</v>
      </c>
      <c r="K387" s="32"/>
      <c r="L387" s="32"/>
      <c r="M387" s="32"/>
      <c r="N387" s="32"/>
      <c r="O387" s="32"/>
      <c r="P387" s="32"/>
    </row>
    <row r="388" spans="1:16" x14ac:dyDescent="0.3">
      <c r="A388" s="38">
        <v>387</v>
      </c>
      <c r="B388" s="39" t="s">
        <v>564</v>
      </c>
      <c r="C388" s="30"/>
      <c r="D388" s="30"/>
      <c r="E388" s="30" t="s">
        <v>841</v>
      </c>
      <c r="F388" s="38" t="s">
        <v>566</v>
      </c>
      <c r="G388" s="40" t="s">
        <v>570</v>
      </c>
      <c r="H388" s="38">
        <f t="shared" si="12"/>
        <v>1</v>
      </c>
      <c r="I388" s="41" t="str">
        <f t="shared" si="13"/>
        <v>Only YAKE</v>
      </c>
      <c r="K388" s="32"/>
      <c r="L388" s="32"/>
      <c r="M388" s="32"/>
      <c r="N388" s="32"/>
      <c r="O388" s="32"/>
      <c r="P388" s="32"/>
    </row>
    <row r="389" spans="1:16" x14ac:dyDescent="0.3">
      <c r="A389" s="38">
        <v>388</v>
      </c>
      <c r="B389" s="39" t="s">
        <v>564</v>
      </c>
      <c r="C389" s="30"/>
      <c r="D389" s="30"/>
      <c r="E389" s="30" t="s">
        <v>842</v>
      </c>
      <c r="F389" s="38" t="s">
        <v>566</v>
      </c>
      <c r="G389" s="40" t="s">
        <v>570</v>
      </c>
      <c r="H389" s="38">
        <f t="shared" si="12"/>
        <v>1</v>
      </c>
      <c r="I389" s="41" t="str">
        <f t="shared" si="13"/>
        <v>Only YAKE</v>
      </c>
      <c r="K389" s="32"/>
      <c r="L389" s="32"/>
      <c r="M389" s="32"/>
      <c r="N389" s="32"/>
      <c r="O389" s="32"/>
      <c r="P389" s="32"/>
    </row>
    <row r="390" spans="1:16" x14ac:dyDescent="0.3">
      <c r="A390" s="38">
        <v>389</v>
      </c>
      <c r="B390" s="39" t="s">
        <v>564</v>
      </c>
      <c r="C390" s="30"/>
      <c r="D390" s="30"/>
      <c r="E390" s="30" t="s">
        <v>843</v>
      </c>
      <c r="F390" s="38" t="s">
        <v>566</v>
      </c>
      <c r="G390" s="40" t="s">
        <v>570</v>
      </c>
      <c r="H390" s="38">
        <f t="shared" si="12"/>
        <v>1</v>
      </c>
      <c r="I390" s="41" t="str">
        <f t="shared" si="13"/>
        <v>Only YAKE</v>
      </c>
      <c r="K390" s="32"/>
      <c r="L390" s="32"/>
      <c r="M390" s="32"/>
      <c r="N390" s="32"/>
      <c r="O390" s="32"/>
      <c r="P390" s="32"/>
    </row>
    <row r="391" spans="1:16" x14ac:dyDescent="0.3">
      <c r="A391" s="38">
        <v>390</v>
      </c>
      <c r="B391" s="39" t="s">
        <v>564</v>
      </c>
      <c r="C391" s="30"/>
      <c r="D391" s="30" t="s">
        <v>844</v>
      </c>
      <c r="E391" s="30"/>
      <c r="F391" s="38" t="s">
        <v>566</v>
      </c>
      <c r="G391" s="40" t="s">
        <v>570</v>
      </c>
      <c r="H391" s="38">
        <f t="shared" si="12"/>
        <v>1</v>
      </c>
      <c r="I391" s="41" t="str">
        <f t="shared" si="13"/>
        <v>Only RAKE</v>
      </c>
      <c r="K391" s="32"/>
      <c r="L391" s="32"/>
      <c r="M391" s="32"/>
      <c r="N391" s="32"/>
      <c r="O391" s="32"/>
      <c r="P391" s="32"/>
    </row>
    <row r="392" spans="1:16" x14ac:dyDescent="0.3">
      <c r="A392" s="38">
        <v>391</v>
      </c>
      <c r="B392" s="39" t="s">
        <v>564</v>
      </c>
      <c r="C392" s="30"/>
      <c r="D392" s="30"/>
      <c r="E392" s="30" t="s">
        <v>845</v>
      </c>
      <c r="F392" s="38" t="s">
        <v>566</v>
      </c>
      <c r="G392" s="40" t="s">
        <v>570</v>
      </c>
      <c r="H392" s="38">
        <f t="shared" si="12"/>
        <v>1</v>
      </c>
      <c r="I392" s="41" t="str">
        <f t="shared" si="13"/>
        <v>Only YAKE</v>
      </c>
      <c r="K392" s="32"/>
      <c r="L392" s="32"/>
      <c r="M392" s="32"/>
      <c r="N392" s="32"/>
      <c r="O392" s="32"/>
      <c r="P392" s="32"/>
    </row>
    <row r="393" spans="1:16" x14ac:dyDescent="0.3">
      <c r="A393" s="38">
        <v>392</v>
      </c>
      <c r="B393" s="39" t="s">
        <v>564</v>
      </c>
      <c r="C393" s="30"/>
      <c r="D393" s="30"/>
      <c r="E393" s="30" t="s">
        <v>846</v>
      </c>
      <c r="F393" s="38" t="s">
        <v>566</v>
      </c>
      <c r="G393" s="40" t="s">
        <v>570</v>
      </c>
      <c r="H393" s="38">
        <f t="shared" si="12"/>
        <v>1</v>
      </c>
      <c r="I393" s="41" t="str">
        <f t="shared" si="13"/>
        <v>Only YAKE</v>
      </c>
      <c r="K393" s="32"/>
      <c r="L393" s="32"/>
      <c r="M393" s="32"/>
      <c r="N393" s="32"/>
      <c r="O393" s="32"/>
      <c r="P393" s="32"/>
    </row>
    <row r="394" spans="1:16" x14ac:dyDescent="0.3">
      <c r="A394" s="38">
        <v>393</v>
      </c>
      <c r="B394" s="39" t="s">
        <v>564</v>
      </c>
      <c r="C394" s="30"/>
      <c r="D394" s="30"/>
      <c r="E394" s="30" t="s">
        <v>847</v>
      </c>
      <c r="F394" s="38" t="s">
        <v>566</v>
      </c>
      <c r="G394" s="40" t="s">
        <v>570</v>
      </c>
      <c r="H394" s="38">
        <f t="shared" si="12"/>
        <v>1</v>
      </c>
      <c r="I394" s="41" t="str">
        <f t="shared" si="13"/>
        <v>Only YAKE</v>
      </c>
      <c r="K394" s="32"/>
      <c r="L394" s="32"/>
      <c r="M394" s="32"/>
      <c r="N394" s="32"/>
      <c r="O394" s="32"/>
      <c r="P394" s="32"/>
    </row>
    <row r="395" spans="1:16" x14ac:dyDescent="0.3">
      <c r="A395" s="38">
        <v>394</v>
      </c>
      <c r="B395" s="39" t="s">
        <v>564</v>
      </c>
      <c r="C395" s="30"/>
      <c r="D395" s="30"/>
      <c r="E395" s="30" t="s">
        <v>848</v>
      </c>
      <c r="F395" s="38" t="s">
        <v>566</v>
      </c>
      <c r="G395" s="40" t="s">
        <v>570</v>
      </c>
      <c r="H395" s="38">
        <f t="shared" si="12"/>
        <v>1</v>
      </c>
      <c r="I395" s="41" t="str">
        <f t="shared" si="13"/>
        <v>Only YAKE</v>
      </c>
      <c r="K395" s="32"/>
      <c r="L395" s="32"/>
      <c r="M395" s="32"/>
      <c r="N395" s="32"/>
      <c r="O395" s="32"/>
      <c r="P395" s="32"/>
    </row>
    <row r="396" spans="1:16" x14ac:dyDescent="0.3">
      <c r="A396" s="38">
        <v>395</v>
      </c>
      <c r="B396" s="39" t="s">
        <v>564</v>
      </c>
      <c r="C396" s="30"/>
      <c r="D396" s="30" t="s">
        <v>849</v>
      </c>
      <c r="E396" s="30"/>
      <c r="F396" s="38" t="s">
        <v>566</v>
      </c>
      <c r="G396" s="40" t="s">
        <v>570</v>
      </c>
      <c r="H396" s="38">
        <f t="shared" si="12"/>
        <v>1</v>
      </c>
      <c r="I396" s="41" t="str">
        <f t="shared" si="13"/>
        <v>Only RAKE</v>
      </c>
      <c r="K396" s="32"/>
      <c r="L396" s="32"/>
      <c r="M396" s="32"/>
      <c r="N396" s="32"/>
      <c r="O396" s="32"/>
      <c r="P396" s="32"/>
    </row>
    <row r="397" spans="1:16" x14ac:dyDescent="0.3">
      <c r="A397" s="38">
        <v>396</v>
      </c>
      <c r="B397" s="39" t="s">
        <v>564</v>
      </c>
      <c r="C397" s="30"/>
      <c r="D397" s="30"/>
      <c r="E397" s="30" t="s">
        <v>850</v>
      </c>
      <c r="F397" s="38" t="s">
        <v>566</v>
      </c>
      <c r="G397" s="40" t="s">
        <v>570</v>
      </c>
      <c r="H397" s="38">
        <f t="shared" si="12"/>
        <v>1</v>
      </c>
      <c r="I397" s="41" t="str">
        <f t="shared" si="13"/>
        <v>Only YAKE</v>
      </c>
      <c r="K397" s="32"/>
      <c r="L397" s="32"/>
      <c r="M397" s="32"/>
      <c r="N397" s="32"/>
      <c r="O397" s="32"/>
      <c r="P397" s="32"/>
    </row>
    <row r="398" spans="1:16" x14ac:dyDescent="0.3">
      <c r="A398" s="38">
        <v>397</v>
      </c>
      <c r="B398" s="39" t="s">
        <v>564</v>
      </c>
      <c r="C398" s="30"/>
      <c r="D398" s="30"/>
      <c r="E398" s="30" t="s">
        <v>851</v>
      </c>
      <c r="F398" s="38" t="s">
        <v>566</v>
      </c>
      <c r="G398" s="40" t="s">
        <v>570</v>
      </c>
      <c r="H398" s="38">
        <f t="shared" si="12"/>
        <v>1</v>
      </c>
      <c r="I398" s="41" t="str">
        <f t="shared" si="13"/>
        <v>Only YAKE</v>
      </c>
      <c r="K398" s="32"/>
      <c r="L398" s="32"/>
      <c r="M398" s="32"/>
      <c r="N398" s="32"/>
      <c r="O398" s="32"/>
      <c r="P398" s="32"/>
    </row>
    <row r="399" spans="1:16" x14ac:dyDescent="0.3">
      <c r="A399" s="38">
        <v>398</v>
      </c>
      <c r="B399" s="39" t="s">
        <v>564</v>
      </c>
      <c r="C399" s="30"/>
      <c r="D399" s="30" t="s">
        <v>852</v>
      </c>
      <c r="E399" s="30"/>
      <c r="F399" s="38" t="s">
        <v>566</v>
      </c>
      <c r="G399" s="40" t="s">
        <v>570</v>
      </c>
      <c r="H399" s="38">
        <f t="shared" si="12"/>
        <v>1</v>
      </c>
      <c r="I399" s="41" t="str">
        <f t="shared" si="13"/>
        <v>Only RAKE</v>
      </c>
      <c r="K399" s="32"/>
      <c r="L399" s="32"/>
      <c r="M399" s="32"/>
      <c r="N399" s="32"/>
      <c r="O399" s="32"/>
      <c r="P399" s="32"/>
    </row>
    <row r="400" spans="1:16" x14ac:dyDescent="0.3">
      <c r="A400" s="38">
        <v>399</v>
      </c>
      <c r="B400" s="39" t="s">
        <v>564</v>
      </c>
      <c r="C400" s="30"/>
      <c r="D400" s="30" t="s">
        <v>853</v>
      </c>
      <c r="E400" s="30"/>
      <c r="F400" s="38" t="s">
        <v>566</v>
      </c>
      <c r="G400" s="40" t="s">
        <v>570</v>
      </c>
      <c r="H400" s="38">
        <f t="shared" si="12"/>
        <v>1</v>
      </c>
      <c r="I400" s="41" t="str">
        <f t="shared" si="13"/>
        <v>Only RAKE</v>
      </c>
      <c r="K400" s="32"/>
      <c r="L400" s="32"/>
      <c r="M400" s="32"/>
      <c r="N400" s="32"/>
      <c r="O400" s="32"/>
      <c r="P400" s="32"/>
    </row>
    <row r="401" spans="1:16" x14ac:dyDescent="0.3">
      <c r="A401" s="38">
        <v>400</v>
      </c>
      <c r="B401" s="39" t="s">
        <v>564</v>
      </c>
      <c r="C401" s="30"/>
      <c r="D401" s="30" t="s">
        <v>854</v>
      </c>
      <c r="E401" s="30"/>
      <c r="F401" s="38" t="s">
        <v>566</v>
      </c>
      <c r="G401" s="40" t="s">
        <v>570</v>
      </c>
      <c r="H401" s="38">
        <f t="shared" si="12"/>
        <v>1</v>
      </c>
      <c r="I401" s="41" t="str">
        <f t="shared" si="13"/>
        <v>Only RAKE</v>
      </c>
      <c r="K401" s="32"/>
      <c r="L401" s="32"/>
      <c r="M401" s="32"/>
      <c r="N401" s="32"/>
      <c r="O401" s="32"/>
      <c r="P401" s="32"/>
    </row>
    <row r="402" spans="1:16" x14ac:dyDescent="0.3">
      <c r="A402" s="38">
        <v>401</v>
      </c>
      <c r="B402" s="39" t="s">
        <v>564</v>
      </c>
      <c r="C402" s="30"/>
      <c r="D402" s="30"/>
      <c r="E402" s="30" t="s">
        <v>855</v>
      </c>
      <c r="F402" s="38" t="s">
        <v>566</v>
      </c>
      <c r="G402" s="40" t="s">
        <v>570</v>
      </c>
      <c r="H402" s="38">
        <f t="shared" si="12"/>
        <v>1</v>
      </c>
      <c r="I402" s="41" t="str">
        <f t="shared" si="13"/>
        <v>Only YAKE</v>
      </c>
      <c r="K402" s="32"/>
      <c r="L402" s="32"/>
      <c r="M402" s="32"/>
      <c r="N402" s="32"/>
      <c r="O402" s="32"/>
      <c r="P402" s="32"/>
    </row>
    <row r="403" spans="1:16" x14ac:dyDescent="0.3">
      <c r="A403" s="38">
        <v>402</v>
      </c>
      <c r="B403" s="39" t="s">
        <v>564</v>
      </c>
      <c r="C403" s="30"/>
      <c r="D403" s="30" t="s">
        <v>856</v>
      </c>
      <c r="E403" s="30"/>
      <c r="F403" s="38" t="s">
        <v>566</v>
      </c>
      <c r="G403" s="40" t="s">
        <v>570</v>
      </c>
      <c r="H403" s="38">
        <f t="shared" si="12"/>
        <v>1</v>
      </c>
      <c r="I403" s="41" t="str">
        <f t="shared" si="13"/>
        <v>Only RAKE</v>
      </c>
      <c r="K403" s="32"/>
      <c r="L403" s="32"/>
      <c r="M403" s="32"/>
      <c r="N403" s="32"/>
      <c r="O403" s="32"/>
      <c r="P403" s="32"/>
    </row>
    <row r="404" spans="1:16" x14ac:dyDescent="0.3">
      <c r="A404" s="38">
        <v>403</v>
      </c>
      <c r="B404" s="39" t="s">
        <v>564</v>
      </c>
      <c r="C404" s="30"/>
      <c r="D404" s="30" t="s">
        <v>857</v>
      </c>
      <c r="E404" s="30"/>
      <c r="F404" s="38" t="s">
        <v>566</v>
      </c>
      <c r="G404" s="40" t="s">
        <v>570</v>
      </c>
      <c r="H404" s="38">
        <f t="shared" si="12"/>
        <v>1</v>
      </c>
      <c r="I404" s="41" t="str">
        <f t="shared" si="13"/>
        <v>Only RAKE</v>
      </c>
      <c r="K404" s="32"/>
      <c r="L404" s="32"/>
      <c r="M404" s="32"/>
      <c r="N404" s="32"/>
      <c r="O404" s="32"/>
      <c r="P404" s="32"/>
    </row>
    <row r="405" spans="1:16" x14ac:dyDescent="0.3">
      <c r="A405" s="38">
        <v>404</v>
      </c>
      <c r="B405" s="39" t="s">
        <v>564</v>
      </c>
      <c r="C405" s="30"/>
      <c r="D405" s="30"/>
      <c r="E405" s="30" t="s">
        <v>858</v>
      </c>
      <c r="F405" s="38" t="s">
        <v>566</v>
      </c>
      <c r="G405" s="40" t="s">
        <v>570</v>
      </c>
      <c r="H405" s="38">
        <f t="shared" si="12"/>
        <v>1</v>
      </c>
      <c r="I405" s="41" t="str">
        <f t="shared" si="13"/>
        <v>Only YAKE</v>
      </c>
      <c r="K405" s="32"/>
      <c r="L405" s="32"/>
      <c r="M405" s="32"/>
      <c r="N405" s="32"/>
      <c r="O405" s="32"/>
      <c r="P405" s="32"/>
    </row>
    <row r="406" spans="1:16" x14ac:dyDescent="0.3">
      <c r="A406" s="38">
        <v>405</v>
      </c>
      <c r="B406" s="39" t="s">
        <v>564</v>
      </c>
      <c r="C406" s="30"/>
      <c r="D406" s="30"/>
      <c r="E406" s="30" t="s">
        <v>859</v>
      </c>
      <c r="F406" s="38" t="s">
        <v>566</v>
      </c>
      <c r="G406" s="40" t="s">
        <v>570</v>
      </c>
      <c r="H406" s="38">
        <f t="shared" si="12"/>
        <v>1</v>
      </c>
      <c r="I406" s="41" t="str">
        <f t="shared" si="13"/>
        <v>Only YAKE</v>
      </c>
      <c r="K406" s="32"/>
      <c r="L406" s="32"/>
      <c r="M406" s="32"/>
      <c r="N406" s="32"/>
      <c r="O406" s="32"/>
      <c r="P406" s="32"/>
    </row>
    <row r="407" spans="1:16" x14ac:dyDescent="0.3">
      <c r="A407" s="38">
        <v>406</v>
      </c>
      <c r="B407" s="39" t="s">
        <v>564</v>
      </c>
      <c r="C407" s="30"/>
      <c r="D407" s="30"/>
      <c r="E407" s="30" t="s">
        <v>860</v>
      </c>
      <c r="F407" s="38" t="s">
        <v>566</v>
      </c>
      <c r="G407" s="40" t="s">
        <v>570</v>
      </c>
      <c r="H407" s="38">
        <f t="shared" si="12"/>
        <v>1</v>
      </c>
      <c r="I407" s="41" t="str">
        <f t="shared" si="13"/>
        <v>Only YAKE</v>
      </c>
      <c r="K407" s="32"/>
      <c r="L407" s="32"/>
      <c r="M407" s="32"/>
      <c r="N407" s="32"/>
      <c r="O407" s="32"/>
      <c r="P407" s="32"/>
    </row>
    <row r="408" spans="1:16" x14ac:dyDescent="0.3">
      <c r="A408" s="38">
        <v>407</v>
      </c>
      <c r="B408" s="39" t="s">
        <v>564</v>
      </c>
      <c r="C408" s="30"/>
      <c r="D408" s="30"/>
      <c r="E408" s="30" t="s">
        <v>861</v>
      </c>
      <c r="F408" s="38" t="s">
        <v>566</v>
      </c>
      <c r="G408" s="40" t="s">
        <v>570</v>
      </c>
      <c r="H408" s="38">
        <f t="shared" si="12"/>
        <v>1</v>
      </c>
      <c r="I408" s="41" t="str">
        <f t="shared" si="13"/>
        <v>Only YAKE</v>
      </c>
      <c r="K408" s="32"/>
      <c r="L408" s="32"/>
      <c r="M408" s="32"/>
      <c r="N408" s="32"/>
      <c r="O408" s="32"/>
      <c r="P408" s="32"/>
    </row>
    <row r="409" spans="1:16" x14ac:dyDescent="0.3">
      <c r="A409" s="38">
        <v>408</v>
      </c>
      <c r="B409" s="39" t="s">
        <v>564</v>
      </c>
      <c r="C409" s="30"/>
      <c r="D409" s="30"/>
      <c r="E409" s="30" t="s">
        <v>862</v>
      </c>
      <c r="F409" s="38" t="s">
        <v>566</v>
      </c>
      <c r="G409" s="40" t="s">
        <v>570</v>
      </c>
      <c r="H409" s="38">
        <f t="shared" si="12"/>
        <v>1</v>
      </c>
      <c r="I409" s="41" t="str">
        <f t="shared" si="13"/>
        <v>Only YAKE</v>
      </c>
      <c r="K409" s="32"/>
      <c r="L409" s="32"/>
      <c r="M409" s="32"/>
      <c r="N409" s="32"/>
      <c r="O409" s="32"/>
      <c r="P409" s="32"/>
    </row>
    <row r="410" spans="1:16" x14ac:dyDescent="0.3">
      <c r="A410" s="38">
        <v>409</v>
      </c>
      <c r="B410" s="39" t="s">
        <v>564</v>
      </c>
      <c r="C410" s="30"/>
      <c r="D410" s="30"/>
      <c r="E410" s="30" t="s">
        <v>863</v>
      </c>
      <c r="F410" s="38" t="s">
        <v>566</v>
      </c>
      <c r="G410" s="40" t="s">
        <v>570</v>
      </c>
      <c r="H410" s="38">
        <f t="shared" si="12"/>
        <v>1</v>
      </c>
      <c r="I410" s="41" t="str">
        <f t="shared" si="13"/>
        <v>Only YAKE</v>
      </c>
      <c r="K410" s="32"/>
      <c r="L410" s="32"/>
      <c r="M410" s="32"/>
      <c r="N410" s="32"/>
      <c r="O410" s="32"/>
      <c r="P410" s="32"/>
    </row>
    <row r="411" spans="1:16" x14ac:dyDescent="0.3">
      <c r="A411" s="38">
        <v>410</v>
      </c>
      <c r="B411" s="39" t="s">
        <v>564</v>
      </c>
      <c r="C411" s="30"/>
      <c r="D411" s="30"/>
      <c r="E411" s="30" t="s">
        <v>864</v>
      </c>
      <c r="F411" s="38" t="s">
        <v>566</v>
      </c>
      <c r="G411" s="40" t="s">
        <v>570</v>
      </c>
      <c r="H411" s="38">
        <f t="shared" si="12"/>
        <v>1</v>
      </c>
      <c r="I411" s="41" t="str">
        <f t="shared" si="13"/>
        <v>Only YAKE</v>
      </c>
      <c r="K411" s="32"/>
      <c r="L411" s="32"/>
      <c r="M411" s="32"/>
      <c r="N411" s="32"/>
      <c r="O411" s="32"/>
      <c r="P411" s="32"/>
    </row>
    <row r="412" spans="1:16" x14ac:dyDescent="0.3">
      <c r="A412" s="38">
        <v>411</v>
      </c>
      <c r="B412" s="39" t="s">
        <v>564</v>
      </c>
      <c r="C412" s="30"/>
      <c r="D412" s="30" t="s">
        <v>865</v>
      </c>
      <c r="E412" s="30"/>
      <c r="F412" s="38" t="s">
        <v>566</v>
      </c>
      <c r="G412" s="40" t="s">
        <v>570</v>
      </c>
      <c r="H412" s="38">
        <f t="shared" si="12"/>
        <v>1</v>
      </c>
      <c r="I412" s="41" t="str">
        <f t="shared" si="13"/>
        <v>Only RAKE</v>
      </c>
      <c r="K412" s="32"/>
      <c r="L412" s="32"/>
      <c r="M412" s="32"/>
      <c r="N412" s="32"/>
      <c r="O412" s="32"/>
      <c r="P412" s="32"/>
    </row>
    <row r="413" spans="1:16" x14ac:dyDescent="0.3">
      <c r="A413" s="38">
        <v>412</v>
      </c>
      <c r="B413" s="39" t="s">
        <v>564</v>
      </c>
      <c r="C413" s="30"/>
      <c r="D413" s="30" t="s">
        <v>866</v>
      </c>
      <c r="E413" s="30"/>
      <c r="F413" s="38" t="s">
        <v>566</v>
      </c>
      <c r="G413" s="40" t="s">
        <v>570</v>
      </c>
      <c r="H413" s="38">
        <f t="shared" si="12"/>
        <v>1</v>
      </c>
      <c r="I413" s="41" t="str">
        <f t="shared" si="13"/>
        <v>Only RAKE</v>
      </c>
      <c r="K413" s="32"/>
      <c r="L413" s="32"/>
      <c r="M413" s="32"/>
      <c r="N413" s="32"/>
      <c r="O413" s="32"/>
      <c r="P413" s="32"/>
    </row>
    <row r="414" spans="1:16" x14ac:dyDescent="0.3">
      <c r="A414" s="38">
        <v>413</v>
      </c>
      <c r="B414" s="39" t="s">
        <v>564</v>
      </c>
      <c r="C414" s="30"/>
      <c r="D414" s="30" t="s">
        <v>867</v>
      </c>
      <c r="E414" s="30"/>
      <c r="F414" s="38" t="s">
        <v>566</v>
      </c>
      <c r="G414" s="40" t="s">
        <v>570</v>
      </c>
      <c r="H414" s="38">
        <f t="shared" si="12"/>
        <v>1</v>
      </c>
      <c r="I414" s="41" t="str">
        <f t="shared" si="13"/>
        <v>Only RAKE</v>
      </c>
      <c r="K414" s="32"/>
      <c r="L414" s="32"/>
      <c r="M414" s="32"/>
      <c r="N414" s="32"/>
      <c r="O414" s="32"/>
      <c r="P414" s="32"/>
    </row>
    <row r="415" spans="1:16" x14ac:dyDescent="0.3">
      <c r="A415" s="38">
        <v>414</v>
      </c>
      <c r="B415" s="39" t="s">
        <v>564</v>
      </c>
      <c r="C415" s="30"/>
      <c r="D415" s="30"/>
      <c r="E415" s="30" t="s">
        <v>868</v>
      </c>
      <c r="F415" s="38" t="s">
        <v>566</v>
      </c>
      <c r="G415" s="40" t="s">
        <v>570</v>
      </c>
      <c r="H415" s="38">
        <f t="shared" si="12"/>
        <v>1</v>
      </c>
      <c r="I415" s="41" t="str">
        <f t="shared" si="13"/>
        <v>Only YAKE</v>
      </c>
      <c r="K415" s="32"/>
      <c r="L415" s="32"/>
      <c r="M415" s="32"/>
      <c r="N415" s="32"/>
      <c r="O415" s="32"/>
      <c r="P415" s="32"/>
    </row>
    <row r="416" spans="1:16" ht="26.4" x14ac:dyDescent="0.3">
      <c r="A416" s="38">
        <v>415</v>
      </c>
      <c r="B416" s="39" t="s">
        <v>564</v>
      </c>
      <c r="C416" s="30"/>
      <c r="D416" s="30"/>
      <c r="E416" s="30" t="s">
        <v>869</v>
      </c>
      <c r="F416" s="38" t="s">
        <v>566</v>
      </c>
      <c r="G416" s="40" t="s">
        <v>570</v>
      </c>
      <c r="H416" s="38">
        <f t="shared" si="12"/>
        <v>1</v>
      </c>
      <c r="I416" s="41" t="str">
        <f t="shared" si="13"/>
        <v>Only YAKE</v>
      </c>
      <c r="K416" s="32"/>
      <c r="L416" s="32"/>
      <c r="M416" s="32"/>
      <c r="N416" s="32"/>
      <c r="O416" s="32"/>
      <c r="P416" s="32"/>
    </row>
    <row r="417" spans="1:16" x14ac:dyDescent="0.3">
      <c r="A417" s="38">
        <v>416</v>
      </c>
      <c r="B417" s="39" t="s">
        <v>564</v>
      </c>
      <c r="C417" s="30"/>
      <c r="D417" s="30"/>
      <c r="E417" s="30" t="s">
        <v>870</v>
      </c>
      <c r="F417" s="38" t="s">
        <v>566</v>
      </c>
      <c r="G417" s="40" t="s">
        <v>570</v>
      </c>
      <c r="H417" s="38">
        <f t="shared" si="12"/>
        <v>1</v>
      </c>
      <c r="I417" s="41" t="str">
        <f t="shared" si="13"/>
        <v>Only YAKE</v>
      </c>
      <c r="K417" s="32"/>
      <c r="L417" s="32"/>
      <c r="M417" s="32"/>
      <c r="N417" s="32"/>
      <c r="O417" s="32"/>
      <c r="P417" s="32"/>
    </row>
    <row r="418" spans="1:16" x14ac:dyDescent="0.3">
      <c r="A418" s="38">
        <v>417</v>
      </c>
      <c r="B418" s="39" t="s">
        <v>564</v>
      </c>
      <c r="C418" s="30" t="s">
        <v>871</v>
      </c>
      <c r="D418" s="30"/>
      <c r="E418" s="30"/>
      <c r="F418" s="38" t="s">
        <v>566</v>
      </c>
      <c r="G418" s="40" t="s">
        <v>570</v>
      </c>
      <c r="H418" s="38">
        <f t="shared" si="12"/>
        <v>1</v>
      </c>
      <c r="I418" s="41" t="str">
        <f t="shared" si="13"/>
        <v>Only Gemini</v>
      </c>
      <c r="K418" s="32"/>
      <c r="L418" s="32"/>
      <c r="M418" s="32"/>
      <c r="N418" s="32"/>
      <c r="O418" s="32"/>
      <c r="P418" s="32"/>
    </row>
    <row r="419" spans="1:16" x14ac:dyDescent="0.3">
      <c r="A419" s="38">
        <v>418</v>
      </c>
      <c r="B419" s="39" t="s">
        <v>564</v>
      </c>
      <c r="C419" s="30"/>
      <c r="D419" s="30" t="s">
        <v>872</v>
      </c>
      <c r="E419" s="30"/>
      <c r="F419" s="38" t="s">
        <v>566</v>
      </c>
      <c r="G419" s="40" t="s">
        <v>570</v>
      </c>
      <c r="H419" s="38">
        <f t="shared" si="12"/>
        <v>1</v>
      </c>
      <c r="I419" s="41" t="str">
        <f t="shared" si="13"/>
        <v>Only RAKE</v>
      </c>
      <c r="K419" s="32"/>
      <c r="L419" s="32"/>
      <c r="M419" s="32"/>
      <c r="N419" s="32"/>
      <c r="O419" s="32"/>
      <c r="P419" s="32"/>
    </row>
    <row r="420" spans="1:16" x14ac:dyDescent="0.3">
      <c r="A420" s="38">
        <v>419</v>
      </c>
      <c r="B420" s="39" t="s">
        <v>564</v>
      </c>
      <c r="C420" s="30"/>
      <c r="D420" s="30" t="s">
        <v>873</v>
      </c>
      <c r="E420" s="30"/>
      <c r="F420" s="38" t="s">
        <v>566</v>
      </c>
      <c r="G420" s="40" t="s">
        <v>570</v>
      </c>
      <c r="H420" s="38">
        <f t="shared" si="12"/>
        <v>1</v>
      </c>
      <c r="I420" s="41" t="str">
        <f t="shared" si="13"/>
        <v>Only RAKE</v>
      </c>
      <c r="K420" s="32"/>
      <c r="L420" s="32"/>
      <c r="M420" s="32"/>
      <c r="N420" s="32"/>
      <c r="O420" s="32"/>
      <c r="P420" s="32"/>
    </row>
    <row r="421" spans="1:16" x14ac:dyDescent="0.3">
      <c r="A421" s="38">
        <v>420</v>
      </c>
      <c r="B421" s="39" t="s">
        <v>564</v>
      </c>
      <c r="C421" s="30"/>
      <c r="D421" s="30"/>
      <c r="E421" s="30" t="s">
        <v>874</v>
      </c>
      <c r="F421" s="38" t="s">
        <v>566</v>
      </c>
      <c r="G421" s="40" t="s">
        <v>570</v>
      </c>
      <c r="H421" s="38">
        <f t="shared" si="12"/>
        <v>1</v>
      </c>
      <c r="I421" s="41" t="str">
        <f t="shared" si="13"/>
        <v>Only YAKE</v>
      </c>
      <c r="K421" s="32"/>
      <c r="L421" s="32"/>
      <c r="M421" s="32"/>
      <c r="N421" s="32"/>
      <c r="O421" s="32"/>
      <c r="P421" s="32"/>
    </row>
    <row r="422" spans="1:16" x14ac:dyDescent="0.3">
      <c r="A422" s="38">
        <v>421</v>
      </c>
      <c r="B422" s="39" t="s">
        <v>564</v>
      </c>
      <c r="C422" s="30"/>
      <c r="D422" s="30"/>
      <c r="E422" s="30" t="s">
        <v>875</v>
      </c>
      <c r="F422" s="38" t="s">
        <v>566</v>
      </c>
      <c r="G422" s="40" t="s">
        <v>570</v>
      </c>
      <c r="H422" s="38">
        <f t="shared" si="12"/>
        <v>1</v>
      </c>
      <c r="I422" s="41" t="str">
        <f t="shared" si="13"/>
        <v>Only YAKE</v>
      </c>
      <c r="K422" s="32"/>
      <c r="L422" s="32"/>
      <c r="M422" s="32"/>
      <c r="N422" s="32"/>
      <c r="O422" s="32"/>
      <c r="P422" s="32"/>
    </row>
    <row r="423" spans="1:16" x14ac:dyDescent="0.3">
      <c r="A423" s="38">
        <v>422</v>
      </c>
      <c r="B423" s="39" t="s">
        <v>564</v>
      </c>
      <c r="C423" s="30"/>
      <c r="D423" s="30" t="s">
        <v>876</v>
      </c>
      <c r="E423" s="30"/>
      <c r="F423" s="38" t="s">
        <v>566</v>
      </c>
      <c r="G423" s="40" t="s">
        <v>570</v>
      </c>
      <c r="H423" s="38">
        <f t="shared" si="12"/>
        <v>1</v>
      </c>
      <c r="I423" s="41" t="str">
        <f t="shared" si="13"/>
        <v>Only RAKE</v>
      </c>
      <c r="K423" s="32"/>
      <c r="L423" s="32"/>
      <c r="M423" s="32"/>
      <c r="N423" s="32"/>
      <c r="O423" s="32"/>
      <c r="P423" s="32"/>
    </row>
    <row r="424" spans="1:16" x14ac:dyDescent="0.3">
      <c r="A424" s="38">
        <v>423</v>
      </c>
      <c r="B424" s="39" t="s">
        <v>564</v>
      </c>
      <c r="C424" s="30"/>
      <c r="D424" s="30" t="s">
        <v>877</v>
      </c>
      <c r="E424" s="30"/>
      <c r="F424" s="38" t="s">
        <v>566</v>
      </c>
      <c r="G424" s="40" t="s">
        <v>570</v>
      </c>
      <c r="H424" s="38">
        <f t="shared" si="12"/>
        <v>1</v>
      </c>
      <c r="I424" s="41" t="str">
        <f t="shared" si="13"/>
        <v>Only RAKE</v>
      </c>
      <c r="K424" s="32"/>
      <c r="L424" s="32"/>
      <c r="M424" s="32"/>
      <c r="N424" s="32"/>
      <c r="O424" s="32"/>
      <c r="P424" s="32"/>
    </row>
    <row r="425" spans="1:16" x14ac:dyDescent="0.3">
      <c r="A425" s="38">
        <v>424</v>
      </c>
      <c r="B425" s="39" t="s">
        <v>564</v>
      </c>
      <c r="C425" s="30"/>
      <c r="D425" s="30" t="s">
        <v>878</v>
      </c>
      <c r="E425" s="30"/>
      <c r="F425" s="38" t="s">
        <v>566</v>
      </c>
      <c r="G425" s="40" t="s">
        <v>570</v>
      </c>
      <c r="H425" s="38">
        <f t="shared" si="12"/>
        <v>1</v>
      </c>
      <c r="I425" s="41" t="str">
        <f t="shared" si="13"/>
        <v>Only RAKE</v>
      </c>
      <c r="K425" s="32"/>
      <c r="L425" s="32"/>
      <c r="M425" s="32"/>
      <c r="N425" s="32"/>
      <c r="O425" s="32"/>
      <c r="P425" s="32"/>
    </row>
    <row r="426" spans="1:16" x14ac:dyDescent="0.3">
      <c r="A426" s="38">
        <v>425</v>
      </c>
      <c r="B426" s="39" t="s">
        <v>564</v>
      </c>
      <c r="C426" s="30"/>
      <c r="D426" s="30" t="s">
        <v>879</v>
      </c>
      <c r="E426" s="30"/>
      <c r="F426" s="38" t="s">
        <v>566</v>
      </c>
      <c r="G426" s="40" t="s">
        <v>570</v>
      </c>
      <c r="H426" s="38">
        <f t="shared" si="12"/>
        <v>1</v>
      </c>
      <c r="I426" s="41" t="str">
        <f t="shared" si="13"/>
        <v>Only RAKE</v>
      </c>
      <c r="K426" s="32"/>
      <c r="L426" s="32"/>
      <c r="M426" s="32"/>
      <c r="N426" s="32"/>
      <c r="O426" s="32"/>
      <c r="P426" s="32"/>
    </row>
    <row r="427" spans="1:16" x14ac:dyDescent="0.3">
      <c r="A427" s="38">
        <v>426</v>
      </c>
      <c r="B427" s="39" t="s">
        <v>564</v>
      </c>
      <c r="C427" s="30"/>
      <c r="D427" s="30" t="s">
        <v>880</v>
      </c>
      <c r="E427" s="30"/>
      <c r="F427" s="38" t="s">
        <v>566</v>
      </c>
      <c r="G427" s="40" t="s">
        <v>570</v>
      </c>
      <c r="H427" s="38">
        <f t="shared" si="12"/>
        <v>1</v>
      </c>
      <c r="I427" s="41" t="str">
        <f t="shared" si="13"/>
        <v>Only RAKE</v>
      </c>
      <c r="K427" s="32"/>
      <c r="L427" s="32"/>
      <c r="M427" s="32"/>
      <c r="N427" s="32"/>
      <c r="O427" s="32"/>
      <c r="P427" s="32"/>
    </row>
    <row r="428" spans="1:16" x14ac:dyDescent="0.3">
      <c r="A428" s="38">
        <v>427</v>
      </c>
      <c r="B428" s="39" t="s">
        <v>564</v>
      </c>
      <c r="C428" s="30"/>
      <c r="D428" s="30" t="s">
        <v>881</v>
      </c>
      <c r="E428" s="30"/>
      <c r="F428" s="38" t="s">
        <v>566</v>
      </c>
      <c r="G428" s="40" t="s">
        <v>570</v>
      </c>
      <c r="H428" s="38">
        <f t="shared" si="12"/>
        <v>1</v>
      </c>
      <c r="I428" s="41" t="str">
        <f t="shared" si="13"/>
        <v>Only RAKE</v>
      </c>
      <c r="K428" s="32"/>
      <c r="L428" s="32"/>
      <c r="M428" s="32"/>
      <c r="N428" s="32"/>
      <c r="O428" s="32"/>
      <c r="P428" s="32"/>
    </row>
    <row r="429" spans="1:16" x14ac:dyDescent="0.3">
      <c r="A429" s="38">
        <v>428</v>
      </c>
      <c r="B429" s="39" t="s">
        <v>564</v>
      </c>
      <c r="C429" s="30"/>
      <c r="D429" s="30" t="s">
        <v>882</v>
      </c>
      <c r="E429" s="30"/>
      <c r="F429" s="38" t="s">
        <v>566</v>
      </c>
      <c r="G429" s="40" t="s">
        <v>570</v>
      </c>
      <c r="H429" s="38">
        <f t="shared" si="12"/>
        <v>1</v>
      </c>
      <c r="I429" s="41" t="str">
        <f t="shared" si="13"/>
        <v>Only RAKE</v>
      </c>
      <c r="K429" s="32"/>
      <c r="L429" s="32"/>
      <c r="M429" s="32"/>
      <c r="N429" s="32"/>
      <c r="O429" s="32"/>
      <c r="P429" s="32"/>
    </row>
    <row r="430" spans="1:16" x14ac:dyDescent="0.3">
      <c r="A430" s="38">
        <v>429</v>
      </c>
      <c r="B430" s="39" t="s">
        <v>564</v>
      </c>
      <c r="C430" s="30"/>
      <c r="D430" s="30" t="s">
        <v>883</v>
      </c>
      <c r="E430" s="30"/>
      <c r="F430" s="38" t="s">
        <v>566</v>
      </c>
      <c r="G430" s="40" t="s">
        <v>570</v>
      </c>
      <c r="H430" s="38">
        <f t="shared" si="12"/>
        <v>1</v>
      </c>
      <c r="I430" s="41" t="str">
        <f t="shared" si="13"/>
        <v>Only RAKE</v>
      </c>
      <c r="K430" s="32"/>
      <c r="L430" s="32"/>
      <c r="M430" s="32"/>
      <c r="N430" s="32"/>
      <c r="O430" s="32"/>
      <c r="P430" s="32"/>
    </row>
    <row r="431" spans="1:16" x14ac:dyDescent="0.3">
      <c r="A431" s="38">
        <v>430</v>
      </c>
      <c r="B431" s="39" t="s">
        <v>564</v>
      </c>
      <c r="C431" s="30"/>
      <c r="D431" s="30"/>
      <c r="E431" s="30" t="s">
        <v>884</v>
      </c>
      <c r="F431" s="38" t="s">
        <v>566</v>
      </c>
      <c r="G431" s="40" t="s">
        <v>570</v>
      </c>
      <c r="H431" s="38">
        <f t="shared" si="12"/>
        <v>1</v>
      </c>
      <c r="I431" s="41" t="str">
        <f t="shared" si="13"/>
        <v>Only YAKE</v>
      </c>
      <c r="K431" s="32"/>
      <c r="L431" s="32"/>
      <c r="M431" s="32"/>
      <c r="N431" s="32"/>
      <c r="O431" s="32"/>
      <c r="P431" s="32"/>
    </row>
    <row r="432" spans="1:16" x14ac:dyDescent="0.3">
      <c r="A432" s="38">
        <v>431</v>
      </c>
      <c r="B432" s="39" t="s">
        <v>564</v>
      </c>
      <c r="C432" s="30"/>
      <c r="D432" s="30"/>
      <c r="E432" s="30" t="s">
        <v>885</v>
      </c>
      <c r="F432" s="38" t="s">
        <v>566</v>
      </c>
      <c r="G432" s="40" t="s">
        <v>570</v>
      </c>
      <c r="H432" s="38">
        <f t="shared" si="12"/>
        <v>1</v>
      </c>
      <c r="I432" s="41" t="str">
        <f t="shared" si="13"/>
        <v>Only YAKE</v>
      </c>
      <c r="K432" s="32"/>
      <c r="L432" s="32"/>
      <c r="M432" s="32"/>
      <c r="N432" s="32"/>
      <c r="O432" s="32"/>
      <c r="P432" s="32"/>
    </row>
    <row r="433" spans="1:16" x14ac:dyDescent="0.3">
      <c r="A433" s="38">
        <v>432</v>
      </c>
      <c r="B433" s="39" t="s">
        <v>564</v>
      </c>
      <c r="C433" s="30"/>
      <c r="D433" s="30" t="s">
        <v>886</v>
      </c>
      <c r="E433" s="30"/>
      <c r="F433" s="38" t="s">
        <v>566</v>
      </c>
      <c r="G433" s="40" t="s">
        <v>570</v>
      </c>
      <c r="H433" s="38">
        <f t="shared" si="12"/>
        <v>1</v>
      </c>
      <c r="I433" s="41" t="str">
        <f t="shared" si="13"/>
        <v>Only RAKE</v>
      </c>
      <c r="K433" s="32"/>
      <c r="L433" s="32"/>
      <c r="M433" s="32"/>
      <c r="N433" s="32"/>
      <c r="O433" s="32"/>
      <c r="P433" s="32"/>
    </row>
    <row r="434" spans="1:16" x14ac:dyDescent="0.3">
      <c r="A434" s="38">
        <v>433</v>
      </c>
      <c r="B434" s="39" t="s">
        <v>564</v>
      </c>
      <c r="C434" s="30"/>
      <c r="D434" s="30" t="s">
        <v>887</v>
      </c>
      <c r="E434" s="30"/>
      <c r="F434" s="38" t="s">
        <v>566</v>
      </c>
      <c r="G434" s="40" t="s">
        <v>570</v>
      </c>
      <c r="H434" s="38">
        <f t="shared" si="12"/>
        <v>1</v>
      </c>
      <c r="I434" s="41" t="str">
        <f t="shared" si="13"/>
        <v>Only RAKE</v>
      </c>
      <c r="K434" s="32"/>
      <c r="L434" s="32"/>
      <c r="M434" s="32"/>
      <c r="N434" s="32"/>
      <c r="O434" s="32"/>
      <c r="P434" s="32"/>
    </row>
    <row r="435" spans="1:16" x14ac:dyDescent="0.3">
      <c r="A435" s="38">
        <v>434</v>
      </c>
      <c r="B435" s="39" t="s">
        <v>564</v>
      </c>
      <c r="C435" s="30"/>
      <c r="D435" s="30"/>
      <c r="E435" s="30" t="s">
        <v>888</v>
      </c>
      <c r="F435" s="38" t="s">
        <v>566</v>
      </c>
      <c r="G435" s="40" t="s">
        <v>570</v>
      </c>
      <c r="H435" s="38">
        <f t="shared" si="12"/>
        <v>1</v>
      </c>
      <c r="I435" s="41" t="str">
        <f t="shared" si="13"/>
        <v>Only YAKE</v>
      </c>
      <c r="K435" s="32"/>
      <c r="L435" s="32"/>
      <c r="M435" s="32"/>
      <c r="N435" s="32"/>
      <c r="O435" s="32"/>
      <c r="P435" s="32"/>
    </row>
    <row r="436" spans="1:16" x14ac:dyDescent="0.3">
      <c r="A436" s="38">
        <v>435</v>
      </c>
      <c r="B436" s="39" t="s">
        <v>564</v>
      </c>
      <c r="C436" s="30"/>
      <c r="D436" s="30" t="s">
        <v>889</v>
      </c>
      <c r="E436" s="30"/>
      <c r="F436" s="38" t="s">
        <v>566</v>
      </c>
      <c r="G436" s="40" t="s">
        <v>570</v>
      </c>
      <c r="H436" s="38">
        <f t="shared" si="12"/>
        <v>1</v>
      </c>
      <c r="I436" s="41" t="str">
        <f t="shared" si="13"/>
        <v>Only RAKE</v>
      </c>
      <c r="K436" s="32"/>
      <c r="L436" s="32"/>
      <c r="M436" s="32"/>
      <c r="N436" s="32"/>
      <c r="O436" s="32"/>
      <c r="P436" s="32"/>
    </row>
    <row r="437" spans="1:16" x14ac:dyDescent="0.3">
      <c r="A437" s="38">
        <v>436</v>
      </c>
      <c r="B437" s="39" t="s">
        <v>564</v>
      </c>
      <c r="C437" s="30"/>
      <c r="D437" s="30" t="s">
        <v>890</v>
      </c>
      <c r="E437" s="30"/>
      <c r="F437" s="38" t="s">
        <v>566</v>
      </c>
      <c r="G437" s="40" t="s">
        <v>570</v>
      </c>
      <c r="H437" s="38">
        <f t="shared" si="12"/>
        <v>1</v>
      </c>
      <c r="I437" s="41" t="str">
        <f t="shared" si="13"/>
        <v>Only RAKE</v>
      </c>
      <c r="K437" s="32"/>
      <c r="L437" s="32"/>
      <c r="M437" s="32"/>
      <c r="N437" s="32"/>
      <c r="O437" s="32"/>
      <c r="P437" s="32"/>
    </row>
    <row r="438" spans="1:16" x14ac:dyDescent="0.3">
      <c r="A438" s="38">
        <v>437</v>
      </c>
      <c r="B438" s="39" t="s">
        <v>564</v>
      </c>
      <c r="C438" s="30"/>
      <c r="D438" s="30" t="s">
        <v>891</v>
      </c>
      <c r="E438" s="30"/>
      <c r="F438" s="38" t="s">
        <v>566</v>
      </c>
      <c r="G438" s="40" t="s">
        <v>570</v>
      </c>
      <c r="H438" s="38">
        <f t="shared" si="12"/>
        <v>1</v>
      </c>
      <c r="I438" s="41" t="str">
        <f t="shared" si="13"/>
        <v>Only RAKE</v>
      </c>
      <c r="K438" s="32"/>
      <c r="L438" s="32"/>
      <c r="M438" s="32"/>
      <c r="N438" s="32"/>
      <c r="O438" s="32"/>
      <c r="P438" s="32"/>
    </row>
    <row r="439" spans="1:16" x14ac:dyDescent="0.3">
      <c r="A439" s="38">
        <v>438</v>
      </c>
      <c r="B439" s="39" t="s">
        <v>564</v>
      </c>
      <c r="C439" s="30"/>
      <c r="D439" s="30" t="s">
        <v>892</v>
      </c>
      <c r="E439" s="30"/>
      <c r="F439" s="38" t="s">
        <v>566</v>
      </c>
      <c r="G439" s="40" t="s">
        <v>570</v>
      </c>
      <c r="H439" s="38">
        <f t="shared" si="12"/>
        <v>1</v>
      </c>
      <c r="I439" s="41" t="str">
        <f t="shared" si="13"/>
        <v>Only RAKE</v>
      </c>
      <c r="K439" s="32"/>
      <c r="L439" s="32"/>
      <c r="M439" s="32"/>
      <c r="N439" s="32"/>
      <c r="O439" s="32"/>
      <c r="P439" s="32"/>
    </row>
    <row r="440" spans="1:16" x14ac:dyDescent="0.3">
      <c r="A440" s="38">
        <v>439</v>
      </c>
      <c r="B440" s="39" t="s">
        <v>564</v>
      </c>
      <c r="C440" s="30"/>
      <c r="D440" s="30" t="s">
        <v>893</v>
      </c>
      <c r="E440" s="30"/>
      <c r="F440" s="38" t="s">
        <v>566</v>
      </c>
      <c r="G440" s="40" t="s">
        <v>570</v>
      </c>
      <c r="H440" s="38">
        <f t="shared" si="12"/>
        <v>1</v>
      </c>
      <c r="I440" s="41" t="str">
        <f t="shared" si="13"/>
        <v>Only RAKE</v>
      </c>
      <c r="K440" s="32"/>
      <c r="L440" s="32"/>
      <c r="M440" s="32"/>
      <c r="N440" s="32"/>
      <c r="O440" s="32"/>
      <c r="P440" s="32"/>
    </row>
    <row r="441" spans="1:16" x14ac:dyDescent="0.3">
      <c r="A441" s="38">
        <v>440</v>
      </c>
      <c r="B441" s="39" t="s">
        <v>564</v>
      </c>
      <c r="C441" s="30"/>
      <c r="D441" s="30"/>
      <c r="E441" s="30" t="s">
        <v>894</v>
      </c>
      <c r="F441" s="38" t="s">
        <v>566</v>
      </c>
      <c r="G441" s="40" t="s">
        <v>570</v>
      </c>
      <c r="H441" s="38">
        <f t="shared" si="12"/>
        <v>1</v>
      </c>
      <c r="I441" s="41" t="str">
        <f t="shared" si="13"/>
        <v>Only YAKE</v>
      </c>
      <c r="K441" s="32"/>
      <c r="L441" s="32"/>
      <c r="M441" s="32"/>
      <c r="N441" s="32"/>
      <c r="O441" s="32"/>
      <c r="P441" s="32"/>
    </row>
    <row r="442" spans="1:16" x14ac:dyDescent="0.3">
      <c r="A442" s="38">
        <v>441</v>
      </c>
      <c r="B442" s="39" t="s">
        <v>564</v>
      </c>
      <c r="C442" s="30"/>
      <c r="D442" s="30"/>
      <c r="E442" s="30" t="s">
        <v>895</v>
      </c>
      <c r="F442" s="38" t="s">
        <v>566</v>
      </c>
      <c r="G442" s="40" t="s">
        <v>570</v>
      </c>
      <c r="H442" s="38">
        <f t="shared" si="12"/>
        <v>1</v>
      </c>
      <c r="I442" s="41" t="str">
        <f t="shared" si="13"/>
        <v>Only YAKE</v>
      </c>
      <c r="K442" s="32"/>
      <c r="L442" s="32"/>
      <c r="M442" s="32"/>
      <c r="N442" s="32"/>
      <c r="O442" s="32"/>
      <c r="P442" s="32"/>
    </row>
    <row r="443" spans="1:16" x14ac:dyDescent="0.3">
      <c r="A443" s="38">
        <v>442</v>
      </c>
      <c r="B443" s="39" t="s">
        <v>564</v>
      </c>
      <c r="C443" s="30"/>
      <c r="D443" s="30"/>
      <c r="E443" s="30" t="s">
        <v>896</v>
      </c>
      <c r="F443" s="38" t="s">
        <v>566</v>
      </c>
      <c r="G443" s="40" t="s">
        <v>570</v>
      </c>
      <c r="H443" s="38">
        <f t="shared" si="12"/>
        <v>1</v>
      </c>
      <c r="I443" s="41" t="str">
        <f t="shared" si="13"/>
        <v>Only YAKE</v>
      </c>
      <c r="K443" s="32"/>
      <c r="L443" s="32"/>
      <c r="M443" s="32"/>
      <c r="N443" s="32"/>
      <c r="O443" s="32"/>
      <c r="P443" s="32"/>
    </row>
    <row r="444" spans="1:16" x14ac:dyDescent="0.3">
      <c r="A444" s="38">
        <v>443</v>
      </c>
      <c r="B444" s="39" t="s">
        <v>564</v>
      </c>
      <c r="C444" s="30"/>
      <c r="D444" s="30"/>
      <c r="E444" s="30" t="s">
        <v>897</v>
      </c>
      <c r="F444" s="38" t="s">
        <v>566</v>
      </c>
      <c r="G444" s="40" t="s">
        <v>570</v>
      </c>
      <c r="H444" s="38">
        <f t="shared" si="12"/>
        <v>1</v>
      </c>
      <c r="I444" s="41" t="str">
        <f t="shared" si="13"/>
        <v>Only YAKE</v>
      </c>
      <c r="K444" s="32"/>
      <c r="L444" s="32"/>
      <c r="M444" s="32"/>
      <c r="N444" s="32"/>
      <c r="O444" s="32"/>
      <c r="P444" s="32"/>
    </row>
    <row r="445" spans="1:16" x14ac:dyDescent="0.3">
      <c r="A445" s="38">
        <v>444</v>
      </c>
      <c r="B445" s="39" t="s">
        <v>564</v>
      </c>
      <c r="C445" s="30"/>
      <c r="D445" s="30"/>
      <c r="E445" s="30" t="s">
        <v>898</v>
      </c>
      <c r="F445" s="38" t="s">
        <v>566</v>
      </c>
      <c r="G445" s="40" t="s">
        <v>570</v>
      </c>
      <c r="H445" s="38">
        <f t="shared" si="12"/>
        <v>1</v>
      </c>
      <c r="I445" s="41" t="str">
        <f t="shared" si="13"/>
        <v>Only YAKE</v>
      </c>
      <c r="K445" s="32"/>
      <c r="L445" s="32"/>
      <c r="M445" s="32"/>
      <c r="N445" s="32"/>
      <c r="O445" s="32"/>
      <c r="P445" s="32"/>
    </row>
    <row r="446" spans="1:16" x14ac:dyDescent="0.3">
      <c r="A446" s="38">
        <v>445</v>
      </c>
      <c r="B446" s="39" t="s">
        <v>564</v>
      </c>
      <c r="C446" s="30"/>
      <c r="D446" s="30"/>
      <c r="E446" s="30" t="s">
        <v>899</v>
      </c>
      <c r="F446" s="38" t="s">
        <v>566</v>
      </c>
      <c r="G446" s="40" t="s">
        <v>570</v>
      </c>
      <c r="H446" s="38">
        <f t="shared" si="12"/>
        <v>1</v>
      </c>
      <c r="I446" s="41" t="str">
        <f t="shared" si="13"/>
        <v>Only YAKE</v>
      </c>
      <c r="K446" s="32"/>
      <c r="L446" s="32"/>
      <c r="M446" s="32"/>
      <c r="N446" s="32"/>
      <c r="O446" s="32"/>
      <c r="P446" s="32"/>
    </row>
    <row r="447" spans="1:16" x14ac:dyDescent="0.3">
      <c r="A447" s="38">
        <v>446</v>
      </c>
      <c r="B447" s="39" t="s">
        <v>564</v>
      </c>
      <c r="C447" s="30"/>
      <c r="D447" s="30" t="s">
        <v>900</v>
      </c>
      <c r="E447" s="30"/>
      <c r="F447" s="38" t="s">
        <v>566</v>
      </c>
      <c r="G447" s="40" t="s">
        <v>570</v>
      </c>
      <c r="H447" s="38">
        <f t="shared" si="12"/>
        <v>1</v>
      </c>
      <c r="I447" s="41" t="str">
        <f t="shared" si="13"/>
        <v>Only RAKE</v>
      </c>
      <c r="K447" s="32"/>
      <c r="L447" s="32"/>
      <c r="M447" s="32"/>
      <c r="N447" s="32"/>
      <c r="O447" s="32"/>
      <c r="P447" s="32"/>
    </row>
    <row r="448" spans="1:16" x14ac:dyDescent="0.3">
      <c r="A448" s="38">
        <v>447</v>
      </c>
      <c r="B448" s="39" t="s">
        <v>564</v>
      </c>
      <c r="C448" s="30"/>
      <c r="D448" s="30"/>
      <c r="E448" s="30" t="s">
        <v>901</v>
      </c>
      <c r="F448" s="38" t="s">
        <v>566</v>
      </c>
      <c r="G448" s="40" t="s">
        <v>570</v>
      </c>
      <c r="H448" s="38">
        <f t="shared" si="12"/>
        <v>1</v>
      </c>
      <c r="I448" s="41" t="str">
        <f t="shared" si="13"/>
        <v>Only YAKE</v>
      </c>
      <c r="K448" s="32"/>
      <c r="L448" s="32"/>
      <c r="M448" s="32"/>
      <c r="N448" s="32"/>
      <c r="O448" s="32"/>
      <c r="P448" s="32"/>
    </row>
    <row r="449" spans="1:16" x14ac:dyDescent="0.3">
      <c r="A449" s="38">
        <v>448</v>
      </c>
      <c r="B449" s="39" t="s">
        <v>564</v>
      </c>
      <c r="C449" s="30"/>
      <c r="D449" s="30"/>
      <c r="E449" s="30" t="s">
        <v>902</v>
      </c>
      <c r="F449" s="38" t="s">
        <v>566</v>
      </c>
      <c r="G449" s="40" t="s">
        <v>570</v>
      </c>
      <c r="H449" s="38">
        <f t="shared" si="12"/>
        <v>1</v>
      </c>
      <c r="I449" s="41" t="str">
        <f t="shared" si="13"/>
        <v>Only YAKE</v>
      </c>
      <c r="K449" s="32"/>
      <c r="L449" s="32"/>
      <c r="M449" s="32"/>
      <c r="N449" s="32"/>
      <c r="O449" s="32"/>
      <c r="P449" s="32"/>
    </row>
    <row r="450" spans="1:16" x14ac:dyDescent="0.3">
      <c r="A450" s="38">
        <v>449</v>
      </c>
      <c r="B450" s="39" t="s">
        <v>564</v>
      </c>
      <c r="C450" s="30"/>
      <c r="D450" s="30"/>
      <c r="E450" s="30" t="s">
        <v>903</v>
      </c>
      <c r="F450" s="38" t="s">
        <v>566</v>
      </c>
      <c r="G450" s="40" t="s">
        <v>570</v>
      </c>
      <c r="H450" s="38">
        <f t="shared" ref="H450:H513" si="14">COUNTIF(C450:E450,"?*")</f>
        <v>1</v>
      </c>
      <c r="I450" s="41" t="str">
        <f t="shared" ref="I450:I513" si="15">IF(H450=0,"None",IF(H450=3,"All three",IF(H450=1,"Only "&amp;TRIM(IF(C450&lt;&gt;"","Gemini ","")&amp;IF(D450&lt;&gt;"","RAKE ","")&amp;IF(E450&lt;&gt;"","YAKE","")),SUBSTITUTE(TRIM(IF(C450&lt;&gt;"","Gemini ","")&amp;IF(D450&lt;&gt;"","RAKE ","")&amp;IF(E450&lt;&gt;"","YAKE",""))," "," + "))))</f>
        <v>Only YAKE</v>
      </c>
      <c r="K450" s="32"/>
      <c r="L450" s="32"/>
      <c r="M450" s="32"/>
      <c r="N450" s="32"/>
      <c r="O450" s="32"/>
      <c r="P450" s="32"/>
    </row>
    <row r="451" spans="1:16" x14ac:dyDescent="0.3">
      <c r="A451" s="38">
        <v>450</v>
      </c>
      <c r="B451" s="39" t="s">
        <v>564</v>
      </c>
      <c r="C451" s="30"/>
      <c r="D451" s="30"/>
      <c r="E451" s="30" t="s">
        <v>904</v>
      </c>
      <c r="F451" s="38" t="s">
        <v>566</v>
      </c>
      <c r="G451" s="40" t="s">
        <v>570</v>
      </c>
      <c r="H451" s="38">
        <f t="shared" si="14"/>
        <v>1</v>
      </c>
      <c r="I451" s="41" t="str">
        <f t="shared" si="15"/>
        <v>Only YAKE</v>
      </c>
      <c r="K451" s="32"/>
      <c r="L451" s="32"/>
      <c r="M451" s="32"/>
      <c r="N451" s="32"/>
      <c r="O451" s="32"/>
      <c r="P451" s="32"/>
    </row>
    <row r="452" spans="1:16" x14ac:dyDescent="0.3">
      <c r="A452" s="38">
        <v>451</v>
      </c>
      <c r="B452" s="39" t="s">
        <v>564</v>
      </c>
      <c r="C452" s="30"/>
      <c r="D452" s="30"/>
      <c r="E452" s="30" t="s">
        <v>905</v>
      </c>
      <c r="F452" s="38" t="s">
        <v>566</v>
      </c>
      <c r="G452" s="40" t="s">
        <v>570</v>
      </c>
      <c r="H452" s="38">
        <f t="shared" si="14"/>
        <v>1</v>
      </c>
      <c r="I452" s="41" t="str">
        <f t="shared" si="15"/>
        <v>Only YAKE</v>
      </c>
      <c r="K452" s="32"/>
      <c r="L452" s="32"/>
      <c r="M452" s="32"/>
      <c r="N452" s="32"/>
      <c r="O452" s="32"/>
      <c r="P452" s="32"/>
    </row>
    <row r="453" spans="1:16" x14ac:dyDescent="0.3">
      <c r="A453" s="38">
        <v>452</v>
      </c>
      <c r="B453" s="39" t="s">
        <v>564</v>
      </c>
      <c r="C453" s="30"/>
      <c r="D453" s="30" t="s">
        <v>906</v>
      </c>
      <c r="E453" s="30"/>
      <c r="F453" s="38" t="s">
        <v>566</v>
      </c>
      <c r="G453" s="40" t="s">
        <v>570</v>
      </c>
      <c r="H453" s="38">
        <f t="shared" si="14"/>
        <v>1</v>
      </c>
      <c r="I453" s="41" t="str">
        <f t="shared" si="15"/>
        <v>Only RAKE</v>
      </c>
      <c r="K453" s="32"/>
      <c r="L453" s="32"/>
      <c r="M453" s="32"/>
      <c r="N453" s="32"/>
      <c r="O453" s="32"/>
      <c r="P453" s="32"/>
    </row>
    <row r="454" spans="1:16" x14ac:dyDescent="0.3">
      <c r="A454" s="38">
        <v>453</v>
      </c>
      <c r="B454" s="39" t="s">
        <v>564</v>
      </c>
      <c r="C454" s="30"/>
      <c r="D454" s="30" t="s">
        <v>907</v>
      </c>
      <c r="E454" s="30"/>
      <c r="F454" s="38" t="s">
        <v>566</v>
      </c>
      <c r="G454" s="40" t="s">
        <v>570</v>
      </c>
      <c r="H454" s="38">
        <f t="shared" si="14"/>
        <v>1</v>
      </c>
      <c r="I454" s="41" t="str">
        <f t="shared" si="15"/>
        <v>Only RAKE</v>
      </c>
      <c r="K454" s="32"/>
      <c r="L454" s="32"/>
      <c r="M454" s="32"/>
      <c r="N454" s="32"/>
      <c r="O454" s="32"/>
      <c r="P454" s="32"/>
    </row>
    <row r="455" spans="1:16" x14ac:dyDescent="0.3">
      <c r="A455" s="38">
        <v>454</v>
      </c>
      <c r="B455" s="39" t="s">
        <v>564</v>
      </c>
      <c r="C455" s="30"/>
      <c r="D455" s="30" t="s">
        <v>908</v>
      </c>
      <c r="E455" s="30"/>
      <c r="F455" s="38" t="s">
        <v>566</v>
      </c>
      <c r="G455" s="40" t="s">
        <v>570</v>
      </c>
      <c r="H455" s="38">
        <f t="shared" si="14"/>
        <v>1</v>
      </c>
      <c r="I455" s="41" t="str">
        <f t="shared" si="15"/>
        <v>Only RAKE</v>
      </c>
      <c r="K455" s="32"/>
      <c r="L455" s="32"/>
      <c r="M455" s="32"/>
      <c r="N455" s="32"/>
      <c r="O455" s="32"/>
      <c r="P455" s="32"/>
    </row>
    <row r="456" spans="1:16" x14ac:dyDescent="0.3">
      <c r="A456" s="38">
        <v>455</v>
      </c>
      <c r="B456" s="39" t="s">
        <v>564</v>
      </c>
      <c r="C456" s="30"/>
      <c r="D456" s="30" t="s">
        <v>909</v>
      </c>
      <c r="E456" s="30"/>
      <c r="F456" s="38" t="s">
        <v>566</v>
      </c>
      <c r="G456" s="40" t="s">
        <v>570</v>
      </c>
      <c r="H456" s="38">
        <f t="shared" si="14"/>
        <v>1</v>
      </c>
      <c r="I456" s="41" t="str">
        <f t="shared" si="15"/>
        <v>Only RAKE</v>
      </c>
      <c r="K456" s="32"/>
      <c r="L456" s="32"/>
      <c r="M456" s="32"/>
      <c r="N456" s="32"/>
      <c r="O456" s="32"/>
      <c r="P456" s="32"/>
    </row>
    <row r="457" spans="1:16" x14ac:dyDescent="0.3">
      <c r="A457" s="38">
        <v>456</v>
      </c>
      <c r="B457" s="39" t="s">
        <v>564</v>
      </c>
      <c r="C457" s="30"/>
      <c r="D457" s="30"/>
      <c r="E457" s="30" t="s">
        <v>910</v>
      </c>
      <c r="F457" s="38" t="s">
        <v>566</v>
      </c>
      <c r="G457" s="40" t="s">
        <v>570</v>
      </c>
      <c r="H457" s="38">
        <f t="shared" si="14"/>
        <v>1</v>
      </c>
      <c r="I457" s="41" t="str">
        <f t="shared" si="15"/>
        <v>Only YAKE</v>
      </c>
      <c r="K457" s="32"/>
      <c r="L457" s="32"/>
      <c r="M457" s="32"/>
      <c r="N457" s="32"/>
      <c r="O457" s="32"/>
      <c r="P457" s="32"/>
    </row>
    <row r="458" spans="1:16" x14ac:dyDescent="0.3">
      <c r="A458" s="38">
        <v>457</v>
      </c>
      <c r="B458" s="39" t="s">
        <v>564</v>
      </c>
      <c r="C458" s="30"/>
      <c r="D458" s="30"/>
      <c r="E458" s="30" t="s">
        <v>911</v>
      </c>
      <c r="F458" s="38" t="s">
        <v>566</v>
      </c>
      <c r="G458" s="40" t="s">
        <v>570</v>
      </c>
      <c r="H458" s="38">
        <f t="shared" si="14"/>
        <v>1</v>
      </c>
      <c r="I458" s="41" t="str">
        <f t="shared" si="15"/>
        <v>Only YAKE</v>
      </c>
      <c r="K458" s="32"/>
      <c r="L458" s="32"/>
      <c r="M458" s="32"/>
      <c r="N458" s="32"/>
      <c r="O458" s="32"/>
      <c r="P458" s="32"/>
    </row>
    <row r="459" spans="1:16" x14ac:dyDescent="0.3">
      <c r="A459" s="38">
        <v>458</v>
      </c>
      <c r="B459" s="39" t="s">
        <v>564</v>
      </c>
      <c r="C459" s="30"/>
      <c r="D459" s="30" t="s">
        <v>912</v>
      </c>
      <c r="E459" s="30"/>
      <c r="F459" s="38" t="s">
        <v>566</v>
      </c>
      <c r="G459" s="40" t="s">
        <v>570</v>
      </c>
      <c r="H459" s="38">
        <f t="shared" si="14"/>
        <v>1</v>
      </c>
      <c r="I459" s="41" t="str">
        <f t="shared" si="15"/>
        <v>Only RAKE</v>
      </c>
      <c r="K459" s="32"/>
      <c r="L459" s="32"/>
      <c r="M459" s="32"/>
      <c r="N459" s="32"/>
      <c r="O459" s="32"/>
      <c r="P459" s="32"/>
    </row>
    <row r="460" spans="1:16" x14ac:dyDescent="0.3">
      <c r="A460" s="38">
        <v>459</v>
      </c>
      <c r="B460" s="39" t="s">
        <v>564</v>
      </c>
      <c r="C460" s="30"/>
      <c r="D460" s="30" t="s">
        <v>913</v>
      </c>
      <c r="E460" s="30"/>
      <c r="F460" s="38" t="s">
        <v>566</v>
      </c>
      <c r="G460" s="40" t="s">
        <v>570</v>
      </c>
      <c r="H460" s="38">
        <f t="shared" si="14"/>
        <v>1</v>
      </c>
      <c r="I460" s="41" t="str">
        <f t="shared" si="15"/>
        <v>Only RAKE</v>
      </c>
      <c r="K460" s="32"/>
      <c r="L460" s="32"/>
      <c r="M460" s="32"/>
      <c r="N460" s="32"/>
      <c r="O460" s="32"/>
      <c r="P460" s="32"/>
    </row>
    <row r="461" spans="1:16" x14ac:dyDescent="0.3">
      <c r="A461" s="38">
        <v>460</v>
      </c>
      <c r="B461" s="39" t="s">
        <v>564</v>
      </c>
      <c r="C461" s="30"/>
      <c r="D461" s="30" t="s">
        <v>914</v>
      </c>
      <c r="E461" s="30"/>
      <c r="F461" s="38" t="s">
        <v>566</v>
      </c>
      <c r="G461" s="40" t="s">
        <v>570</v>
      </c>
      <c r="H461" s="38">
        <f t="shared" si="14"/>
        <v>1</v>
      </c>
      <c r="I461" s="41" t="str">
        <f t="shared" si="15"/>
        <v>Only RAKE</v>
      </c>
      <c r="K461" s="32"/>
      <c r="L461" s="32"/>
      <c r="M461" s="32"/>
      <c r="N461" s="32"/>
      <c r="O461" s="32"/>
      <c r="P461" s="32"/>
    </row>
    <row r="462" spans="1:16" ht="26.4" x14ac:dyDescent="0.3">
      <c r="A462" s="38">
        <v>461</v>
      </c>
      <c r="B462" s="39" t="s">
        <v>564</v>
      </c>
      <c r="C462" s="30"/>
      <c r="D462" s="30"/>
      <c r="E462" s="30" t="s">
        <v>915</v>
      </c>
      <c r="F462" s="38" t="s">
        <v>566</v>
      </c>
      <c r="G462" s="40" t="s">
        <v>570</v>
      </c>
      <c r="H462" s="38">
        <f t="shared" si="14"/>
        <v>1</v>
      </c>
      <c r="I462" s="41" t="str">
        <f t="shared" si="15"/>
        <v>Only YAKE</v>
      </c>
      <c r="K462" s="32"/>
      <c r="L462" s="32"/>
      <c r="M462" s="32"/>
      <c r="N462" s="32"/>
      <c r="O462" s="32"/>
      <c r="P462" s="32"/>
    </row>
    <row r="463" spans="1:16" x14ac:dyDescent="0.3">
      <c r="A463" s="38">
        <v>462</v>
      </c>
      <c r="B463" s="39" t="s">
        <v>564</v>
      </c>
      <c r="C463" s="30"/>
      <c r="D463" s="30" t="s">
        <v>916</v>
      </c>
      <c r="E463" s="30"/>
      <c r="F463" s="38" t="s">
        <v>566</v>
      </c>
      <c r="G463" s="40" t="s">
        <v>570</v>
      </c>
      <c r="H463" s="38">
        <f t="shared" si="14"/>
        <v>1</v>
      </c>
      <c r="I463" s="41" t="str">
        <f t="shared" si="15"/>
        <v>Only RAKE</v>
      </c>
      <c r="K463" s="32"/>
      <c r="L463" s="32"/>
      <c r="M463" s="32"/>
      <c r="N463" s="32"/>
      <c r="O463" s="32"/>
      <c r="P463" s="32"/>
    </row>
    <row r="464" spans="1:16" x14ac:dyDescent="0.3">
      <c r="A464" s="38">
        <v>463</v>
      </c>
      <c r="B464" s="39" t="s">
        <v>564</v>
      </c>
      <c r="C464" s="30"/>
      <c r="D464" s="30"/>
      <c r="E464" s="30" t="s">
        <v>917</v>
      </c>
      <c r="F464" s="38" t="s">
        <v>566</v>
      </c>
      <c r="G464" s="40" t="s">
        <v>570</v>
      </c>
      <c r="H464" s="38">
        <f t="shared" si="14"/>
        <v>1</v>
      </c>
      <c r="I464" s="41" t="str">
        <f t="shared" si="15"/>
        <v>Only YAKE</v>
      </c>
      <c r="K464" s="32"/>
      <c r="L464" s="32"/>
      <c r="M464" s="32"/>
      <c r="N464" s="32"/>
      <c r="O464" s="32"/>
      <c r="P464" s="32"/>
    </row>
    <row r="465" spans="1:16" x14ac:dyDescent="0.3">
      <c r="A465" s="38">
        <v>464</v>
      </c>
      <c r="B465" s="39" t="s">
        <v>564</v>
      </c>
      <c r="C465" s="30"/>
      <c r="D465" s="30" t="s">
        <v>918</v>
      </c>
      <c r="E465" s="30"/>
      <c r="F465" s="38" t="s">
        <v>566</v>
      </c>
      <c r="G465" s="40" t="s">
        <v>570</v>
      </c>
      <c r="H465" s="38">
        <f t="shared" si="14"/>
        <v>1</v>
      </c>
      <c r="I465" s="41" t="str">
        <f t="shared" si="15"/>
        <v>Only RAKE</v>
      </c>
      <c r="K465" s="32"/>
      <c r="L465" s="32"/>
      <c r="M465" s="32"/>
      <c r="N465" s="32"/>
      <c r="O465" s="32"/>
      <c r="P465" s="32"/>
    </row>
    <row r="466" spans="1:16" ht="26.4" x14ac:dyDescent="0.3">
      <c r="A466" s="38">
        <v>465</v>
      </c>
      <c r="B466" s="39" t="s">
        <v>564</v>
      </c>
      <c r="C466" s="30" t="s">
        <v>919</v>
      </c>
      <c r="D466" s="30"/>
      <c r="E466" s="30"/>
      <c r="F466" s="38" t="s">
        <v>566</v>
      </c>
      <c r="G466" s="40" t="s">
        <v>570</v>
      </c>
      <c r="H466" s="38">
        <f t="shared" si="14"/>
        <v>1</v>
      </c>
      <c r="I466" s="41" t="str">
        <f t="shared" si="15"/>
        <v>Only Gemini</v>
      </c>
      <c r="K466" s="32"/>
      <c r="L466" s="32"/>
      <c r="M466" s="32"/>
      <c r="N466" s="32"/>
      <c r="O466" s="32"/>
      <c r="P466" s="32"/>
    </row>
    <row r="467" spans="1:16" x14ac:dyDescent="0.3">
      <c r="A467" s="38">
        <v>466</v>
      </c>
      <c r="B467" s="39" t="s">
        <v>564</v>
      </c>
      <c r="C467" s="30"/>
      <c r="D467" s="30"/>
      <c r="E467" s="30" t="s">
        <v>920</v>
      </c>
      <c r="F467" s="38" t="s">
        <v>566</v>
      </c>
      <c r="G467" s="40" t="s">
        <v>570</v>
      </c>
      <c r="H467" s="38">
        <f t="shared" si="14"/>
        <v>1</v>
      </c>
      <c r="I467" s="41" t="str">
        <f t="shared" si="15"/>
        <v>Only YAKE</v>
      </c>
      <c r="K467" s="32"/>
      <c r="L467" s="32"/>
      <c r="M467" s="32"/>
      <c r="N467" s="32"/>
      <c r="O467" s="32"/>
      <c r="P467" s="32"/>
    </row>
    <row r="468" spans="1:16" x14ac:dyDescent="0.3">
      <c r="A468" s="38">
        <v>467</v>
      </c>
      <c r="B468" s="39" t="s">
        <v>564</v>
      </c>
      <c r="C468" s="30"/>
      <c r="D468" s="30"/>
      <c r="E468" s="30" t="s">
        <v>921</v>
      </c>
      <c r="F468" s="38" t="s">
        <v>566</v>
      </c>
      <c r="G468" s="40" t="s">
        <v>570</v>
      </c>
      <c r="H468" s="38">
        <f t="shared" si="14"/>
        <v>1</v>
      </c>
      <c r="I468" s="41" t="str">
        <f t="shared" si="15"/>
        <v>Only YAKE</v>
      </c>
      <c r="K468" s="32"/>
      <c r="L468" s="32"/>
      <c r="M468" s="32"/>
      <c r="N468" s="32"/>
      <c r="O468" s="32"/>
      <c r="P468" s="32"/>
    </row>
    <row r="469" spans="1:16" x14ac:dyDescent="0.3">
      <c r="A469" s="38">
        <v>468</v>
      </c>
      <c r="B469" s="39" t="s">
        <v>564</v>
      </c>
      <c r="C469" s="30"/>
      <c r="D469" s="30" t="s">
        <v>922</v>
      </c>
      <c r="E469" s="30"/>
      <c r="F469" s="38" t="s">
        <v>566</v>
      </c>
      <c r="G469" s="40" t="s">
        <v>570</v>
      </c>
      <c r="H469" s="38">
        <f t="shared" si="14"/>
        <v>1</v>
      </c>
      <c r="I469" s="41" t="str">
        <f t="shared" si="15"/>
        <v>Only RAKE</v>
      </c>
      <c r="K469" s="32"/>
      <c r="L469" s="32"/>
      <c r="M469" s="32"/>
      <c r="N469" s="32"/>
      <c r="O469" s="32"/>
      <c r="P469" s="32"/>
    </row>
    <row r="470" spans="1:16" x14ac:dyDescent="0.3">
      <c r="A470" s="38">
        <v>469</v>
      </c>
      <c r="B470" s="39" t="s">
        <v>564</v>
      </c>
      <c r="C470" s="30"/>
      <c r="D470" s="30"/>
      <c r="E470" s="30" t="s">
        <v>923</v>
      </c>
      <c r="F470" s="38" t="s">
        <v>566</v>
      </c>
      <c r="G470" s="40" t="s">
        <v>570</v>
      </c>
      <c r="H470" s="38">
        <f t="shared" si="14"/>
        <v>1</v>
      </c>
      <c r="I470" s="41" t="str">
        <f t="shared" si="15"/>
        <v>Only YAKE</v>
      </c>
      <c r="K470" s="32"/>
      <c r="L470" s="32"/>
      <c r="M470" s="32"/>
      <c r="N470" s="32"/>
      <c r="O470" s="32"/>
      <c r="P470" s="32"/>
    </row>
    <row r="471" spans="1:16" x14ac:dyDescent="0.3">
      <c r="A471" s="38">
        <v>470</v>
      </c>
      <c r="B471" s="39" t="s">
        <v>564</v>
      </c>
      <c r="C471" s="30"/>
      <c r="D471" s="30" t="s">
        <v>924</v>
      </c>
      <c r="E471" s="30"/>
      <c r="F471" s="38" t="s">
        <v>566</v>
      </c>
      <c r="G471" s="40" t="s">
        <v>570</v>
      </c>
      <c r="H471" s="38">
        <f t="shared" si="14"/>
        <v>1</v>
      </c>
      <c r="I471" s="41" t="str">
        <f t="shared" si="15"/>
        <v>Only RAKE</v>
      </c>
      <c r="K471" s="32"/>
      <c r="L471" s="32"/>
      <c r="M471" s="32"/>
      <c r="N471" s="32"/>
      <c r="O471" s="32"/>
      <c r="P471" s="32"/>
    </row>
    <row r="472" spans="1:16" x14ac:dyDescent="0.3">
      <c r="A472" s="38">
        <v>471</v>
      </c>
      <c r="B472" s="39" t="s">
        <v>564</v>
      </c>
      <c r="C472" s="30"/>
      <c r="D472" s="30" t="s">
        <v>925</v>
      </c>
      <c r="E472" s="30"/>
      <c r="F472" s="38" t="s">
        <v>566</v>
      </c>
      <c r="G472" s="40" t="s">
        <v>570</v>
      </c>
      <c r="H472" s="38">
        <f t="shared" si="14"/>
        <v>1</v>
      </c>
      <c r="I472" s="41" t="str">
        <f t="shared" si="15"/>
        <v>Only RAKE</v>
      </c>
      <c r="K472" s="32"/>
      <c r="L472" s="32"/>
      <c r="M472" s="32"/>
      <c r="N472" s="32"/>
      <c r="O472" s="32"/>
      <c r="P472" s="32"/>
    </row>
    <row r="473" spans="1:16" x14ac:dyDescent="0.3">
      <c r="A473" s="38">
        <v>472</v>
      </c>
      <c r="B473" s="39" t="s">
        <v>564</v>
      </c>
      <c r="C473" s="30"/>
      <c r="D473" s="30"/>
      <c r="E473" s="30" t="s">
        <v>926</v>
      </c>
      <c r="F473" s="38" t="s">
        <v>566</v>
      </c>
      <c r="G473" s="40" t="s">
        <v>570</v>
      </c>
      <c r="H473" s="38">
        <f t="shared" si="14"/>
        <v>1</v>
      </c>
      <c r="I473" s="41" t="str">
        <f t="shared" si="15"/>
        <v>Only YAKE</v>
      </c>
      <c r="K473" s="32"/>
      <c r="L473" s="32"/>
      <c r="M473" s="32"/>
      <c r="N473" s="32"/>
      <c r="O473" s="32"/>
      <c r="P473" s="32"/>
    </row>
    <row r="474" spans="1:16" x14ac:dyDescent="0.3">
      <c r="A474" s="38">
        <v>473</v>
      </c>
      <c r="B474" s="39" t="s">
        <v>564</v>
      </c>
      <c r="C474" s="30"/>
      <c r="D474" s="30"/>
      <c r="E474" s="30" t="s">
        <v>927</v>
      </c>
      <c r="F474" s="38" t="s">
        <v>566</v>
      </c>
      <c r="G474" s="40" t="s">
        <v>570</v>
      </c>
      <c r="H474" s="38">
        <f t="shared" si="14"/>
        <v>1</v>
      </c>
      <c r="I474" s="41" t="str">
        <f t="shared" si="15"/>
        <v>Only YAKE</v>
      </c>
      <c r="K474" s="32"/>
      <c r="L474" s="32"/>
      <c r="M474" s="32"/>
      <c r="N474" s="32"/>
      <c r="O474" s="32"/>
      <c r="P474" s="32"/>
    </row>
    <row r="475" spans="1:16" x14ac:dyDescent="0.3">
      <c r="A475" s="38">
        <v>474</v>
      </c>
      <c r="B475" s="39" t="s">
        <v>564</v>
      </c>
      <c r="C475" s="30"/>
      <c r="D475" s="30"/>
      <c r="E475" s="30" t="s">
        <v>928</v>
      </c>
      <c r="F475" s="38" t="s">
        <v>566</v>
      </c>
      <c r="G475" s="40" t="s">
        <v>570</v>
      </c>
      <c r="H475" s="38">
        <f t="shared" si="14"/>
        <v>1</v>
      </c>
      <c r="I475" s="41" t="str">
        <f t="shared" si="15"/>
        <v>Only YAKE</v>
      </c>
      <c r="K475" s="32"/>
      <c r="L475" s="32"/>
      <c r="M475" s="32"/>
      <c r="N475" s="32"/>
      <c r="O475" s="32"/>
      <c r="P475" s="32"/>
    </row>
    <row r="476" spans="1:16" x14ac:dyDescent="0.3">
      <c r="A476" s="38">
        <v>475</v>
      </c>
      <c r="B476" s="39" t="s">
        <v>564</v>
      </c>
      <c r="C476" s="30"/>
      <c r="D476" s="30"/>
      <c r="E476" s="30" t="s">
        <v>929</v>
      </c>
      <c r="F476" s="38" t="s">
        <v>566</v>
      </c>
      <c r="G476" s="40" t="s">
        <v>570</v>
      </c>
      <c r="H476" s="38">
        <f t="shared" si="14"/>
        <v>1</v>
      </c>
      <c r="I476" s="41" t="str">
        <f t="shared" si="15"/>
        <v>Only YAKE</v>
      </c>
      <c r="K476" s="32"/>
      <c r="L476" s="32"/>
      <c r="M476" s="32"/>
      <c r="N476" s="32"/>
      <c r="O476" s="32"/>
      <c r="P476" s="32"/>
    </row>
    <row r="477" spans="1:16" x14ac:dyDescent="0.3">
      <c r="A477" s="38">
        <v>476</v>
      </c>
      <c r="B477" s="39" t="s">
        <v>564</v>
      </c>
      <c r="C477" s="30"/>
      <c r="D477" s="30" t="s">
        <v>930</v>
      </c>
      <c r="E477" s="30"/>
      <c r="F477" s="38" t="s">
        <v>566</v>
      </c>
      <c r="G477" s="40" t="s">
        <v>570</v>
      </c>
      <c r="H477" s="38">
        <f t="shared" si="14"/>
        <v>1</v>
      </c>
      <c r="I477" s="41" t="str">
        <f t="shared" si="15"/>
        <v>Only RAKE</v>
      </c>
      <c r="K477" s="32"/>
      <c r="L477" s="32"/>
      <c r="M477" s="32"/>
      <c r="N477" s="32"/>
      <c r="O477" s="32"/>
      <c r="P477" s="32"/>
    </row>
    <row r="478" spans="1:16" x14ac:dyDescent="0.3">
      <c r="A478" s="38">
        <v>477</v>
      </c>
      <c r="B478" s="39" t="s">
        <v>564</v>
      </c>
      <c r="C478" s="30"/>
      <c r="D478" s="30" t="s">
        <v>931</v>
      </c>
      <c r="E478" s="30"/>
      <c r="F478" s="38" t="s">
        <v>566</v>
      </c>
      <c r="G478" s="40" t="s">
        <v>570</v>
      </c>
      <c r="H478" s="38">
        <f t="shared" si="14"/>
        <v>1</v>
      </c>
      <c r="I478" s="41" t="str">
        <f t="shared" si="15"/>
        <v>Only RAKE</v>
      </c>
      <c r="K478" s="32"/>
      <c r="L478" s="32"/>
      <c r="M478" s="32"/>
      <c r="N478" s="32"/>
      <c r="O478" s="32"/>
      <c r="P478" s="32"/>
    </row>
    <row r="479" spans="1:16" x14ac:dyDescent="0.3">
      <c r="A479" s="38">
        <v>478</v>
      </c>
      <c r="B479" s="39" t="s">
        <v>564</v>
      </c>
      <c r="C479" s="30"/>
      <c r="D479" s="30"/>
      <c r="E479" s="30" t="s">
        <v>932</v>
      </c>
      <c r="F479" s="38" t="s">
        <v>566</v>
      </c>
      <c r="G479" s="40" t="s">
        <v>570</v>
      </c>
      <c r="H479" s="38">
        <f t="shared" si="14"/>
        <v>1</v>
      </c>
      <c r="I479" s="41" t="str">
        <f t="shared" si="15"/>
        <v>Only YAKE</v>
      </c>
      <c r="K479" s="32"/>
      <c r="L479" s="32"/>
      <c r="M479" s="32"/>
      <c r="N479" s="32"/>
      <c r="O479" s="32"/>
      <c r="P479" s="32"/>
    </row>
    <row r="480" spans="1:16" x14ac:dyDescent="0.3">
      <c r="A480" s="38">
        <v>479</v>
      </c>
      <c r="B480" s="39" t="s">
        <v>564</v>
      </c>
      <c r="C480" s="30"/>
      <c r="D480" s="30" t="s">
        <v>933</v>
      </c>
      <c r="E480" s="30"/>
      <c r="F480" s="38" t="s">
        <v>566</v>
      </c>
      <c r="G480" s="40" t="s">
        <v>570</v>
      </c>
      <c r="H480" s="38">
        <f t="shared" si="14"/>
        <v>1</v>
      </c>
      <c r="I480" s="41" t="str">
        <f t="shared" si="15"/>
        <v>Only RAKE</v>
      </c>
      <c r="K480" s="32"/>
      <c r="L480" s="32"/>
      <c r="M480" s="32"/>
      <c r="N480" s="32"/>
      <c r="O480" s="32"/>
      <c r="P480" s="32"/>
    </row>
    <row r="481" spans="1:16" x14ac:dyDescent="0.3">
      <c r="A481" s="38">
        <v>480</v>
      </c>
      <c r="B481" s="39" t="s">
        <v>564</v>
      </c>
      <c r="C481" s="30"/>
      <c r="D481" s="30" t="s">
        <v>934</v>
      </c>
      <c r="E481" s="30"/>
      <c r="F481" s="38" t="s">
        <v>566</v>
      </c>
      <c r="G481" s="40" t="s">
        <v>570</v>
      </c>
      <c r="H481" s="38">
        <f t="shared" si="14"/>
        <v>1</v>
      </c>
      <c r="I481" s="41" t="str">
        <f t="shared" si="15"/>
        <v>Only RAKE</v>
      </c>
      <c r="K481" s="32"/>
      <c r="L481" s="32"/>
      <c r="M481" s="32"/>
      <c r="N481" s="32"/>
      <c r="O481" s="32"/>
      <c r="P481" s="32"/>
    </row>
    <row r="482" spans="1:16" x14ac:dyDescent="0.3">
      <c r="A482" s="38">
        <v>481</v>
      </c>
      <c r="B482" s="39" t="s">
        <v>564</v>
      </c>
      <c r="C482" s="30"/>
      <c r="D482" s="30" t="s">
        <v>935</v>
      </c>
      <c r="E482" s="30"/>
      <c r="F482" s="38" t="s">
        <v>566</v>
      </c>
      <c r="G482" s="40" t="s">
        <v>570</v>
      </c>
      <c r="H482" s="38">
        <f t="shared" si="14"/>
        <v>1</v>
      </c>
      <c r="I482" s="41" t="str">
        <f t="shared" si="15"/>
        <v>Only RAKE</v>
      </c>
      <c r="K482" s="32"/>
      <c r="L482" s="32"/>
      <c r="M482" s="32"/>
      <c r="N482" s="32"/>
      <c r="O482" s="32"/>
      <c r="P482" s="32"/>
    </row>
    <row r="483" spans="1:16" x14ac:dyDescent="0.3">
      <c r="A483" s="38">
        <v>482</v>
      </c>
      <c r="B483" s="39" t="s">
        <v>564</v>
      </c>
      <c r="C483" s="30"/>
      <c r="D483" s="30" t="s">
        <v>936</v>
      </c>
      <c r="E483" s="30"/>
      <c r="F483" s="38" t="s">
        <v>566</v>
      </c>
      <c r="G483" s="40" t="s">
        <v>570</v>
      </c>
      <c r="H483" s="38">
        <f t="shared" si="14"/>
        <v>1</v>
      </c>
      <c r="I483" s="41" t="str">
        <f t="shared" si="15"/>
        <v>Only RAKE</v>
      </c>
      <c r="K483" s="32"/>
      <c r="L483" s="32"/>
      <c r="M483" s="32"/>
      <c r="N483" s="32"/>
      <c r="O483" s="32"/>
      <c r="P483" s="32"/>
    </row>
    <row r="484" spans="1:16" x14ac:dyDescent="0.3">
      <c r="A484" s="38">
        <v>483</v>
      </c>
      <c r="B484" s="39" t="s">
        <v>564</v>
      </c>
      <c r="C484" s="30"/>
      <c r="D484" s="30" t="s">
        <v>937</v>
      </c>
      <c r="E484" s="30"/>
      <c r="F484" s="38" t="s">
        <v>566</v>
      </c>
      <c r="G484" s="40" t="s">
        <v>570</v>
      </c>
      <c r="H484" s="38">
        <f t="shared" si="14"/>
        <v>1</v>
      </c>
      <c r="I484" s="41" t="str">
        <f t="shared" si="15"/>
        <v>Only RAKE</v>
      </c>
      <c r="K484" s="32"/>
      <c r="L484" s="32"/>
      <c r="M484" s="32"/>
      <c r="N484" s="32"/>
      <c r="O484" s="32"/>
      <c r="P484" s="32"/>
    </row>
    <row r="485" spans="1:16" x14ac:dyDescent="0.3">
      <c r="A485" s="38">
        <v>484</v>
      </c>
      <c r="B485" s="39" t="s">
        <v>564</v>
      </c>
      <c r="C485" s="30"/>
      <c r="D485" s="30" t="s">
        <v>938</v>
      </c>
      <c r="E485" s="30"/>
      <c r="F485" s="38" t="s">
        <v>566</v>
      </c>
      <c r="G485" s="40" t="s">
        <v>570</v>
      </c>
      <c r="H485" s="38">
        <f t="shared" si="14"/>
        <v>1</v>
      </c>
      <c r="I485" s="41" t="str">
        <f t="shared" si="15"/>
        <v>Only RAKE</v>
      </c>
      <c r="K485" s="32"/>
      <c r="L485" s="32"/>
      <c r="M485" s="32"/>
      <c r="N485" s="32"/>
      <c r="O485" s="32"/>
      <c r="P485" s="32"/>
    </row>
    <row r="486" spans="1:16" x14ac:dyDescent="0.3">
      <c r="A486" s="38">
        <v>485</v>
      </c>
      <c r="B486" s="39" t="s">
        <v>564</v>
      </c>
      <c r="C486" s="30"/>
      <c r="D486" s="30" t="s">
        <v>939</v>
      </c>
      <c r="E486" s="30"/>
      <c r="F486" s="38" t="s">
        <v>566</v>
      </c>
      <c r="G486" s="40" t="s">
        <v>570</v>
      </c>
      <c r="H486" s="38">
        <f t="shared" si="14"/>
        <v>1</v>
      </c>
      <c r="I486" s="41" t="str">
        <f t="shared" si="15"/>
        <v>Only RAKE</v>
      </c>
      <c r="K486" s="32"/>
      <c r="L486" s="32"/>
      <c r="M486" s="32"/>
      <c r="N486" s="32"/>
      <c r="O486" s="32"/>
      <c r="P486" s="32"/>
    </row>
    <row r="487" spans="1:16" x14ac:dyDescent="0.3">
      <c r="A487" s="38">
        <v>486</v>
      </c>
      <c r="B487" s="39" t="s">
        <v>564</v>
      </c>
      <c r="C487" s="30"/>
      <c r="D487" s="30"/>
      <c r="E487" s="30" t="s">
        <v>940</v>
      </c>
      <c r="F487" s="38" t="s">
        <v>566</v>
      </c>
      <c r="G487" s="40" t="s">
        <v>570</v>
      </c>
      <c r="H487" s="38">
        <f t="shared" si="14"/>
        <v>1</v>
      </c>
      <c r="I487" s="41" t="str">
        <f t="shared" si="15"/>
        <v>Only YAKE</v>
      </c>
      <c r="K487" s="32"/>
      <c r="L487" s="32"/>
      <c r="M487" s="32"/>
      <c r="N487" s="32"/>
      <c r="O487" s="32"/>
      <c r="P487" s="32"/>
    </row>
    <row r="488" spans="1:16" x14ac:dyDescent="0.3">
      <c r="A488" s="38">
        <v>487</v>
      </c>
      <c r="B488" s="39" t="s">
        <v>564</v>
      </c>
      <c r="C488" s="30"/>
      <c r="D488" s="30"/>
      <c r="E488" s="30" t="s">
        <v>941</v>
      </c>
      <c r="F488" s="38" t="s">
        <v>566</v>
      </c>
      <c r="G488" s="40" t="s">
        <v>570</v>
      </c>
      <c r="H488" s="38">
        <f t="shared" si="14"/>
        <v>1</v>
      </c>
      <c r="I488" s="41" t="str">
        <f t="shared" si="15"/>
        <v>Only YAKE</v>
      </c>
      <c r="K488" s="32"/>
      <c r="L488" s="32"/>
      <c r="M488" s="32"/>
      <c r="N488" s="32"/>
      <c r="O488" s="32"/>
      <c r="P488" s="32"/>
    </row>
    <row r="489" spans="1:16" x14ac:dyDescent="0.3">
      <c r="A489" s="38">
        <v>488</v>
      </c>
      <c r="B489" s="39" t="s">
        <v>564</v>
      </c>
      <c r="C489" s="30"/>
      <c r="D489" s="30" t="s">
        <v>942</v>
      </c>
      <c r="E489" s="30"/>
      <c r="F489" s="38" t="s">
        <v>566</v>
      </c>
      <c r="G489" s="40" t="s">
        <v>570</v>
      </c>
      <c r="H489" s="38">
        <f t="shared" si="14"/>
        <v>1</v>
      </c>
      <c r="I489" s="41" t="str">
        <f t="shared" si="15"/>
        <v>Only RAKE</v>
      </c>
      <c r="K489" s="32"/>
      <c r="L489" s="32"/>
      <c r="M489" s="32"/>
      <c r="N489" s="32"/>
      <c r="O489" s="32"/>
      <c r="P489" s="32"/>
    </row>
    <row r="490" spans="1:16" x14ac:dyDescent="0.3">
      <c r="A490" s="38">
        <v>489</v>
      </c>
      <c r="B490" s="39" t="s">
        <v>564</v>
      </c>
      <c r="C490" s="30"/>
      <c r="D490" s="30"/>
      <c r="E490" s="30" t="s">
        <v>943</v>
      </c>
      <c r="F490" s="38" t="s">
        <v>566</v>
      </c>
      <c r="G490" s="40" t="s">
        <v>570</v>
      </c>
      <c r="H490" s="38">
        <f t="shared" si="14"/>
        <v>1</v>
      </c>
      <c r="I490" s="41" t="str">
        <f t="shared" si="15"/>
        <v>Only YAKE</v>
      </c>
      <c r="K490" s="32"/>
      <c r="L490" s="32"/>
      <c r="M490" s="32"/>
      <c r="N490" s="32"/>
      <c r="O490" s="32"/>
      <c r="P490" s="32"/>
    </row>
    <row r="491" spans="1:16" x14ac:dyDescent="0.3">
      <c r="A491" s="38">
        <v>490</v>
      </c>
      <c r="B491" s="39" t="s">
        <v>564</v>
      </c>
      <c r="C491" s="30"/>
      <c r="D491" s="30" t="s">
        <v>944</v>
      </c>
      <c r="E491" s="30"/>
      <c r="F491" s="38" t="s">
        <v>566</v>
      </c>
      <c r="G491" s="40" t="s">
        <v>570</v>
      </c>
      <c r="H491" s="38">
        <f t="shared" si="14"/>
        <v>1</v>
      </c>
      <c r="I491" s="41" t="str">
        <f t="shared" si="15"/>
        <v>Only RAKE</v>
      </c>
      <c r="K491" s="32"/>
      <c r="L491" s="32"/>
      <c r="M491" s="32"/>
      <c r="N491" s="32"/>
      <c r="O491" s="32"/>
      <c r="P491" s="32"/>
    </row>
    <row r="492" spans="1:16" x14ac:dyDescent="0.3">
      <c r="A492" s="38">
        <v>491</v>
      </c>
      <c r="B492" s="39" t="s">
        <v>564</v>
      </c>
      <c r="C492" s="30"/>
      <c r="D492" s="30" t="s">
        <v>945</v>
      </c>
      <c r="E492" s="30"/>
      <c r="F492" s="38" t="s">
        <v>566</v>
      </c>
      <c r="G492" s="40" t="s">
        <v>570</v>
      </c>
      <c r="H492" s="38">
        <f t="shared" si="14"/>
        <v>1</v>
      </c>
      <c r="I492" s="41" t="str">
        <f t="shared" si="15"/>
        <v>Only RAKE</v>
      </c>
      <c r="K492" s="32"/>
      <c r="L492" s="32"/>
      <c r="M492" s="32"/>
      <c r="N492" s="32"/>
      <c r="O492" s="32"/>
      <c r="P492" s="32"/>
    </row>
    <row r="493" spans="1:16" x14ac:dyDescent="0.3">
      <c r="A493" s="38">
        <v>492</v>
      </c>
      <c r="B493" s="39" t="s">
        <v>564</v>
      </c>
      <c r="C493" s="30"/>
      <c r="D493" s="30"/>
      <c r="E493" s="30" t="s">
        <v>946</v>
      </c>
      <c r="F493" s="38" t="s">
        <v>566</v>
      </c>
      <c r="G493" s="40" t="s">
        <v>570</v>
      </c>
      <c r="H493" s="38">
        <f t="shared" si="14"/>
        <v>1</v>
      </c>
      <c r="I493" s="41" t="str">
        <f t="shared" si="15"/>
        <v>Only YAKE</v>
      </c>
      <c r="K493" s="32"/>
      <c r="L493" s="32"/>
      <c r="M493" s="32"/>
      <c r="N493" s="32"/>
      <c r="O493" s="32"/>
      <c r="P493" s="32"/>
    </row>
    <row r="494" spans="1:16" x14ac:dyDescent="0.3">
      <c r="A494" s="38">
        <v>493</v>
      </c>
      <c r="B494" s="39" t="s">
        <v>564</v>
      </c>
      <c r="C494" s="30"/>
      <c r="D494" s="30" t="s">
        <v>947</v>
      </c>
      <c r="E494" s="30"/>
      <c r="F494" s="38" t="s">
        <v>566</v>
      </c>
      <c r="G494" s="40" t="s">
        <v>570</v>
      </c>
      <c r="H494" s="38">
        <f t="shared" si="14"/>
        <v>1</v>
      </c>
      <c r="I494" s="41" t="str">
        <f t="shared" si="15"/>
        <v>Only RAKE</v>
      </c>
      <c r="K494" s="32"/>
      <c r="L494" s="32"/>
      <c r="M494" s="32"/>
      <c r="N494" s="32"/>
      <c r="O494" s="32"/>
      <c r="P494" s="32"/>
    </row>
    <row r="495" spans="1:16" x14ac:dyDescent="0.3">
      <c r="A495" s="38">
        <v>494</v>
      </c>
      <c r="B495" s="39" t="s">
        <v>564</v>
      </c>
      <c r="C495" s="30"/>
      <c r="D495" s="30"/>
      <c r="E495" s="30" t="s">
        <v>948</v>
      </c>
      <c r="F495" s="38" t="s">
        <v>566</v>
      </c>
      <c r="G495" s="40" t="s">
        <v>570</v>
      </c>
      <c r="H495" s="38">
        <f t="shared" si="14"/>
        <v>1</v>
      </c>
      <c r="I495" s="41" t="str">
        <f t="shared" si="15"/>
        <v>Only YAKE</v>
      </c>
      <c r="K495" s="32"/>
      <c r="L495" s="32"/>
      <c r="M495" s="32"/>
      <c r="N495" s="32"/>
      <c r="O495" s="32"/>
      <c r="P495" s="32"/>
    </row>
    <row r="496" spans="1:16" x14ac:dyDescent="0.3">
      <c r="A496" s="38">
        <v>495</v>
      </c>
      <c r="B496" s="39" t="s">
        <v>564</v>
      </c>
      <c r="C496" s="30"/>
      <c r="D496" s="30" t="s">
        <v>949</v>
      </c>
      <c r="E496" s="30"/>
      <c r="F496" s="38" t="s">
        <v>566</v>
      </c>
      <c r="G496" s="40" t="s">
        <v>570</v>
      </c>
      <c r="H496" s="38">
        <f t="shared" si="14"/>
        <v>1</v>
      </c>
      <c r="I496" s="41" t="str">
        <f t="shared" si="15"/>
        <v>Only RAKE</v>
      </c>
      <c r="K496" s="32"/>
      <c r="L496" s="32"/>
      <c r="M496" s="32"/>
      <c r="N496" s="32"/>
      <c r="O496" s="32"/>
      <c r="P496" s="32"/>
    </row>
    <row r="497" spans="1:16" x14ac:dyDescent="0.3">
      <c r="A497" s="38">
        <v>496</v>
      </c>
      <c r="B497" s="39" t="s">
        <v>564</v>
      </c>
      <c r="C497" s="30"/>
      <c r="D497" s="30"/>
      <c r="E497" s="30" t="s">
        <v>950</v>
      </c>
      <c r="F497" s="38" t="s">
        <v>566</v>
      </c>
      <c r="G497" s="40" t="s">
        <v>570</v>
      </c>
      <c r="H497" s="38">
        <f t="shared" si="14"/>
        <v>1</v>
      </c>
      <c r="I497" s="41" t="str">
        <f t="shared" si="15"/>
        <v>Only YAKE</v>
      </c>
      <c r="K497" s="32"/>
      <c r="L497" s="32"/>
      <c r="M497" s="32"/>
      <c r="N497" s="32"/>
      <c r="O497" s="32"/>
      <c r="P497" s="32"/>
    </row>
    <row r="498" spans="1:16" x14ac:dyDescent="0.3">
      <c r="A498" s="38">
        <v>497</v>
      </c>
      <c r="B498" s="39" t="s">
        <v>564</v>
      </c>
      <c r="C498" s="30"/>
      <c r="D498" s="30" t="s">
        <v>951</v>
      </c>
      <c r="E498" s="30"/>
      <c r="F498" s="38" t="s">
        <v>566</v>
      </c>
      <c r="G498" s="40" t="s">
        <v>570</v>
      </c>
      <c r="H498" s="38">
        <f t="shared" si="14"/>
        <v>1</v>
      </c>
      <c r="I498" s="41" t="str">
        <f t="shared" si="15"/>
        <v>Only RAKE</v>
      </c>
      <c r="K498" s="32"/>
      <c r="L498" s="32"/>
      <c r="M498" s="32"/>
      <c r="N498" s="32"/>
      <c r="O498" s="32"/>
      <c r="P498" s="32"/>
    </row>
    <row r="499" spans="1:16" x14ac:dyDescent="0.3">
      <c r="A499" s="38">
        <v>498</v>
      </c>
      <c r="B499" s="39" t="s">
        <v>564</v>
      </c>
      <c r="C499" s="30"/>
      <c r="D499" s="30"/>
      <c r="E499" s="30" t="s">
        <v>952</v>
      </c>
      <c r="F499" s="38" t="s">
        <v>566</v>
      </c>
      <c r="G499" s="40" t="s">
        <v>570</v>
      </c>
      <c r="H499" s="38">
        <f t="shared" si="14"/>
        <v>1</v>
      </c>
      <c r="I499" s="41" t="str">
        <f t="shared" si="15"/>
        <v>Only YAKE</v>
      </c>
      <c r="K499" s="32"/>
      <c r="L499" s="32"/>
      <c r="M499" s="32"/>
      <c r="N499" s="32"/>
      <c r="O499" s="32"/>
      <c r="P499" s="32"/>
    </row>
    <row r="500" spans="1:16" x14ac:dyDescent="0.3">
      <c r="A500" s="38">
        <v>499</v>
      </c>
      <c r="B500" s="39" t="s">
        <v>564</v>
      </c>
      <c r="C500" s="30"/>
      <c r="D500" s="30"/>
      <c r="E500" s="30" t="s">
        <v>953</v>
      </c>
      <c r="F500" s="38" t="s">
        <v>566</v>
      </c>
      <c r="G500" s="40" t="s">
        <v>570</v>
      </c>
      <c r="H500" s="38">
        <f t="shared" si="14"/>
        <v>1</v>
      </c>
      <c r="I500" s="41" t="str">
        <f t="shared" si="15"/>
        <v>Only YAKE</v>
      </c>
      <c r="K500" s="32"/>
      <c r="L500" s="32"/>
      <c r="M500" s="32"/>
      <c r="N500" s="32"/>
      <c r="O500" s="32"/>
      <c r="P500" s="32"/>
    </row>
    <row r="501" spans="1:16" x14ac:dyDescent="0.3">
      <c r="A501" s="38">
        <v>500</v>
      </c>
      <c r="B501" s="39" t="s">
        <v>564</v>
      </c>
      <c r="C501" s="30"/>
      <c r="D501" s="30"/>
      <c r="E501" s="30" t="s">
        <v>954</v>
      </c>
      <c r="F501" s="38" t="s">
        <v>566</v>
      </c>
      <c r="G501" s="40" t="s">
        <v>570</v>
      </c>
      <c r="H501" s="38">
        <f t="shared" si="14"/>
        <v>1</v>
      </c>
      <c r="I501" s="41" t="str">
        <f t="shared" si="15"/>
        <v>Only YAKE</v>
      </c>
      <c r="K501" s="32"/>
      <c r="L501" s="32"/>
      <c r="M501" s="32"/>
      <c r="N501" s="32"/>
      <c r="O501" s="32"/>
      <c r="P501" s="32"/>
    </row>
    <row r="502" spans="1:16" x14ac:dyDescent="0.3">
      <c r="A502" s="38">
        <v>501</v>
      </c>
      <c r="B502" s="39" t="s">
        <v>564</v>
      </c>
      <c r="C502" s="30"/>
      <c r="D502" s="30" t="s">
        <v>955</v>
      </c>
      <c r="E502" s="30"/>
      <c r="F502" s="38" t="s">
        <v>566</v>
      </c>
      <c r="G502" s="40" t="s">
        <v>570</v>
      </c>
      <c r="H502" s="38">
        <f t="shared" si="14"/>
        <v>1</v>
      </c>
      <c r="I502" s="41" t="str">
        <f t="shared" si="15"/>
        <v>Only RAKE</v>
      </c>
      <c r="K502" s="32"/>
      <c r="L502" s="32"/>
      <c r="M502" s="32"/>
      <c r="N502" s="32"/>
      <c r="O502" s="32"/>
      <c r="P502" s="32"/>
    </row>
    <row r="503" spans="1:16" x14ac:dyDescent="0.3">
      <c r="A503" s="38">
        <v>502</v>
      </c>
      <c r="B503" s="39" t="s">
        <v>564</v>
      </c>
      <c r="C503" s="30"/>
      <c r="D503" s="30" t="s">
        <v>956</v>
      </c>
      <c r="E503" s="30"/>
      <c r="F503" s="38" t="s">
        <v>566</v>
      </c>
      <c r="G503" s="40" t="s">
        <v>570</v>
      </c>
      <c r="H503" s="38">
        <f t="shared" si="14"/>
        <v>1</v>
      </c>
      <c r="I503" s="41" t="str">
        <f t="shared" si="15"/>
        <v>Only RAKE</v>
      </c>
      <c r="K503" s="32"/>
      <c r="L503" s="32"/>
      <c r="M503" s="32"/>
      <c r="N503" s="32"/>
      <c r="O503" s="32"/>
      <c r="P503" s="32"/>
    </row>
    <row r="504" spans="1:16" x14ac:dyDescent="0.3">
      <c r="A504" s="38">
        <v>503</v>
      </c>
      <c r="B504" s="39" t="s">
        <v>564</v>
      </c>
      <c r="C504" s="30"/>
      <c r="D504" s="30"/>
      <c r="E504" s="30" t="s">
        <v>957</v>
      </c>
      <c r="F504" s="38" t="s">
        <v>566</v>
      </c>
      <c r="G504" s="40" t="s">
        <v>570</v>
      </c>
      <c r="H504" s="38">
        <f t="shared" si="14"/>
        <v>1</v>
      </c>
      <c r="I504" s="41" t="str">
        <f t="shared" si="15"/>
        <v>Only YAKE</v>
      </c>
      <c r="K504" s="32"/>
      <c r="L504" s="32"/>
      <c r="M504" s="32"/>
      <c r="N504" s="32"/>
      <c r="O504" s="32"/>
      <c r="P504" s="32"/>
    </row>
    <row r="505" spans="1:16" x14ac:dyDescent="0.3">
      <c r="A505" s="38">
        <v>504</v>
      </c>
      <c r="B505" s="39" t="s">
        <v>564</v>
      </c>
      <c r="C505" s="30"/>
      <c r="D505" s="30"/>
      <c r="E505" s="30" t="s">
        <v>958</v>
      </c>
      <c r="F505" s="38" t="s">
        <v>566</v>
      </c>
      <c r="G505" s="40" t="s">
        <v>570</v>
      </c>
      <c r="H505" s="38">
        <f t="shared" si="14"/>
        <v>1</v>
      </c>
      <c r="I505" s="41" t="str">
        <f t="shared" si="15"/>
        <v>Only YAKE</v>
      </c>
      <c r="K505" s="32"/>
      <c r="L505" s="32"/>
      <c r="M505" s="32"/>
      <c r="N505" s="32"/>
      <c r="O505" s="32"/>
      <c r="P505" s="32"/>
    </row>
    <row r="506" spans="1:16" x14ac:dyDescent="0.3">
      <c r="A506" s="38">
        <v>505</v>
      </c>
      <c r="B506" s="39" t="s">
        <v>564</v>
      </c>
      <c r="C506" s="30"/>
      <c r="D506" s="30" t="s">
        <v>959</v>
      </c>
      <c r="E506" s="30"/>
      <c r="F506" s="38" t="s">
        <v>566</v>
      </c>
      <c r="G506" s="40" t="s">
        <v>570</v>
      </c>
      <c r="H506" s="38">
        <f t="shared" si="14"/>
        <v>1</v>
      </c>
      <c r="I506" s="41" t="str">
        <f t="shared" si="15"/>
        <v>Only RAKE</v>
      </c>
      <c r="K506" s="32"/>
      <c r="L506" s="32"/>
      <c r="M506" s="32"/>
      <c r="N506" s="32"/>
      <c r="O506" s="32"/>
      <c r="P506" s="32"/>
    </row>
    <row r="507" spans="1:16" x14ac:dyDescent="0.3">
      <c r="A507" s="38">
        <v>506</v>
      </c>
      <c r="B507" s="39" t="s">
        <v>564</v>
      </c>
      <c r="C507" s="30"/>
      <c r="D507" s="30" t="s">
        <v>960</v>
      </c>
      <c r="E507" s="30"/>
      <c r="F507" s="38" t="s">
        <v>566</v>
      </c>
      <c r="G507" s="40" t="s">
        <v>570</v>
      </c>
      <c r="H507" s="38">
        <f t="shared" si="14"/>
        <v>1</v>
      </c>
      <c r="I507" s="41" t="str">
        <f t="shared" si="15"/>
        <v>Only RAKE</v>
      </c>
      <c r="K507" s="32"/>
      <c r="L507" s="32"/>
      <c r="M507" s="32"/>
      <c r="N507" s="32"/>
      <c r="O507" s="32"/>
      <c r="P507" s="32"/>
    </row>
    <row r="508" spans="1:16" x14ac:dyDescent="0.3">
      <c r="A508" s="38">
        <v>507</v>
      </c>
      <c r="B508" s="39" t="s">
        <v>564</v>
      </c>
      <c r="C508" s="30"/>
      <c r="D508" s="30"/>
      <c r="E508" s="30" t="s">
        <v>961</v>
      </c>
      <c r="F508" s="38" t="s">
        <v>566</v>
      </c>
      <c r="G508" s="40" t="s">
        <v>570</v>
      </c>
      <c r="H508" s="38">
        <f t="shared" si="14"/>
        <v>1</v>
      </c>
      <c r="I508" s="41" t="str">
        <f t="shared" si="15"/>
        <v>Only YAKE</v>
      </c>
      <c r="K508" s="32"/>
      <c r="L508" s="32"/>
      <c r="M508" s="32"/>
      <c r="N508" s="32"/>
      <c r="O508" s="32"/>
      <c r="P508" s="32"/>
    </row>
    <row r="509" spans="1:16" x14ac:dyDescent="0.3">
      <c r="A509" s="38">
        <v>508</v>
      </c>
      <c r="B509" s="39" t="s">
        <v>564</v>
      </c>
      <c r="C509" s="30"/>
      <c r="D509" s="30"/>
      <c r="E509" s="30" t="s">
        <v>962</v>
      </c>
      <c r="F509" s="38" t="s">
        <v>566</v>
      </c>
      <c r="G509" s="40" t="s">
        <v>570</v>
      </c>
      <c r="H509" s="38">
        <f t="shared" si="14"/>
        <v>1</v>
      </c>
      <c r="I509" s="41" t="str">
        <f t="shared" si="15"/>
        <v>Only YAKE</v>
      </c>
      <c r="K509" s="32"/>
      <c r="L509" s="32"/>
      <c r="M509" s="32"/>
      <c r="N509" s="32"/>
      <c r="O509" s="32"/>
      <c r="P509" s="32"/>
    </row>
    <row r="510" spans="1:16" x14ac:dyDescent="0.3">
      <c r="A510" s="38">
        <v>509</v>
      </c>
      <c r="B510" s="39" t="s">
        <v>564</v>
      </c>
      <c r="C510" s="30"/>
      <c r="D510" s="30"/>
      <c r="E510" s="30" t="s">
        <v>963</v>
      </c>
      <c r="F510" s="38" t="s">
        <v>566</v>
      </c>
      <c r="G510" s="40" t="s">
        <v>570</v>
      </c>
      <c r="H510" s="38">
        <f t="shared" si="14"/>
        <v>1</v>
      </c>
      <c r="I510" s="41" t="str">
        <f t="shared" si="15"/>
        <v>Only YAKE</v>
      </c>
      <c r="K510" s="32"/>
      <c r="L510" s="32"/>
      <c r="M510" s="32"/>
      <c r="N510" s="32"/>
      <c r="O510" s="32"/>
      <c r="P510" s="32"/>
    </row>
    <row r="511" spans="1:16" x14ac:dyDescent="0.3">
      <c r="A511" s="38">
        <v>510</v>
      </c>
      <c r="B511" s="39" t="s">
        <v>564</v>
      </c>
      <c r="C511" s="30"/>
      <c r="D511" s="30" t="s">
        <v>964</v>
      </c>
      <c r="E511" s="30"/>
      <c r="F511" s="38" t="s">
        <v>566</v>
      </c>
      <c r="G511" s="40" t="s">
        <v>570</v>
      </c>
      <c r="H511" s="38">
        <f t="shared" si="14"/>
        <v>1</v>
      </c>
      <c r="I511" s="41" t="str">
        <f t="shared" si="15"/>
        <v>Only RAKE</v>
      </c>
      <c r="K511" s="32"/>
      <c r="L511" s="32"/>
      <c r="M511" s="32"/>
      <c r="N511" s="32"/>
      <c r="O511" s="32"/>
      <c r="P511" s="32"/>
    </row>
    <row r="512" spans="1:16" x14ac:dyDescent="0.3">
      <c r="A512" s="38">
        <v>511</v>
      </c>
      <c r="B512" s="39" t="s">
        <v>564</v>
      </c>
      <c r="C512" s="30"/>
      <c r="D512" s="30"/>
      <c r="E512" s="30" t="s">
        <v>965</v>
      </c>
      <c r="F512" s="38" t="s">
        <v>566</v>
      </c>
      <c r="G512" s="40" t="s">
        <v>570</v>
      </c>
      <c r="H512" s="38">
        <f t="shared" si="14"/>
        <v>1</v>
      </c>
      <c r="I512" s="41" t="str">
        <f t="shared" si="15"/>
        <v>Only YAKE</v>
      </c>
      <c r="K512" s="32"/>
      <c r="L512" s="32"/>
      <c r="M512" s="32"/>
      <c r="N512" s="32"/>
      <c r="O512" s="32"/>
      <c r="P512" s="32"/>
    </row>
    <row r="513" spans="1:16" x14ac:dyDescent="0.3">
      <c r="A513" s="38">
        <v>512</v>
      </c>
      <c r="B513" s="39" t="s">
        <v>564</v>
      </c>
      <c r="C513" s="30"/>
      <c r="D513" s="30" t="s">
        <v>966</v>
      </c>
      <c r="E513" s="30"/>
      <c r="F513" s="38" t="s">
        <v>566</v>
      </c>
      <c r="G513" s="40" t="s">
        <v>570</v>
      </c>
      <c r="H513" s="38">
        <f t="shared" si="14"/>
        <v>1</v>
      </c>
      <c r="I513" s="41" t="str">
        <f t="shared" si="15"/>
        <v>Only RAKE</v>
      </c>
      <c r="K513" s="32"/>
      <c r="L513" s="32"/>
      <c r="M513" s="32"/>
      <c r="N513" s="32"/>
      <c r="O513" s="32"/>
      <c r="P513" s="32"/>
    </row>
    <row r="514" spans="1:16" x14ac:dyDescent="0.3">
      <c r="A514" s="38">
        <v>513</v>
      </c>
      <c r="B514" s="39" t="s">
        <v>564</v>
      </c>
      <c r="C514" s="30"/>
      <c r="D514" s="30" t="s">
        <v>967</v>
      </c>
      <c r="E514" s="30"/>
      <c r="F514" s="38" t="s">
        <v>566</v>
      </c>
      <c r="G514" s="40" t="s">
        <v>570</v>
      </c>
      <c r="H514" s="38">
        <f t="shared" ref="H514:H577" si="16">COUNTIF(C514:E514,"?*")</f>
        <v>1</v>
      </c>
      <c r="I514" s="41" t="str">
        <f t="shared" ref="I514:I577" si="17">IF(H514=0,"None",IF(H514=3,"All three",IF(H514=1,"Only "&amp;TRIM(IF(C514&lt;&gt;"","Gemini ","")&amp;IF(D514&lt;&gt;"","RAKE ","")&amp;IF(E514&lt;&gt;"","YAKE","")),SUBSTITUTE(TRIM(IF(C514&lt;&gt;"","Gemini ","")&amp;IF(D514&lt;&gt;"","RAKE ","")&amp;IF(E514&lt;&gt;"","YAKE",""))," "," + "))))</f>
        <v>Only RAKE</v>
      </c>
      <c r="K514" s="32"/>
      <c r="L514" s="32"/>
      <c r="M514" s="32"/>
      <c r="N514" s="32"/>
      <c r="O514" s="32"/>
      <c r="P514" s="32"/>
    </row>
    <row r="515" spans="1:16" x14ac:dyDescent="0.3">
      <c r="A515" s="38">
        <v>514</v>
      </c>
      <c r="B515" s="39" t="s">
        <v>564</v>
      </c>
      <c r="C515" s="30"/>
      <c r="D515" s="30" t="s">
        <v>968</v>
      </c>
      <c r="E515" s="30"/>
      <c r="F515" s="38" t="s">
        <v>566</v>
      </c>
      <c r="G515" s="40" t="s">
        <v>570</v>
      </c>
      <c r="H515" s="38">
        <f t="shared" si="16"/>
        <v>1</v>
      </c>
      <c r="I515" s="41" t="str">
        <f t="shared" si="17"/>
        <v>Only RAKE</v>
      </c>
      <c r="K515" s="32"/>
      <c r="L515" s="32"/>
      <c r="M515" s="32"/>
      <c r="N515" s="32"/>
      <c r="O515" s="32"/>
      <c r="P515" s="32"/>
    </row>
    <row r="516" spans="1:16" x14ac:dyDescent="0.3">
      <c r="A516" s="38">
        <v>515</v>
      </c>
      <c r="B516" s="39" t="s">
        <v>564</v>
      </c>
      <c r="C516" s="30" t="s">
        <v>969</v>
      </c>
      <c r="D516" s="30"/>
      <c r="E516" s="30"/>
      <c r="F516" s="38" t="s">
        <v>566</v>
      </c>
      <c r="G516" s="40" t="s">
        <v>570</v>
      </c>
      <c r="H516" s="38">
        <f t="shared" si="16"/>
        <v>1</v>
      </c>
      <c r="I516" s="41" t="str">
        <f t="shared" si="17"/>
        <v>Only Gemini</v>
      </c>
      <c r="K516" s="32"/>
      <c r="L516" s="32"/>
      <c r="M516" s="32"/>
      <c r="N516" s="32"/>
      <c r="O516" s="32"/>
      <c r="P516" s="32"/>
    </row>
    <row r="517" spans="1:16" x14ac:dyDescent="0.3">
      <c r="A517" s="38">
        <v>516</v>
      </c>
      <c r="B517" s="39" t="s">
        <v>564</v>
      </c>
      <c r="C517" s="30"/>
      <c r="D517" s="30" t="s">
        <v>970</v>
      </c>
      <c r="E517" s="30"/>
      <c r="F517" s="38" t="s">
        <v>566</v>
      </c>
      <c r="G517" s="40" t="s">
        <v>570</v>
      </c>
      <c r="H517" s="38">
        <f t="shared" si="16"/>
        <v>1</v>
      </c>
      <c r="I517" s="41" t="str">
        <f t="shared" si="17"/>
        <v>Only RAKE</v>
      </c>
      <c r="K517" s="32"/>
      <c r="L517" s="32"/>
      <c r="M517" s="32"/>
      <c r="N517" s="32"/>
      <c r="O517" s="32"/>
      <c r="P517" s="32"/>
    </row>
    <row r="518" spans="1:16" x14ac:dyDescent="0.3">
      <c r="A518" s="38">
        <v>517</v>
      </c>
      <c r="B518" s="39" t="s">
        <v>564</v>
      </c>
      <c r="C518" s="30"/>
      <c r="D518" s="30"/>
      <c r="E518" s="30" t="s">
        <v>971</v>
      </c>
      <c r="F518" s="38" t="s">
        <v>566</v>
      </c>
      <c r="G518" s="40" t="s">
        <v>570</v>
      </c>
      <c r="H518" s="38">
        <f t="shared" si="16"/>
        <v>1</v>
      </c>
      <c r="I518" s="41" t="str">
        <f t="shared" si="17"/>
        <v>Only YAKE</v>
      </c>
      <c r="K518" s="32"/>
      <c r="L518" s="32"/>
      <c r="M518" s="32"/>
      <c r="N518" s="32"/>
      <c r="O518" s="32"/>
      <c r="P518" s="32"/>
    </row>
    <row r="519" spans="1:16" x14ac:dyDescent="0.3">
      <c r="A519" s="38">
        <v>518</v>
      </c>
      <c r="B519" s="39" t="s">
        <v>564</v>
      </c>
      <c r="C519" s="30"/>
      <c r="D519" s="30" t="s">
        <v>972</v>
      </c>
      <c r="E519" s="30"/>
      <c r="F519" s="38" t="s">
        <v>566</v>
      </c>
      <c r="G519" s="40" t="s">
        <v>570</v>
      </c>
      <c r="H519" s="38">
        <f t="shared" si="16"/>
        <v>1</v>
      </c>
      <c r="I519" s="41" t="str">
        <f t="shared" si="17"/>
        <v>Only RAKE</v>
      </c>
      <c r="K519" s="32"/>
      <c r="L519" s="32"/>
      <c r="M519" s="32"/>
      <c r="N519" s="32"/>
      <c r="O519" s="32"/>
      <c r="P519" s="32"/>
    </row>
    <row r="520" spans="1:16" x14ac:dyDescent="0.3">
      <c r="A520" s="38">
        <v>519</v>
      </c>
      <c r="B520" s="39" t="s">
        <v>564</v>
      </c>
      <c r="C520" s="30"/>
      <c r="D520" s="30"/>
      <c r="E520" s="30" t="s">
        <v>973</v>
      </c>
      <c r="F520" s="38" t="s">
        <v>566</v>
      </c>
      <c r="G520" s="40" t="s">
        <v>570</v>
      </c>
      <c r="H520" s="38">
        <f t="shared" si="16"/>
        <v>1</v>
      </c>
      <c r="I520" s="41" t="str">
        <f t="shared" si="17"/>
        <v>Only YAKE</v>
      </c>
      <c r="K520" s="32"/>
      <c r="L520" s="32"/>
      <c r="M520" s="32"/>
      <c r="N520" s="32"/>
      <c r="O520" s="32"/>
      <c r="P520" s="32"/>
    </row>
    <row r="521" spans="1:16" x14ac:dyDescent="0.3">
      <c r="A521" s="38">
        <v>520</v>
      </c>
      <c r="B521" s="39" t="s">
        <v>564</v>
      </c>
      <c r="C521" s="30"/>
      <c r="D521" s="30"/>
      <c r="E521" s="30" t="s">
        <v>974</v>
      </c>
      <c r="F521" s="38" t="s">
        <v>566</v>
      </c>
      <c r="G521" s="40" t="s">
        <v>975</v>
      </c>
      <c r="H521" s="38">
        <f t="shared" si="16"/>
        <v>1</v>
      </c>
      <c r="I521" s="41" t="str">
        <f t="shared" si="17"/>
        <v>Only YAKE</v>
      </c>
      <c r="K521" s="32"/>
      <c r="L521" s="32"/>
      <c r="M521" s="32"/>
      <c r="N521" s="32"/>
      <c r="O521" s="32"/>
      <c r="P521" s="32"/>
    </row>
    <row r="522" spans="1:16" x14ac:dyDescent="0.3">
      <c r="A522" s="38">
        <v>521</v>
      </c>
      <c r="B522" s="39" t="s">
        <v>564</v>
      </c>
      <c r="C522" s="30"/>
      <c r="D522" s="30"/>
      <c r="E522" s="30" t="s">
        <v>976</v>
      </c>
      <c r="F522" s="38" t="s">
        <v>566</v>
      </c>
      <c r="G522" s="40" t="s">
        <v>570</v>
      </c>
      <c r="H522" s="38">
        <f t="shared" si="16"/>
        <v>1</v>
      </c>
      <c r="I522" s="41" t="str">
        <f t="shared" si="17"/>
        <v>Only YAKE</v>
      </c>
      <c r="K522" s="32"/>
      <c r="L522" s="32"/>
      <c r="M522" s="32"/>
      <c r="N522" s="32"/>
      <c r="O522" s="32"/>
      <c r="P522" s="32"/>
    </row>
    <row r="523" spans="1:16" x14ac:dyDescent="0.3">
      <c r="A523" s="38">
        <v>522</v>
      </c>
      <c r="B523" s="39" t="s">
        <v>564</v>
      </c>
      <c r="C523" s="30"/>
      <c r="D523" s="30"/>
      <c r="E523" s="30" t="s">
        <v>977</v>
      </c>
      <c r="F523" s="38" t="s">
        <v>566</v>
      </c>
      <c r="G523" s="40" t="s">
        <v>570</v>
      </c>
      <c r="H523" s="38">
        <f t="shared" si="16"/>
        <v>1</v>
      </c>
      <c r="I523" s="41" t="str">
        <f t="shared" si="17"/>
        <v>Only YAKE</v>
      </c>
      <c r="K523" s="32"/>
      <c r="L523" s="32"/>
      <c r="M523" s="32"/>
      <c r="N523" s="32"/>
      <c r="O523" s="32"/>
      <c r="P523" s="32"/>
    </row>
    <row r="524" spans="1:16" x14ac:dyDescent="0.3">
      <c r="A524" s="38">
        <v>523</v>
      </c>
      <c r="B524" s="39" t="s">
        <v>564</v>
      </c>
      <c r="C524" s="30"/>
      <c r="D524" s="30"/>
      <c r="E524" s="30" t="s">
        <v>978</v>
      </c>
      <c r="F524" s="38" t="s">
        <v>566</v>
      </c>
      <c r="G524" s="40" t="s">
        <v>570</v>
      </c>
      <c r="H524" s="38">
        <f t="shared" si="16"/>
        <v>1</v>
      </c>
      <c r="I524" s="41" t="str">
        <f t="shared" si="17"/>
        <v>Only YAKE</v>
      </c>
      <c r="K524" s="32"/>
      <c r="L524" s="32"/>
      <c r="M524" s="32"/>
      <c r="N524" s="32"/>
      <c r="O524" s="32"/>
      <c r="P524" s="32"/>
    </row>
    <row r="525" spans="1:16" x14ac:dyDescent="0.3">
      <c r="A525" s="38">
        <v>524</v>
      </c>
      <c r="B525" s="39" t="s">
        <v>564</v>
      </c>
      <c r="C525" s="30"/>
      <c r="D525" s="30" t="s">
        <v>979</v>
      </c>
      <c r="E525" s="30"/>
      <c r="F525" s="38" t="s">
        <v>566</v>
      </c>
      <c r="G525" s="40" t="s">
        <v>570</v>
      </c>
      <c r="H525" s="38">
        <f t="shared" si="16"/>
        <v>1</v>
      </c>
      <c r="I525" s="41" t="str">
        <f t="shared" si="17"/>
        <v>Only RAKE</v>
      </c>
      <c r="K525" s="32"/>
      <c r="L525" s="32"/>
      <c r="M525" s="32"/>
      <c r="N525" s="32"/>
      <c r="O525" s="32"/>
      <c r="P525" s="32"/>
    </row>
    <row r="526" spans="1:16" x14ac:dyDescent="0.3">
      <c r="A526" s="38">
        <v>525</v>
      </c>
      <c r="B526" s="39" t="s">
        <v>564</v>
      </c>
      <c r="C526" s="30"/>
      <c r="D526" s="30" t="s">
        <v>980</v>
      </c>
      <c r="E526" s="30"/>
      <c r="F526" s="38" t="s">
        <v>566</v>
      </c>
      <c r="G526" s="40" t="s">
        <v>570</v>
      </c>
      <c r="H526" s="38">
        <f t="shared" si="16"/>
        <v>1</v>
      </c>
      <c r="I526" s="41" t="str">
        <f t="shared" si="17"/>
        <v>Only RAKE</v>
      </c>
      <c r="K526" s="32"/>
      <c r="L526" s="32"/>
      <c r="M526" s="32"/>
      <c r="N526" s="32"/>
      <c r="O526" s="32"/>
      <c r="P526" s="32"/>
    </row>
    <row r="527" spans="1:16" x14ac:dyDescent="0.3">
      <c r="A527" s="38">
        <v>526</v>
      </c>
      <c r="B527" s="39" t="s">
        <v>564</v>
      </c>
      <c r="C527" s="30"/>
      <c r="D527" s="30" t="s">
        <v>981</v>
      </c>
      <c r="E527" s="30"/>
      <c r="F527" s="38" t="s">
        <v>566</v>
      </c>
      <c r="G527" s="40" t="s">
        <v>570</v>
      </c>
      <c r="H527" s="38">
        <f t="shared" si="16"/>
        <v>1</v>
      </c>
      <c r="I527" s="41" t="str">
        <f t="shared" si="17"/>
        <v>Only RAKE</v>
      </c>
      <c r="K527" s="32"/>
      <c r="L527" s="32"/>
      <c r="M527" s="32"/>
      <c r="N527" s="32"/>
      <c r="O527" s="32"/>
      <c r="P527" s="32"/>
    </row>
    <row r="528" spans="1:16" x14ac:dyDescent="0.3">
      <c r="A528" s="38">
        <v>527</v>
      </c>
      <c r="B528" s="39" t="s">
        <v>564</v>
      </c>
      <c r="C528" s="30"/>
      <c r="D528" s="30" t="s">
        <v>982</v>
      </c>
      <c r="E528" s="30"/>
      <c r="F528" s="38" t="s">
        <v>566</v>
      </c>
      <c r="G528" s="40" t="s">
        <v>570</v>
      </c>
      <c r="H528" s="38">
        <f t="shared" si="16"/>
        <v>1</v>
      </c>
      <c r="I528" s="41" t="str">
        <f t="shared" si="17"/>
        <v>Only RAKE</v>
      </c>
      <c r="K528" s="32"/>
      <c r="L528" s="32"/>
      <c r="M528" s="32"/>
      <c r="N528" s="32"/>
      <c r="O528" s="32"/>
      <c r="P528" s="32"/>
    </row>
    <row r="529" spans="1:16" x14ac:dyDescent="0.3">
      <c r="A529" s="38">
        <v>528</v>
      </c>
      <c r="B529" s="39" t="s">
        <v>564</v>
      </c>
      <c r="C529" s="30"/>
      <c r="D529" s="30"/>
      <c r="E529" s="30" t="s">
        <v>983</v>
      </c>
      <c r="F529" s="38" t="s">
        <v>566</v>
      </c>
      <c r="G529" s="40" t="s">
        <v>570</v>
      </c>
      <c r="H529" s="38">
        <f t="shared" si="16"/>
        <v>1</v>
      </c>
      <c r="I529" s="41" t="str">
        <f t="shared" si="17"/>
        <v>Only YAKE</v>
      </c>
      <c r="K529" s="32"/>
      <c r="L529" s="32"/>
      <c r="M529" s="32"/>
      <c r="N529" s="32"/>
      <c r="O529" s="32"/>
      <c r="P529" s="32"/>
    </row>
    <row r="530" spans="1:16" x14ac:dyDescent="0.3">
      <c r="A530" s="38">
        <v>529</v>
      </c>
      <c r="B530" s="39" t="s">
        <v>564</v>
      </c>
      <c r="C530" s="30"/>
      <c r="D530" s="30" t="s">
        <v>984</v>
      </c>
      <c r="E530" s="30"/>
      <c r="F530" s="38" t="s">
        <v>566</v>
      </c>
      <c r="G530" s="40" t="s">
        <v>570</v>
      </c>
      <c r="H530" s="38">
        <f t="shared" si="16"/>
        <v>1</v>
      </c>
      <c r="I530" s="41" t="str">
        <f t="shared" si="17"/>
        <v>Only RAKE</v>
      </c>
      <c r="K530" s="32"/>
      <c r="L530" s="32"/>
      <c r="M530" s="32"/>
      <c r="N530" s="32"/>
      <c r="O530" s="32"/>
      <c r="P530" s="32"/>
    </row>
    <row r="531" spans="1:16" x14ac:dyDescent="0.3">
      <c r="A531" s="38">
        <v>530</v>
      </c>
      <c r="B531" s="39" t="s">
        <v>564</v>
      </c>
      <c r="C531" s="30"/>
      <c r="D531" s="30" t="s">
        <v>985</v>
      </c>
      <c r="E531" s="30"/>
      <c r="F531" s="38" t="s">
        <v>566</v>
      </c>
      <c r="G531" s="40" t="s">
        <v>570</v>
      </c>
      <c r="H531" s="38">
        <f t="shared" si="16"/>
        <v>1</v>
      </c>
      <c r="I531" s="41" t="str">
        <f t="shared" si="17"/>
        <v>Only RAKE</v>
      </c>
      <c r="K531" s="32"/>
      <c r="L531" s="32"/>
      <c r="M531" s="32"/>
      <c r="N531" s="32"/>
      <c r="O531" s="32"/>
      <c r="P531" s="32"/>
    </row>
    <row r="532" spans="1:16" x14ac:dyDescent="0.3">
      <c r="A532" s="38">
        <v>531</v>
      </c>
      <c r="B532" s="39" t="s">
        <v>564</v>
      </c>
      <c r="C532" s="30"/>
      <c r="D532" s="30" t="s">
        <v>986</v>
      </c>
      <c r="E532" s="30"/>
      <c r="F532" s="38" t="s">
        <v>566</v>
      </c>
      <c r="G532" s="40" t="s">
        <v>570</v>
      </c>
      <c r="H532" s="38">
        <f t="shared" si="16"/>
        <v>1</v>
      </c>
      <c r="I532" s="41" t="str">
        <f t="shared" si="17"/>
        <v>Only RAKE</v>
      </c>
      <c r="K532" s="32"/>
      <c r="L532" s="32"/>
      <c r="M532" s="32"/>
      <c r="N532" s="32"/>
      <c r="O532" s="32"/>
      <c r="P532" s="32"/>
    </row>
    <row r="533" spans="1:16" x14ac:dyDescent="0.3">
      <c r="A533" s="38">
        <v>532</v>
      </c>
      <c r="B533" s="39" t="s">
        <v>564</v>
      </c>
      <c r="C533" s="30"/>
      <c r="D533" s="30" t="s">
        <v>987</v>
      </c>
      <c r="E533" s="30"/>
      <c r="F533" s="38" t="s">
        <v>566</v>
      </c>
      <c r="G533" s="40" t="s">
        <v>570</v>
      </c>
      <c r="H533" s="38">
        <f t="shared" si="16"/>
        <v>1</v>
      </c>
      <c r="I533" s="41" t="str">
        <f t="shared" si="17"/>
        <v>Only RAKE</v>
      </c>
      <c r="K533" s="32"/>
      <c r="L533" s="32"/>
      <c r="M533" s="32"/>
      <c r="N533" s="32"/>
      <c r="O533" s="32"/>
      <c r="P533" s="32"/>
    </row>
    <row r="534" spans="1:16" x14ac:dyDescent="0.3">
      <c r="A534" s="38">
        <v>533</v>
      </c>
      <c r="B534" s="39" t="s">
        <v>564</v>
      </c>
      <c r="C534" s="30"/>
      <c r="D534" s="30"/>
      <c r="E534" s="30" t="s">
        <v>988</v>
      </c>
      <c r="F534" s="38" t="s">
        <v>566</v>
      </c>
      <c r="G534" s="40" t="s">
        <v>570</v>
      </c>
      <c r="H534" s="38">
        <f t="shared" si="16"/>
        <v>1</v>
      </c>
      <c r="I534" s="41" t="str">
        <f t="shared" si="17"/>
        <v>Only YAKE</v>
      </c>
      <c r="K534" s="32"/>
      <c r="L534" s="32"/>
      <c r="M534" s="32"/>
      <c r="N534" s="32"/>
      <c r="O534" s="32"/>
      <c r="P534" s="32"/>
    </row>
    <row r="535" spans="1:16" x14ac:dyDescent="0.3">
      <c r="A535" s="38">
        <v>534</v>
      </c>
      <c r="B535" s="39" t="s">
        <v>564</v>
      </c>
      <c r="C535" s="30"/>
      <c r="D535" s="30" t="s">
        <v>989</v>
      </c>
      <c r="E535" s="30"/>
      <c r="F535" s="38" t="s">
        <v>566</v>
      </c>
      <c r="G535" s="40" t="s">
        <v>570</v>
      </c>
      <c r="H535" s="38">
        <f t="shared" si="16"/>
        <v>1</v>
      </c>
      <c r="I535" s="41" t="str">
        <f t="shared" si="17"/>
        <v>Only RAKE</v>
      </c>
      <c r="K535" s="32"/>
      <c r="L535" s="32"/>
      <c r="M535" s="32"/>
      <c r="N535" s="32"/>
      <c r="O535" s="32"/>
      <c r="P535" s="32"/>
    </row>
    <row r="536" spans="1:16" x14ac:dyDescent="0.3">
      <c r="A536" s="38">
        <v>535</v>
      </c>
      <c r="B536" s="39" t="s">
        <v>564</v>
      </c>
      <c r="C536" s="30"/>
      <c r="D536" s="30"/>
      <c r="E536" s="30" t="s">
        <v>990</v>
      </c>
      <c r="F536" s="38" t="s">
        <v>566</v>
      </c>
      <c r="G536" s="40" t="s">
        <v>570</v>
      </c>
      <c r="H536" s="38">
        <f t="shared" si="16"/>
        <v>1</v>
      </c>
      <c r="I536" s="41" t="str">
        <f t="shared" si="17"/>
        <v>Only YAKE</v>
      </c>
      <c r="K536" s="32"/>
      <c r="L536" s="32"/>
      <c r="M536" s="32"/>
      <c r="N536" s="32"/>
      <c r="O536" s="32"/>
      <c r="P536" s="32"/>
    </row>
    <row r="537" spans="1:16" x14ac:dyDescent="0.3">
      <c r="A537" s="38">
        <v>536</v>
      </c>
      <c r="B537" s="39" t="s">
        <v>564</v>
      </c>
      <c r="C537" s="30"/>
      <c r="D537" s="30"/>
      <c r="E537" s="30" t="s">
        <v>991</v>
      </c>
      <c r="F537" s="38" t="s">
        <v>566</v>
      </c>
      <c r="G537" s="40" t="s">
        <v>570</v>
      </c>
      <c r="H537" s="38">
        <f t="shared" si="16"/>
        <v>1</v>
      </c>
      <c r="I537" s="41" t="str">
        <f t="shared" si="17"/>
        <v>Only YAKE</v>
      </c>
      <c r="K537" s="32"/>
      <c r="L537" s="32"/>
      <c r="M537" s="32"/>
      <c r="N537" s="32"/>
      <c r="O537" s="32"/>
      <c r="P537" s="32"/>
    </row>
    <row r="538" spans="1:16" x14ac:dyDescent="0.3">
      <c r="A538" s="38">
        <v>537</v>
      </c>
      <c r="B538" s="39" t="s">
        <v>564</v>
      </c>
      <c r="C538" s="30"/>
      <c r="D538" s="30"/>
      <c r="E538" s="30" t="s">
        <v>992</v>
      </c>
      <c r="F538" s="38" t="s">
        <v>566</v>
      </c>
      <c r="G538" s="40" t="s">
        <v>570</v>
      </c>
      <c r="H538" s="38">
        <f t="shared" si="16"/>
        <v>1</v>
      </c>
      <c r="I538" s="41" t="str">
        <f t="shared" si="17"/>
        <v>Only YAKE</v>
      </c>
      <c r="K538" s="32"/>
      <c r="L538" s="32"/>
      <c r="M538" s="32"/>
      <c r="N538" s="32"/>
      <c r="O538" s="32"/>
      <c r="P538" s="32"/>
    </row>
    <row r="539" spans="1:16" x14ac:dyDescent="0.3">
      <c r="A539" s="38">
        <v>538</v>
      </c>
      <c r="B539" s="39" t="s">
        <v>564</v>
      </c>
      <c r="C539" s="30"/>
      <c r="D539" s="30"/>
      <c r="E539" s="30" t="s">
        <v>993</v>
      </c>
      <c r="F539" s="38" t="s">
        <v>566</v>
      </c>
      <c r="G539" s="40" t="s">
        <v>570</v>
      </c>
      <c r="H539" s="38">
        <f t="shared" si="16"/>
        <v>1</v>
      </c>
      <c r="I539" s="41" t="str">
        <f t="shared" si="17"/>
        <v>Only YAKE</v>
      </c>
      <c r="K539" s="32"/>
      <c r="L539" s="32"/>
      <c r="M539" s="32"/>
      <c r="N539" s="32"/>
      <c r="O539" s="32"/>
      <c r="P539" s="32"/>
    </row>
    <row r="540" spans="1:16" x14ac:dyDescent="0.3">
      <c r="A540" s="38">
        <v>539</v>
      </c>
      <c r="B540" s="39" t="s">
        <v>564</v>
      </c>
      <c r="C540" s="30"/>
      <c r="D540" s="30"/>
      <c r="E540" s="30" t="s">
        <v>994</v>
      </c>
      <c r="F540" s="38" t="s">
        <v>566</v>
      </c>
      <c r="G540" s="40" t="s">
        <v>570</v>
      </c>
      <c r="H540" s="38">
        <f t="shared" si="16"/>
        <v>1</v>
      </c>
      <c r="I540" s="41" t="str">
        <f t="shared" si="17"/>
        <v>Only YAKE</v>
      </c>
      <c r="K540" s="32"/>
      <c r="L540" s="32"/>
      <c r="M540" s="32"/>
      <c r="N540" s="32"/>
      <c r="O540" s="32"/>
      <c r="P540" s="32"/>
    </row>
    <row r="541" spans="1:16" x14ac:dyDescent="0.3">
      <c r="A541" s="38">
        <v>540</v>
      </c>
      <c r="B541" s="39" t="s">
        <v>564</v>
      </c>
      <c r="C541" s="30"/>
      <c r="D541" s="30"/>
      <c r="E541" s="30" t="s">
        <v>995</v>
      </c>
      <c r="F541" s="38" t="s">
        <v>566</v>
      </c>
      <c r="G541" s="40" t="s">
        <v>570</v>
      </c>
      <c r="H541" s="38">
        <f t="shared" si="16"/>
        <v>1</v>
      </c>
      <c r="I541" s="41" t="str">
        <f t="shared" si="17"/>
        <v>Only YAKE</v>
      </c>
      <c r="K541" s="32"/>
      <c r="L541" s="32"/>
      <c r="M541" s="32"/>
      <c r="N541" s="32"/>
      <c r="O541" s="32"/>
      <c r="P541" s="32"/>
    </row>
    <row r="542" spans="1:16" x14ac:dyDescent="0.3">
      <c r="A542" s="38">
        <v>541</v>
      </c>
      <c r="B542" s="39" t="s">
        <v>564</v>
      </c>
      <c r="C542" s="30"/>
      <c r="D542" s="30" t="s">
        <v>996</v>
      </c>
      <c r="E542" s="30"/>
      <c r="F542" s="38" t="s">
        <v>566</v>
      </c>
      <c r="G542" s="40" t="s">
        <v>570</v>
      </c>
      <c r="H542" s="38">
        <f t="shared" si="16"/>
        <v>1</v>
      </c>
      <c r="I542" s="41" t="str">
        <f t="shared" si="17"/>
        <v>Only RAKE</v>
      </c>
      <c r="K542" s="32"/>
      <c r="L542" s="32"/>
      <c r="M542" s="32"/>
      <c r="N542" s="32"/>
      <c r="O542" s="32"/>
      <c r="P542" s="32"/>
    </row>
    <row r="543" spans="1:16" x14ac:dyDescent="0.3">
      <c r="A543" s="38">
        <v>542</v>
      </c>
      <c r="B543" s="39" t="s">
        <v>564</v>
      </c>
      <c r="C543" s="30"/>
      <c r="D543" s="30"/>
      <c r="E543" s="30" t="s">
        <v>997</v>
      </c>
      <c r="F543" s="38" t="s">
        <v>566</v>
      </c>
      <c r="G543" s="40" t="s">
        <v>570</v>
      </c>
      <c r="H543" s="38">
        <f t="shared" si="16"/>
        <v>1</v>
      </c>
      <c r="I543" s="41" t="str">
        <f t="shared" si="17"/>
        <v>Only YAKE</v>
      </c>
      <c r="K543" s="32"/>
      <c r="L543" s="32"/>
      <c r="M543" s="32"/>
      <c r="N543" s="32"/>
      <c r="O543" s="32"/>
      <c r="P543" s="32"/>
    </row>
    <row r="544" spans="1:16" x14ac:dyDescent="0.3">
      <c r="A544" s="38">
        <v>543</v>
      </c>
      <c r="B544" s="39" t="s">
        <v>564</v>
      </c>
      <c r="C544" s="30"/>
      <c r="D544" s="30"/>
      <c r="E544" s="30" t="s">
        <v>998</v>
      </c>
      <c r="F544" s="38" t="s">
        <v>566</v>
      </c>
      <c r="G544" s="40" t="s">
        <v>570</v>
      </c>
      <c r="H544" s="38">
        <f t="shared" si="16"/>
        <v>1</v>
      </c>
      <c r="I544" s="41" t="str">
        <f t="shared" si="17"/>
        <v>Only YAKE</v>
      </c>
      <c r="K544" s="32"/>
      <c r="L544" s="32"/>
      <c r="M544" s="32"/>
      <c r="N544" s="32"/>
      <c r="O544" s="32"/>
      <c r="P544" s="32"/>
    </row>
    <row r="545" spans="1:16" x14ac:dyDescent="0.3">
      <c r="A545" s="38">
        <v>544</v>
      </c>
      <c r="B545" s="39" t="s">
        <v>564</v>
      </c>
      <c r="C545" s="30"/>
      <c r="D545" s="30"/>
      <c r="E545" s="30" t="s">
        <v>999</v>
      </c>
      <c r="F545" s="38" t="s">
        <v>566</v>
      </c>
      <c r="G545" s="40" t="s">
        <v>570</v>
      </c>
      <c r="H545" s="38">
        <f t="shared" si="16"/>
        <v>1</v>
      </c>
      <c r="I545" s="41" t="str">
        <f t="shared" si="17"/>
        <v>Only YAKE</v>
      </c>
      <c r="K545" s="32"/>
      <c r="L545" s="32"/>
      <c r="M545" s="32"/>
      <c r="N545" s="32"/>
      <c r="O545" s="32"/>
      <c r="P545" s="32"/>
    </row>
    <row r="546" spans="1:16" x14ac:dyDescent="0.3">
      <c r="A546" s="38">
        <v>545</v>
      </c>
      <c r="B546" s="39" t="s">
        <v>564</v>
      </c>
      <c r="C546" s="30"/>
      <c r="D546" s="30" t="s">
        <v>1000</v>
      </c>
      <c r="E546" s="30"/>
      <c r="F546" s="38" t="s">
        <v>566</v>
      </c>
      <c r="G546" s="40" t="s">
        <v>570</v>
      </c>
      <c r="H546" s="38">
        <f t="shared" si="16"/>
        <v>1</v>
      </c>
      <c r="I546" s="41" t="str">
        <f t="shared" si="17"/>
        <v>Only RAKE</v>
      </c>
      <c r="K546" s="32"/>
      <c r="L546" s="32"/>
      <c r="M546" s="32"/>
      <c r="N546" s="32"/>
      <c r="O546" s="32"/>
      <c r="P546" s="32"/>
    </row>
    <row r="547" spans="1:16" x14ac:dyDescent="0.3">
      <c r="A547" s="38">
        <v>546</v>
      </c>
      <c r="B547" s="39" t="s">
        <v>564</v>
      </c>
      <c r="C547" s="30"/>
      <c r="D547" s="30" t="s">
        <v>1001</v>
      </c>
      <c r="E547" s="30"/>
      <c r="F547" s="38" t="s">
        <v>566</v>
      </c>
      <c r="G547" s="40" t="s">
        <v>570</v>
      </c>
      <c r="H547" s="38">
        <f t="shared" si="16"/>
        <v>1</v>
      </c>
      <c r="I547" s="41" t="str">
        <f t="shared" si="17"/>
        <v>Only RAKE</v>
      </c>
      <c r="K547" s="32"/>
      <c r="L547" s="32"/>
      <c r="M547" s="32"/>
      <c r="N547" s="32"/>
      <c r="O547" s="32"/>
      <c r="P547" s="32"/>
    </row>
    <row r="548" spans="1:16" x14ac:dyDescent="0.3">
      <c r="A548" s="38">
        <v>547</v>
      </c>
      <c r="B548" s="39" t="s">
        <v>564</v>
      </c>
      <c r="C548" s="30"/>
      <c r="D548" s="30" t="s">
        <v>1002</v>
      </c>
      <c r="E548" s="30"/>
      <c r="F548" s="38" t="s">
        <v>566</v>
      </c>
      <c r="G548" s="40" t="s">
        <v>570</v>
      </c>
      <c r="H548" s="38">
        <f t="shared" si="16"/>
        <v>1</v>
      </c>
      <c r="I548" s="41" t="str">
        <f t="shared" si="17"/>
        <v>Only RAKE</v>
      </c>
      <c r="K548" s="32"/>
      <c r="L548" s="32"/>
      <c r="M548" s="32"/>
      <c r="N548" s="32"/>
      <c r="O548" s="32"/>
      <c r="P548" s="32"/>
    </row>
    <row r="549" spans="1:16" x14ac:dyDescent="0.3">
      <c r="A549" s="38">
        <v>548</v>
      </c>
      <c r="B549" s="39" t="s">
        <v>564</v>
      </c>
      <c r="C549" s="30"/>
      <c r="D549" s="30"/>
      <c r="E549" s="30" t="s">
        <v>1003</v>
      </c>
      <c r="F549" s="38" t="s">
        <v>566</v>
      </c>
      <c r="G549" s="40" t="s">
        <v>570</v>
      </c>
      <c r="H549" s="38">
        <f t="shared" si="16"/>
        <v>1</v>
      </c>
      <c r="I549" s="41" t="str">
        <f t="shared" si="17"/>
        <v>Only YAKE</v>
      </c>
      <c r="K549" s="32"/>
      <c r="L549" s="32"/>
      <c r="M549" s="32"/>
      <c r="N549" s="32"/>
      <c r="O549" s="32"/>
      <c r="P549" s="32"/>
    </row>
    <row r="550" spans="1:16" x14ac:dyDescent="0.3">
      <c r="A550" s="38">
        <v>549</v>
      </c>
      <c r="B550" s="39" t="s">
        <v>564</v>
      </c>
      <c r="C550" s="30"/>
      <c r="D550" s="30" t="s">
        <v>1004</v>
      </c>
      <c r="E550" s="30"/>
      <c r="F550" s="38" t="s">
        <v>566</v>
      </c>
      <c r="G550" s="40" t="s">
        <v>570</v>
      </c>
      <c r="H550" s="38">
        <f t="shared" si="16"/>
        <v>1</v>
      </c>
      <c r="I550" s="41" t="str">
        <f t="shared" si="17"/>
        <v>Only RAKE</v>
      </c>
      <c r="K550" s="32"/>
      <c r="L550" s="32"/>
      <c r="M550" s="32"/>
      <c r="N550" s="32"/>
      <c r="O550" s="32"/>
      <c r="P550" s="32"/>
    </row>
    <row r="551" spans="1:16" x14ac:dyDescent="0.3">
      <c r="A551" s="38">
        <v>550</v>
      </c>
      <c r="B551" s="39" t="s">
        <v>564</v>
      </c>
      <c r="C551" s="30"/>
      <c r="D551" s="30" t="s">
        <v>1005</v>
      </c>
      <c r="E551" s="30"/>
      <c r="F551" s="38" t="s">
        <v>566</v>
      </c>
      <c r="G551" s="40" t="s">
        <v>570</v>
      </c>
      <c r="H551" s="38">
        <f t="shared" si="16"/>
        <v>1</v>
      </c>
      <c r="I551" s="41" t="str">
        <f t="shared" si="17"/>
        <v>Only RAKE</v>
      </c>
      <c r="K551" s="32"/>
      <c r="L551" s="32"/>
      <c r="M551" s="32"/>
      <c r="N551" s="32"/>
      <c r="O551" s="32"/>
      <c r="P551" s="32"/>
    </row>
    <row r="552" spans="1:16" x14ac:dyDescent="0.3">
      <c r="A552" s="38">
        <v>551</v>
      </c>
      <c r="B552" s="39" t="s">
        <v>564</v>
      </c>
      <c r="C552" s="30"/>
      <c r="D552" s="30" t="s">
        <v>1006</v>
      </c>
      <c r="E552" s="30"/>
      <c r="F552" s="38" t="s">
        <v>566</v>
      </c>
      <c r="G552" s="40" t="s">
        <v>570</v>
      </c>
      <c r="H552" s="38">
        <f t="shared" si="16"/>
        <v>1</v>
      </c>
      <c r="I552" s="41" t="str">
        <f t="shared" si="17"/>
        <v>Only RAKE</v>
      </c>
      <c r="K552" s="32"/>
      <c r="L552" s="32"/>
      <c r="M552" s="32"/>
      <c r="N552" s="32"/>
      <c r="O552" s="32"/>
      <c r="P552" s="32"/>
    </row>
    <row r="553" spans="1:16" x14ac:dyDescent="0.3">
      <c r="A553" s="38">
        <v>552</v>
      </c>
      <c r="B553" s="39" t="s">
        <v>564</v>
      </c>
      <c r="C553" s="30"/>
      <c r="D553" s="30" t="s">
        <v>1007</v>
      </c>
      <c r="E553" s="30"/>
      <c r="F553" s="38" t="s">
        <v>566</v>
      </c>
      <c r="G553" s="40" t="s">
        <v>570</v>
      </c>
      <c r="H553" s="38">
        <f t="shared" si="16"/>
        <v>1</v>
      </c>
      <c r="I553" s="41" t="str">
        <f t="shared" si="17"/>
        <v>Only RAKE</v>
      </c>
      <c r="K553" s="32"/>
      <c r="L553" s="32"/>
      <c r="M553" s="32"/>
      <c r="N553" s="32"/>
      <c r="O553" s="32"/>
      <c r="P553" s="32"/>
    </row>
    <row r="554" spans="1:16" x14ac:dyDescent="0.3">
      <c r="A554" s="38">
        <v>553</v>
      </c>
      <c r="B554" s="39" t="s">
        <v>564</v>
      </c>
      <c r="C554" s="30" t="s">
        <v>1008</v>
      </c>
      <c r="D554" s="30"/>
      <c r="E554" s="30"/>
      <c r="F554" s="38" t="s">
        <v>566</v>
      </c>
      <c r="G554" s="40" t="s">
        <v>570</v>
      </c>
      <c r="H554" s="38">
        <f t="shared" si="16"/>
        <v>1</v>
      </c>
      <c r="I554" s="41" t="str">
        <f t="shared" si="17"/>
        <v>Only Gemini</v>
      </c>
      <c r="K554" s="32"/>
      <c r="L554" s="32"/>
      <c r="M554" s="32"/>
      <c r="N554" s="32"/>
      <c r="O554" s="32"/>
      <c r="P554" s="32"/>
    </row>
    <row r="555" spans="1:16" x14ac:dyDescent="0.3">
      <c r="A555" s="38">
        <v>554</v>
      </c>
      <c r="B555" s="39" t="s">
        <v>564</v>
      </c>
      <c r="C555" s="30"/>
      <c r="D555" s="30"/>
      <c r="E555" s="30" t="s">
        <v>1009</v>
      </c>
      <c r="F555" s="38" t="s">
        <v>566</v>
      </c>
      <c r="G555" s="40" t="s">
        <v>570</v>
      </c>
      <c r="H555" s="38">
        <f t="shared" si="16"/>
        <v>1</v>
      </c>
      <c r="I555" s="41" t="str">
        <f t="shared" si="17"/>
        <v>Only YAKE</v>
      </c>
      <c r="K555" s="32"/>
      <c r="L555" s="32"/>
      <c r="M555" s="32"/>
      <c r="N555" s="32"/>
      <c r="O555" s="32"/>
      <c r="P555" s="32"/>
    </row>
    <row r="556" spans="1:16" x14ac:dyDescent="0.3">
      <c r="A556" s="38">
        <v>555</v>
      </c>
      <c r="B556" s="39" t="s">
        <v>564</v>
      </c>
      <c r="C556" s="30" t="s">
        <v>1010</v>
      </c>
      <c r="D556" s="30"/>
      <c r="E556" s="30"/>
      <c r="F556" s="38" t="s">
        <v>566</v>
      </c>
      <c r="G556" s="40" t="s">
        <v>570</v>
      </c>
      <c r="H556" s="38">
        <f t="shared" si="16"/>
        <v>1</v>
      </c>
      <c r="I556" s="41" t="str">
        <f t="shared" si="17"/>
        <v>Only Gemini</v>
      </c>
      <c r="K556" s="32"/>
      <c r="L556" s="32"/>
      <c r="M556" s="32"/>
      <c r="N556" s="32"/>
      <c r="O556" s="32"/>
      <c r="P556" s="32"/>
    </row>
    <row r="557" spans="1:16" x14ac:dyDescent="0.3">
      <c r="A557" s="38">
        <v>556</v>
      </c>
      <c r="B557" s="39" t="s">
        <v>564</v>
      </c>
      <c r="C557" s="30"/>
      <c r="D557" s="30" t="s">
        <v>1011</v>
      </c>
      <c r="E557" s="30"/>
      <c r="F557" s="38" t="s">
        <v>566</v>
      </c>
      <c r="G557" s="40" t="s">
        <v>570</v>
      </c>
      <c r="H557" s="38">
        <f t="shared" si="16"/>
        <v>1</v>
      </c>
      <c r="I557" s="41" t="str">
        <f t="shared" si="17"/>
        <v>Only RAKE</v>
      </c>
      <c r="K557" s="32"/>
      <c r="L557" s="32"/>
      <c r="M557" s="32"/>
      <c r="N557" s="32"/>
      <c r="O557" s="32"/>
      <c r="P557" s="32"/>
    </row>
    <row r="558" spans="1:16" x14ac:dyDescent="0.3">
      <c r="A558" s="38">
        <v>557</v>
      </c>
      <c r="B558" s="39" t="s">
        <v>564</v>
      </c>
      <c r="C558" s="30"/>
      <c r="D558" s="30"/>
      <c r="E558" s="30" t="s">
        <v>1012</v>
      </c>
      <c r="F558" s="38" t="s">
        <v>566</v>
      </c>
      <c r="G558" s="40" t="s">
        <v>570</v>
      </c>
      <c r="H558" s="38">
        <f t="shared" si="16"/>
        <v>1</v>
      </c>
      <c r="I558" s="41" t="str">
        <f t="shared" si="17"/>
        <v>Only YAKE</v>
      </c>
      <c r="K558" s="32"/>
      <c r="L558" s="32"/>
      <c r="M558" s="32"/>
      <c r="N558" s="32"/>
      <c r="O558" s="32"/>
      <c r="P558" s="32"/>
    </row>
    <row r="559" spans="1:16" x14ac:dyDescent="0.3">
      <c r="A559" s="38">
        <v>558</v>
      </c>
      <c r="B559" s="39" t="s">
        <v>564</v>
      </c>
      <c r="C559" s="30"/>
      <c r="D559" s="30" t="s">
        <v>1013</v>
      </c>
      <c r="E559" s="30"/>
      <c r="F559" s="38" t="s">
        <v>566</v>
      </c>
      <c r="G559" s="40" t="s">
        <v>570</v>
      </c>
      <c r="H559" s="38">
        <f t="shared" si="16"/>
        <v>1</v>
      </c>
      <c r="I559" s="41" t="str">
        <f t="shared" si="17"/>
        <v>Only RAKE</v>
      </c>
      <c r="K559" s="32"/>
      <c r="L559" s="32"/>
      <c r="M559" s="32"/>
      <c r="N559" s="32"/>
      <c r="O559" s="32"/>
      <c r="P559" s="32"/>
    </row>
    <row r="560" spans="1:16" x14ac:dyDescent="0.3">
      <c r="A560" s="38">
        <v>559</v>
      </c>
      <c r="B560" s="39" t="s">
        <v>564</v>
      </c>
      <c r="C560" s="30"/>
      <c r="D560" s="30" t="s">
        <v>1014</v>
      </c>
      <c r="E560" s="30"/>
      <c r="F560" s="38" t="s">
        <v>566</v>
      </c>
      <c r="G560" s="40" t="s">
        <v>570</v>
      </c>
      <c r="H560" s="38">
        <f t="shared" si="16"/>
        <v>1</v>
      </c>
      <c r="I560" s="41" t="str">
        <f t="shared" si="17"/>
        <v>Only RAKE</v>
      </c>
      <c r="K560" s="32"/>
      <c r="L560" s="32"/>
      <c r="M560" s="32"/>
      <c r="N560" s="32"/>
      <c r="O560" s="32"/>
      <c r="P560" s="32"/>
    </row>
    <row r="561" spans="1:16" x14ac:dyDescent="0.3">
      <c r="A561" s="38">
        <v>560</v>
      </c>
      <c r="B561" s="39" t="s">
        <v>564</v>
      </c>
      <c r="C561" s="30"/>
      <c r="D561" s="30" t="s">
        <v>1015</v>
      </c>
      <c r="E561" s="30"/>
      <c r="F561" s="38" t="s">
        <v>566</v>
      </c>
      <c r="G561" s="40" t="s">
        <v>570</v>
      </c>
      <c r="H561" s="38">
        <f t="shared" si="16"/>
        <v>1</v>
      </c>
      <c r="I561" s="41" t="str">
        <f t="shared" si="17"/>
        <v>Only RAKE</v>
      </c>
      <c r="K561" s="32"/>
      <c r="L561" s="32"/>
      <c r="M561" s="32"/>
      <c r="N561" s="32"/>
      <c r="O561" s="32"/>
      <c r="P561" s="32"/>
    </row>
    <row r="562" spans="1:16" x14ac:dyDescent="0.3">
      <c r="A562" s="38">
        <v>561</v>
      </c>
      <c r="B562" s="39" t="s">
        <v>564</v>
      </c>
      <c r="C562" s="30"/>
      <c r="D562" s="30"/>
      <c r="E562" s="30" t="s">
        <v>1016</v>
      </c>
      <c r="F562" s="38" t="s">
        <v>566</v>
      </c>
      <c r="G562" s="40" t="s">
        <v>570</v>
      </c>
      <c r="H562" s="38">
        <f t="shared" si="16"/>
        <v>1</v>
      </c>
      <c r="I562" s="41" t="str">
        <f t="shared" si="17"/>
        <v>Only YAKE</v>
      </c>
      <c r="K562" s="32"/>
      <c r="L562" s="32"/>
      <c r="M562" s="32"/>
      <c r="N562" s="32"/>
      <c r="O562" s="32"/>
      <c r="P562" s="32"/>
    </row>
    <row r="563" spans="1:16" x14ac:dyDescent="0.3">
      <c r="A563" s="38">
        <v>562</v>
      </c>
      <c r="B563" s="39" t="s">
        <v>564</v>
      </c>
      <c r="C563" s="30"/>
      <c r="D563" s="30"/>
      <c r="E563" s="30" t="s">
        <v>1017</v>
      </c>
      <c r="F563" s="38" t="s">
        <v>566</v>
      </c>
      <c r="G563" s="40" t="s">
        <v>570</v>
      </c>
      <c r="H563" s="38">
        <f t="shared" si="16"/>
        <v>1</v>
      </c>
      <c r="I563" s="41" t="str">
        <f t="shared" si="17"/>
        <v>Only YAKE</v>
      </c>
      <c r="K563" s="32"/>
      <c r="L563" s="32"/>
      <c r="M563" s="32"/>
      <c r="N563" s="32"/>
      <c r="O563" s="32"/>
      <c r="P563" s="32"/>
    </row>
    <row r="564" spans="1:16" x14ac:dyDescent="0.3">
      <c r="A564" s="38">
        <v>563</v>
      </c>
      <c r="B564" s="39" t="s">
        <v>564</v>
      </c>
      <c r="C564" s="30"/>
      <c r="D564" s="30"/>
      <c r="E564" s="30" t="s">
        <v>1018</v>
      </c>
      <c r="F564" s="38" t="s">
        <v>566</v>
      </c>
      <c r="G564" s="40" t="s">
        <v>570</v>
      </c>
      <c r="H564" s="38">
        <f t="shared" si="16"/>
        <v>1</v>
      </c>
      <c r="I564" s="41" t="str">
        <f t="shared" si="17"/>
        <v>Only YAKE</v>
      </c>
      <c r="K564" s="32"/>
      <c r="L564" s="32"/>
      <c r="M564" s="32"/>
      <c r="N564" s="32"/>
      <c r="O564" s="32"/>
      <c r="P564" s="32"/>
    </row>
    <row r="565" spans="1:16" x14ac:dyDescent="0.3">
      <c r="A565" s="38">
        <v>564</v>
      </c>
      <c r="B565" s="39" t="s">
        <v>564</v>
      </c>
      <c r="C565" s="30"/>
      <c r="D565" s="30" t="s">
        <v>1019</v>
      </c>
      <c r="E565" s="30"/>
      <c r="F565" s="38" t="s">
        <v>566</v>
      </c>
      <c r="G565" s="40" t="s">
        <v>570</v>
      </c>
      <c r="H565" s="38">
        <f t="shared" si="16"/>
        <v>1</v>
      </c>
      <c r="I565" s="41" t="str">
        <f t="shared" si="17"/>
        <v>Only RAKE</v>
      </c>
      <c r="K565" s="32"/>
      <c r="L565" s="32"/>
      <c r="M565" s="32"/>
      <c r="N565" s="32"/>
      <c r="O565" s="32"/>
      <c r="P565" s="32"/>
    </row>
    <row r="566" spans="1:16" x14ac:dyDescent="0.3">
      <c r="A566" s="38">
        <v>565</v>
      </c>
      <c r="B566" s="39" t="s">
        <v>564</v>
      </c>
      <c r="C566" s="30"/>
      <c r="D566" s="30"/>
      <c r="E566" s="30" t="s">
        <v>1020</v>
      </c>
      <c r="F566" s="38" t="s">
        <v>566</v>
      </c>
      <c r="G566" s="40" t="s">
        <v>570</v>
      </c>
      <c r="H566" s="38">
        <f t="shared" si="16"/>
        <v>1</v>
      </c>
      <c r="I566" s="41" t="str">
        <f t="shared" si="17"/>
        <v>Only YAKE</v>
      </c>
      <c r="K566" s="32"/>
      <c r="L566" s="32"/>
      <c r="M566" s="32"/>
      <c r="N566" s="32"/>
      <c r="O566" s="32"/>
      <c r="P566" s="32"/>
    </row>
    <row r="567" spans="1:16" x14ac:dyDescent="0.3">
      <c r="A567" s="38">
        <v>566</v>
      </c>
      <c r="B567" s="39" t="s">
        <v>564</v>
      </c>
      <c r="C567" s="30"/>
      <c r="D567" s="30" t="s">
        <v>1021</v>
      </c>
      <c r="E567" s="30"/>
      <c r="F567" s="38" t="s">
        <v>566</v>
      </c>
      <c r="G567" s="40" t="s">
        <v>570</v>
      </c>
      <c r="H567" s="38">
        <f t="shared" si="16"/>
        <v>1</v>
      </c>
      <c r="I567" s="41" t="str">
        <f t="shared" si="17"/>
        <v>Only RAKE</v>
      </c>
      <c r="K567" s="32"/>
      <c r="L567" s="32"/>
      <c r="M567" s="32"/>
      <c r="N567" s="32"/>
      <c r="O567" s="32"/>
      <c r="P567" s="32"/>
    </row>
    <row r="568" spans="1:16" x14ac:dyDescent="0.3">
      <c r="A568" s="38">
        <v>567</v>
      </c>
      <c r="B568" s="39" t="s">
        <v>564</v>
      </c>
      <c r="C568" s="30"/>
      <c r="D568" s="30" t="s">
        <v>1022</v>
      </c>
      <c r="E568" s="30"/>
      <c r="F568" s="38" t="s">
        <v>566</v>
      </c>
      <c r="G568" s="40" t="s">
        <v>570</v>
      </c>
      <c r="H568" s="38">
        <f t="shared" si="16"/>
        <v>1</v>
      </c>
      <c r="I568" s="41" t="str">
        <f t="shared" si="17"/>
        <v>Only RAKE</v>
      </c>
      <c r="K568" s="32"/>
      <c r="L568" s="32"/>
      <c r="M568" s="32"/>
      <c r="N568" s="32"/>
      <c r="O568" s="32"/>
      <c r="P568" s="32"/>
    </row>
    <row r="569" spans="1:16" x14ac:dyDescent="0.3">
      <c r="A569" s="38">
        <v>568</v>
      </c>
      <c r="B569" s="39" t="s">
        <v>564</v>
      </c>
      <c r="C569" s="30"/>
      <c r="D569" s="30" t="s">
        <v>1023</v>
      </c>
      <c r="E569" s="30"/>
      <c r="F569" s="38" t="s">
        <v>566</v>
      </c>
      <c r="G569" s="40" t="s">
        <v>570</v>
      </c>
      <c r="H569" s="38">
        <f t="shared" si="16"/>
        <v>1</v>
      </c>
      <c r="I569" s="41" t="str">
        <f t="shared" si="17"/>
        <v>Only RAKE</v>
      </c>
      <c r="K569" s="32"/>
      <c r="L569" s="32"/>
      <c r="M569" s="32"/>
      <c r="N569" s="32"/>
      <c r="O569" s="32"/>
      <c r="P569" s="32"/>
    </row>
    <row r="570" spans="1:16" x14ac:dyDescent="0.3">
      <c r="A570" s="38">
        <v>569</v>
      </c>
      <c r="B570" s="39" t="s">
        <v>564</v>
      </c>
      <c r="C570" s="30"/>
      <c r="D570" s="30"/>
      <c r="E570" s="30" t="s">
        <v>1024</v>
      </c>
      <c r="F570" s="38" t="s">
        <v>566</v>
      </c>
      <c r="G570" s="40" t="s">
        <v>570</v>
      </c>
      <c r="H570" s="38">
        <f t="shared" si="16"/>
        <v>1</v>
      </c>
      <c r="I570" s="41" t="str">
        <f t="shared" si="17"/>
        <v>Only YAKE</v>
      </c>
      <c r="K570" s="32"/>
      <c r="L570" s="32"/>
      <c r="M570" s="32"/>
      <c r="N570" s="32"/>
      <c r="O570" s="32"/>
      <c r="P570" s="32"/>
    </row>
    <row r="571" spans="1:16" x14ac:dyDescent="0.3">
      <c r="A571" s="38">
        <v>570</v>
      </c>
      <c r="B571" s="39" t="s">
        <v>564</v>
      </c>
      <c r="C571" s="30"/>
      <c r="D571" s="30" t="s">
        <v>1025</v>
      </c>
      <c r="E571" s="30"/>
      <c r="F571" s="38" t="s">
        <v>566</v>
      </c>
      <c r="G571" s="40" t="s">
        <v>570</v>
      </c>
      <c r="H571" s="38">
        <f t="shared" si="16"/>
        <v>1</v>
      </c>
      <c r="I571" s="41" t="str">
        <f t="shared" si="17"/>
        <v>Only RAKE</v>
      </c>
      <c r="K571" s="32"/>
      <c r="L571" s="32"/>
      <c r="M571" s="32"/>
      <c r="N571" s="32"/>
      <c r="O571" s="32"/>
      <c r="P571" s="32"/>
    </row>
    <row r="572" spans="1:16" x14ac:dyDescent="0.3">
      <c r="A572" s="38">
        <v>571</v>
      </c>
      <c r="B572" s="39" t="s">
        <v>564</v>
      </c>
      <c r="C572" s="30"/>
      <c r="D572" s="30" t="s">
        <v>1026</v>
      </c>
      <c r="E572" s="30"/>
      <c r="F572" s="38" t="s">
        <v>566</v>
      </c>
      <c r="G572" s="40" t="s">
        <v>570</v>
      </c>
      <c r="H572" s="38">
        <f t="shared" si="16"/>
        <v>1</v>
      </c>
      <c r="I572" s="41" t="str">
        <f t="shared" si="17"/>
        <v>Only RAKE</v>
      </c>
      <c r="K572" s="32"/>
      <c r="L572" s="32"/>
      <c r="M572" s="32"/>
      <c r="N572" s="32"/>
      <c r="O572" s="32"/>
      <c r="P572" s="32"/>
    </row>
    <row r="573" spans="1:16" x14ac:dyDescent="0.3">
      <c r="A573" s="38">
        <v>572</v>
      </c>
      <c r="B573" s="39" t="s">
        <v>564</v>
      </c>
      <c r="C573" s="30"/>
      <c r="D573" s="30"/>
      <c r="E573" s="30" t="s">
        <v>1027</v>
      </c>
      <c r="F573" s="38" t="s">
        <v>566</v>
      </c>
      <c r="G573" s="40" t="s">
        <v>570</v>
      </c>
      <c r="H573" s="38">
        <f t="shared" si="16"/>
        <v>1</v>
      </c>
      <c r="I573" s="41" t="str">
        <f t="shared" si="17"/>
        <v>Only YAKE</v>
      </c>
      <c r="K573" s="32"/>
      <c r="L573" s="32"/>
      <c r="M573" s="32"/>
      <c r="N573" s="32"/>
      <c r="O573" s="32"/>
      <c r="P573" s="32"/>
    </row>
    <row r="574" spans="1:16" x14ac:dyDescent="0.3">
      <c r="A574" s="38">
        <v>573</v>
      </c>
      <c r="B574" s="39" t="s">
        <v>564</v>
      </c>
      <c r="C574" s="30"/>
      <c r="D574" s="30"/>
      <c r="E574" s="30" t="s">
        <v>1028</v>
      </c>
      <c r="F574" s="38" t="s">
        <v>566</v>
      </c>
      <c r="G574" s="40" t="s">
        <v>570</v>
      </c>
      <c r="H574" s="38">
        <f t="shared" si="16"/>
        <v>1</v>
      </c>
      <c r="I574" s="41" t="str">
        <f t="shared" si="17"/>
        <v>Only YAKE</v>
      </c>
      <c r="K574" s="32"/>
      <c r="L574" s="32"/>
      <c r="M574" s="32"/>
      <c r="N574" s="32"/>
      <c r="O574" s="32"/>
      <c r="P574" s="32"/>
    </row>
    <row r="575" spans="1:16" x14ac:dyDescent="0.3">
      <c r="A575" s="38">
        <v>574</v>
      </c>
      <c r="B575" s="39" t="s">
        <v>564</v>
      </c>
      <c r="C575" s="30"/>
      <c r="D575" s="30" t="s">
        <v>1029</v>
      </c>
      <c r="E575" s="30"/>
      <c r="F575" s="38" t="s">
        <v>566</v>
      </c>
      <c r="G575" s="40" t="s">
        <v>570</v>
      </c>
      <c r="H575" s="38">
        <f t="shared" si="16"/>
        <v>1</v>
      </c>
      <c r="I575" s="41" t="str">
        <f t="shared" si="17"/>
        <v>Only RAKE</v>
      </c>
      <c r="K575" s="32"/>
      <c r="L575" s="32"/>
      <c r="M575" s="32"/>
      <c r="N575" s="32"/>
      <c r="O575" s="32"/>
      <c r="P575" s="32"/>
    </row>
    <row r="576" spans="1:16" x14ac:dyDescent="0.3">
      <c r="A576" s="38">
        <v>575</v>
      </c>
      <c r="B576" s="39" t="s">
        <v>564</v>
      </c>
      <c r="C576" s="30"/>
      <c r="D576" s="30"/>
      <c r="E576" s="30" t="s">
        <v>1030</v>
      </c>
      <c r="F576" s="38" t="s">
        <v>566</v>
      </c>
      <c r="G576" s="40" t="s">
        <v>570</v>
      </c>
      <c r="H576" s="38">
        <f t="shared" si="16"/>
        <v>1</v>
      </c>
      <c r="I576" s="41" t="str">
        <f t="shared" si="17"/>
        <v>Only YAKE</v>
      </c>
      <c r="K576" s="32"/>
      <c r="L576" s="32"/>
      <c r="M576" s="32"/>
      <c r="N576" s="32"/>
      <c r="O576" s="32"/>
      <c r="P576" s="32"/>
    </row>
    <row r="577" spans="1:16" x14ac:dyDescent="0.3">
      <c r="A577" s="38">
        <v>576</v>
      </c>
      <c r="B577" s="39" t="s">
        <v>564</v>
      </c>
      <c r="C577" s="30"/>
      <c r="D577" s="30" t="s">
        <v>1031</v>
      </c>
      <c r="E577" s="30"/>
      <c r="F577" s="38" t="s">
        <v>566</v>
      </c>
      <c r="G577" s="40" t="s">
        <v>570</v>
      </c>
      <c r="H577" s="38">
        <f t="shared" si="16"/>
        <v>1</v>
      </c>
      <c r="I577" s="41" t="str">
        <f t="shared" si="17"/>
        <v>Only RAKE</v>
      </c>
      <c r="K577" s="32"/>
      <c r="L577" s="32"/>
      <c r="M577" s="32"/>
      <c r="N577" s="32"/>
      <c r="O577" s="32"/>
      <c r="P577" s="32"/>
    </row>
    <row r="578" spans="1:16" x14ac:dyDescent="0.3">
      <c r="A578" s="38">
        <v>577</v>
      </c>
      <c r="B578" s="39" t="s">
        <v>564</v>
      </c>
      <c r="C578" s="30"/>
      <c r="D578" s="30" t="s">
        <v>1032</v>
      </c>
      <c r="E578" s="30"/>
      <c r="F578" s="38" t="s">
        <v>566</v>
      </c>
      <c r="G578" s="40" t="s">
        <v>570</v>
      </c>
      <c r="H578" s="38">
        <f t="shared" ref="H578:H641" si="18">COUNTIF(C578:E578,"?*")</f>
        <v>1</v>
      </c>
      <c r="I578" s="41" t="str">
        <f t="shared" ref="I578:I641" si="19">IF(H578=0,"None",IF(H578=3,"All three",IF(H578=1,"Only "&amp;TRIM(IF(C578&lt;&gt;"","Gemini ","")&amp;IF(D578&lt;&gt;"","RAKE ","")&amp;IF(E578&lt;&gt;"","YAKE","")),SUBSTITUTE(TRIM(IF(C578&lt;&gt;"","Gemini ","")&amp;IF(D578&lt;&gt;"","RAKE ","")&amp;IF(E578&lt;&gt;"","YAKE",""))," "," + "))))</f>
        <v>Only RAKE</v>
      </c>
      <c r="K578" s="32"/>
      <c r="L578" s="32"/>
      <c r="M578" s="32"/>
      <c r="N578" s="32"/>
      <c r="O578" s="32"/>
      <c r="P578" s="32"/>
    </row>
    <row r="579" spans="1:16" x14ac:dyDescent="0.3">
      <c r="A579" s="38">
        <v>578</v>
      </c>
      <c r="B579" s="39" t="s">
        <v>564</v>
      </c>
      <c r="C579" s="30"/>
      <c r="D579" s="30" t="s">
        <v>1033</v>
      </c>
      <c r="E579" s="30"/>
      <c r="F579" s="38" t="s">
        <v>566</v>
      </c>
      <c r="G579" s="40" t="s">
        <v>570</v>
      </c>
      <c r="H579" s="38">
        <f t="shared" si="18"/>
        <v>1</v>
      </c>
      <c r="I579" s="41" t="str">
        <f t="shared" si="19"/>
        <v>Only RAKE</v>
      </c>
      <c r="K579" s="32"/>
      <c r="L579" s="32"/>
      <c r="M579" s="32"/>
      <c r="N579" s="32"/>
      <c r="O579" s="32"/>
      <c r="P579" s="32"/>
    </row>
    <row r="580" spans="1:16" x14ac:dyDescent="0.3">
      <c r="A580" s="38">
        <v>579</v>
      </c>
      <c r="B580" s="39" t="s">
        <v>564</v>
      </c>
      <c r="C580" s="30"/>
      <c r="D580" s="30"/>
      <c r="E580" s="30" t="s">
        <v>1034</v>
      </c>
      <c r="F580" s="38" t="s">
        <v>566</v>
      </c>
      <c r="G580" s="40" t="s">
        <v>570</v>
      </c>
      <c r="H580" s="38">
        <f t="shared" si="18"/>
        <v>1</v>
      </c>
      <c r="I580" s="41" t="str">
        <f t="shared" si="19"/>
        <v>Only YAKE</v>
      </c>
      <c r="K580" s="32"/>
      <c r="L580" s="32"/>
      <c r="M580" s="32"/>
      <c r="N580" s="32"/>
      <c r="O580" s="32"/>
      <c r="P580" s="32"/>
    </row>
    <row r="581" spans="1:16" x14ac:dyDescent="0.3">
      <c r="A581" s="38">
        <v>580</v>
      </c>
      <c r="B581" s="39" t="s">
        <v>564</v>
      </c>
      <c r="C581" s="30"/>
      <c r="D581" s="30"/>
      <c r="E581" s="30" t="s">
        <v>1035</v>
      </c>
      <c r="F581" s="38" t="s">
        <v>566</v>
      </c>
      <c r="G581" s="40" t="s">
        <v>570</v>
      </c>
      <c r="H581" s="38">
        <f t="shared" si="18"/>
        <v>1</v>
      </c>
      <c r="I581" s="41" t="str">
        <f t="shared" si="19"/>
        <v>Only YAKE</v>
      </c>
      <c r="K581" s="32"/>
      <c r="L581" s="32"/>
      <c r="M581" s="32"/>
      <c r="N581" s="32"/>
      <c r="O581" s="32"/>
      <c r="P581" s="32"/>
    </row>
    <row r="582" spans="1:16" x14ac:dyDescent="0.3">
      <c r="A582" s="38">
        <v>581</v>
      </c>
      <c r="B582" s="39" t="s">
        <v>564</v>
      </c>
      <c r="C582" s="30"/>
      <c r="D582" s="30"/>
      <c r="E582" s="30" t="s">
        <v>1036</v>
      </c>
      <c r="F582" s="38" t="s">
        <v>566</v>
      </c>
      <c r="G582" s="40" t="s">
        <v>570</v>
      </c>
      <c r="H582" s="38">
        <f t="shared" si="18"/>
        <v>1</v>
      </c>
      <c r="I582" s="41" t="str">
        <f t="shared" si="19"/>
        <v>Only YAKE</v>
      </c>
      <c r="K582" s="32"/>
      <c r="L582" s="32"/>
      <c r="M582" s="32"/>
      <c r="N582" s="32"/>
      <c r="O582" s="32"/>
      <c r="P582" s="32"/>
    </row>
    <row r="583" spans="1:16" x14ac:dyDescent="0.3">
      <c r="A583" s="38">
        <v>582</v>
      </c>
      <c r="B583" s="39" t="s">
        <v>564</v>
      </c>
      <c r="C583" s="30"/>
      <c r="D583" s="30"/>
      <c r="E583" s="30" t="s">
        <v>1037</v>
      </c>
      <c r="F583" s="38" t="s">
        <v>566</v>
      </c>
      <c r="G583" s="40" t="s">
        <v>570</v>
      </c>
      <c r="H583" s="38">
        <f t="shared" si="18"/>
        <v>1</v>
      </c>
      <c r="I583" s="41" t="str">
        <f t="shared" si="19"/>
        <v>Only YAKE</v>
      </c>
      <c r="K583" s="32"/>
      <c r="L583" s="32"/>
      <c r="M583" s="32"/>
      <c r="N583" s="32"/>
      <c r="O583" s="32"/>
      <c r="P583" s="32"/>
    </row>
    <row r="584" spans="1:16" x14ac:dyDescent="0.3">
      <c r="A584" s="38">
        <v>583</v>
      </c>
      <c r="B584" s="39" t="s">
        <v>564</v>
      </c>
      <c r="C584" s="30"/>
      <c r="D584" s="30"/>
      <c r="E584" s="30" t="s">
        <v>1038</v>
      </c>
      <c r="F584" s="38" t="s">
        <v>566</v>
      </c>
      <c r="G584" s="40" t="s">
        <v>570</v>
      </c>
      <c r="H584" s="38">
        <f t="shared" si="18"/>
        <v>1</v>
      </c>
      <c r="I584" s="41" t="str">
        <f t="shared" si="19"/>
        <v>Only YAKE</v>
      </c>
      <c r="K584" s="32"/>
      <c r="L584" s="32"/>
      <c r="M584" s="32"/>
      <c r="N584" s="32"/>
      <c r="O584" s="32"/>
      <c r="P584" s="32"/>
    </row>
    <row r="585" spans="1:16" x14ac:dyDescent="0.3">
      <c r="A585" s="38">
        <v>584</v>
      </c>
      <c r="B585" s="39" t="s">
        <v>564</v>
      </c>
      <c r="C585" s="30"/>
      <c r="D585" s="30" t="s">
        <v>1039</v>
      </c>
      <c r="E585" s="30"/>
      <c r="F585" s="38" t="s">
        <v>566</v>
      </c>
      <c r="G585" s="40" t="s">
        <v>570</v>
      </c>
      <c r="H585" s="38">
        <f t="shared" si="18"/>
        <v>1</v>
      </c>
      <c r="I585" s="41" t="str">
        <f t="shared" si="19"/>
        <v>Only RAKE</v>
      </c>
      <c r="K585" s="32"/>
      <c r="L585" s="32"/>
      <c r="M585" s="32"/>
      <c r="N585" s="32"/>
      <c r="O585" s="32"/>
      <c r="P585" s="32"/>
    </row>
    <row r="586" spans="1:16" x14ac:dyDescent="0.3">
      <c r="A586" s="38">
        <v>585</v>
      </c>
      <c r="B586" s="39" t="s">
        <v>564</v>
      </c>
      <c r="C586" s="30"/>
      <c r="D586" s="30"/>
      <c r="E586" s="30" t="s">
        <v>1040</v>
      </c>
      <c r="F586" s="38" t="s">
        <v>566</v>
      </c>
      <c r="G586" s="40" t="s">
        <v>570</v>
      </c>
      <c r="H586" s="38">
        <f t="shared" si="18"/>
        <v>1</v>
      </c>
      <c r="I586" s="41" t="str">
        <f t="shared" si="19"/>
        <v>Only YAKE</v>
      </c>
      <c r="K586" s="32"/>
      <c r="L586" s="32"/>
      <c r="M586" s="32"/>
      <c r="N586" s="32"/>
      <c r="O586" s="32"/>
      <c r="P586" s="32"/>
    </row>
    <row r="587" spans="1:16" x14ac:dyDescent="0.3">
      <c r="A587" s="38">
        <v>586</v>
      </c>
      <c r="B587" s="39" t="s">
        <v>564</v>
      </c>
      <c r="C587" s="30"/>
      <c r="D587" s="30" t="s">
        <v>1041</v>
      </c>
      <c r="E587" s="30"/>
      <c r="F587" s="38" t="s">
        <v>566</v>
      </c>
      <c r="G587" s="40" t="s">
        <v>570</v>
      </c>
      <c r="H587" s="38">
        <f t="shared" si="18"/>
        <v>1</v>
      </c>
      <c r="I587" s="41" t="str">
        <f t="shared" si="19"/>
        <v>Only RAKE</v>
      </c>
      <c r="K587" s="32"/>
      <c r="L587" s="32"/>
      <c r="M587" s="32"/>
      <c r="N587" s="32"/>
      <c r="O587" s="32"/>
      <c r="P587" s="32"/>
    </row>
    <row r="588" spans="1:16" x14ac:dyDescent="0.3">
      <c r="A588" s="38">
        <v>587</v>
      </c>
      <c r="B588" s="39" t="s">
        <v>564</v>
      </c>
      <c r="C588" s="30"/>
      <c r="D588" s="30" t="s">
        <v>1042</v>
      </c>
      <c r="E588" s="30"/>
      <c r="F588" s="38" t="s">
        <v>566</v>
      </c>
      <c r="G588" s="40" t="s">
        <v>570</v>
      </c>
      <c r="H588" s="38">
        <f t="shared" si="18"/>
        <v>1</v>
      </c>
      <c r="I588" s="41" t="str">
        <f t="shared" si="19"/>
        <v>Only RAKE</v>
      </c>
      <c r="K588" s="32"/>
      <c r="L588" s="32"/>
      <c r="M588" s="32"/>
      <c r="N588" s="32"/>
      <c r="O588" s="32"/>
      <c r="P588" s="32"/>
    </row>
    <row r="589" spans="1:16" x14ac:dyDescent="0.3">
      <c r="A589" s="38">
        <v>588</v>
      </c>
      <c r="B589" s="39" t="s">
        <v>564</v>
      </c>
      <c r="C589" s="30"/>
      <c r="D589" s="30" t="s">
        <v>1043</v>
      </c>
      <c r="E589" s="30"/>
      <c r="F589" s="38" t="s">
        <v>566</v>
      </c>
      <c r="G589" s="40" t="s">
        <v>570</v>
      </c>
      <c r="H589" s="38">
        <f t="shared" si="18"/>
        <v>1</v>
      </c>
      <c r="I589" s="41" t="str">
        <f t="shared" si="19"/>
        <v>Only RAKE</v>
      </c>
      <c r="K589" s="32"/>
      <c r="L589" s="32"/>
      <c r="M589" s="32"/>
      <c r="N589" s="32"/>
      <c r="O589" s="32"/>
      <c r="P589" s="32"/>
    </row>
    <row r="590" spans="1:16" x14ac:dyDescent="0.3">
      <c r="A590" s="38">
        <v>589</v>
      </c>
      <c r="B590" s="39" t="s">
        <v>564</v>
      </c>
      <c r="C590" s="30"/>
      <c r="D590" s="30"/>
      <c r="E590" s="30" t="s">
        <v>1044</v>
      </c>
      <c r="F590" s="38" t="s">
        <v>566</v>
      </c>
      <c r="G590" s="40" t="s">
        <v>570</v>
      </c>
      <c r="H590" s="38">
        <f t="shared" si="18"/>
        <v>1</v>
      </c>
      <c r="I590" s="41" t="str">
        <f t="shared" si="19"/>
        <v>Only YAKE</v>
      </c>
      <c r="K590" s="32"/>
      <c r="L590" s="32"/>
      <c r="M590" s="32"/>
      <c r="N590" s="32"/>
      <c r="O590" s="32"/>
      <c r="P590" s="32"/>
    </row>
    <row r="591" spans="1:16" x14ac:dyDescent="0.3">
      <c r="A591" s="38">
        <v>590</v>
      </c>
      <c r="B591" s="39" t="s">
        <v>564</v>
      </c>
      <c r="C591" s="30"/>
      <c r="D591" s="30"/>
      <c r="E591" s="30" t="s">
        <v>1045</v>
      </c>
      <c r="F591" s="38" t="s">
        <v>566</v>
      </c>
      <c r="G591" s="40" t="s">
        <v>570</v>
      </c>
      <c r="H591" s="38">
        <f t="shared" si="18"/>
        <v>1</v>
      </c>
      <c r="I591" s="41" t="str">
        <f t="shared" si="19"/>
        <v>Only YAKE</v>
      </c>
      <c r="K591" s="32"/>
      <c r="L591" s="32"/>
      <c r="M591" s="32"/>
      <c r="N591" s="32"/>
      <c r="O591" s="32"/>
      <c r="P591" s="32"/>
    </row>
    <row r="592" spans="1:16" x14ac:dyDescent="0.3">
      <c r="A592" s="38">
        <v>591</v>
      </c>
      <c r="B592" s="39" t="s">
        <v>564</v>
      </c>
      <c r="C592" s="30"/>
      <c r="D592" s="30" t="s">
        <v>1046</v>
      </c>
      <c r="E592" s="30"/>
      <c r="F592" s="38" t="s">
        <v>566</v>
      </c>
      <c r="G592" s="40" t="s">
        <v>570</v>
      </c>
      <c r="H592" s="38">
        <f t="shared" si="18"/>
        <v>1</v>
      </c>
      <c r="I592" s="41" t="str">
        <f t="shared" si="19"/>
        <v>Only RAKE</v>
      </c>
      <c r="K592" s="32"/>
      <c r="L592" s="32"/>
      <c r="M592" s="32"/>
      <c r="N592" s="32"/>
      <c r="O592" s="32"/>
      <c r="P592" s="32"/>
    </row>
    <row r="593" spans="1:16" x14ac:dyDescent="0.3">
      <c r="A593" s="38">
        <v>592</v>
      </c>
      <c r="B593" s="39" t="s">
        <v>564</v>
      </c>
      <c r="C593" s="30" t="s">
        <v>1047</v>
      </c>
      <c r="D593" s="30"/>
      <c r="E593" s="30"/>
      <c r="F593" s="38" t="s">
        <v>566</v>
      </c>
      <c r="G593" s="40" t="s">
        <v>570</v>
      </c>
      <c r="H593" s="38">
        <f t="shared" si="18"/>
        <v>1</v>
      </c>
      <c r="I593" s="41" t="str">
        <f t="shared" si="19"/>
        <v>Only Gemini</v>
      </c>
      <c r="K593" s="32"/>
      <c r="L593" s="32"/>
      <c r="M593" s="32"/>
      <c r="N593" s="32"/>
      <c r="O593" s="32"/>
      <c r="P593" s="32"/>
    </row>
    <row r="594" spans="1:16" x14ac:dyDescent="0.3">
      <c r="A594" s="38">
        <v>593</v>
      </c>
      <c r="B594" s="39" t="s">
        <v>564</v>
      </c>
      <c r="C594" s="30"/>
      <c r="D594" s="30"/>
      <c r="E594" s="30" t="s">
        <v>1048</v>
      </c>
      <c r="F594" s="38" t="s">
        <v>566</v>
      </c>
      <c r="G594" s="40" t="s">
        <v>570</v>
      </c>
      <c r="H594" s="38">
        <f t="shared" si="18"/>
        <v>1</v>
      </c>
      <c r="I594" s="41" t="str">
        <f t="shared" si="19"/>
        <v>Only YAKE</v>
      </c>
      <c r="K594" s="32"/>
      <c r="L594" s="32"/>
      <c r="M594" s="32"/>
      <c r="N594" s="32"/>
      <c r="O594" s="32"/>
      <c r="P594" s="32"/>
    </row>
    <row r="595" spans="1:16" x14ac:dyDescent="0.3">
      <c r="A595" s="38">
        <v>594</v>
      </c>
      <c r="B595" s="39" t="s">
        <v>564</v>
      </c>
      <c r="C595" s="30"/>
      <c r="D595" s="30" t="s">
        <v>1049</v>
      </c>
      <c r="E595" s="30"/>
      <c r="F595" s="38" t="s">
        <v>566</v>
      </c>
      <c r="G595" s="40" t="s">
        <v>570</v>
      </c>
      <c r="H595" s="38">
        <f t="shared" si="18"/>
        <v>1</v>
      </c>
      <c r="I595" s="41" t="str">
        <f t="shared" si="19"/>
        <v>Only RAKE</v>
      </c>
      <c r="K595" s="32"/>
      <c r="L595" s="32"/>
      <c r="M595" s="32"/>
      <c r="N595" s="32"/>
      <c r="O595" s="32"/>
      <c r="P595" s="32"/>
    </row>
    <row r="596" spans="1:16" x14ac:dyDescent="0.3">
      <c r="A596" s="38">
        <v>595</v>
      </c>
      <c r="B596" s="39" t="s">
        <v>564</v>
      </c>
      <c r="C596" s="30"/>
      <c r="D596" s="30"/>
      <c r="E596" s="30" t="s">
        <v>1050</v>
      </c>
      <c r="F596" s="38" t="s">
        <v>566</v>
      </c>
      <c r="G596" s="40" t="s">
        <v>570</v>
      </c>
      <c r="H596" s="38">
        <f t="shared" si="18"/>
        <v>1</v>
      </c>
      <c r="I596" s="41" t="str">
        <f t="shared" si="19"/>
        <v>Only YAKE</v>
      </c>
      <c r="K596" s="32"/>
      <c r="L596" s="32"/>
      <c r="M596" s="32"/>
      <c r="N596" s="32"/>
      <c r="O596" s="32"/>
      <c r="P596" s="32"/>
    </row>
    <row r="597" spans="1:16" x14ac:dyDescent="0.3">
      <c r="A597" s="38">
        <v>596</v>
      </c>
      <c r="B597" s="39" t="s">
        <v>564</v>
      </c>
      <c r="C597" s="30"/>
      <c r="D597" s="30"/>
      <c r="E597" s="30" t="s">
        <v>1051</v>
      </c>
      <c r="F597" s="38" t="s">
        <v>566</v>
      </c>
      <c r="G597" s="40" t="s">
        <v>570</v>
      </c>
      <c r="H597" s="38">
        <f t="shared" si="18"/>
        <v>1</v>
      </c>
      <c r="I597" s="41" t="str">
        <f t="shared" si="19"/>
        <v>Only YAKE</v>
      </c>
      <c r="K597" s="32"/>
      <c r="L597" s="32"/>
      <c r="M597" s="32"/>
      <c r="N597" s="32"/>
      <c r="O597" s="32"/>
      <c r="P597" s="32"/>
    </row>
    <row r="598" spans="1:16" x14ac:dyDescent="0.3">
      <c r="A598" s="38">
        <v>597</v>
      </c>
      <c r="B598" s="39" t="s">
        <v>564</v>
      </c>
      <c r="C598" s="30"/>
      <c r="D598" s="30"/>
      <c r="E598" s="30" t="s">
        <v>1052</v>
      </c>
      <c r="F598" s="38" t="s">
        <v>566</v>
      </c>
      <c r="G598" s="40" t="s">
        <v>570</v>
      </c>
      <c r="H598" s="38">
        <f t="shared" si="18"/>
        <v>1</v>
      </c>
      <c r="I598" s="41" t="str">
        <f t="shared" si="19"/>
        <v>Only YAKE</v>
      </c>
      <c r="K598" s="32"/>
      <c r="L598" s="32"/>
      <c r="M598" s="32"/>
      <c r="N598" s="32"/>
      <c r="O598" s="32"/>
      <c r="P598" s="32"/>
    </row>
    <row r="599" spans="1:16" x14ac:dyDescent="0.3">
      <c r="A599" s="38">
        <v>598</v>
      </c>
      <c r="B599" s="39" t="s">
        <v>564</v>
      </c>
      <c r="C599" s="30"/>
      <c r="D599" s="30"/>
      <c r="E599" s="30" t="s">
        <v>1053</v>
      </c>
      <c r="F599" s="38" t="s">
        <v>566</v>
      </c>
      <c r="G599" s="40" t="s">
        <v>570</v>
      </c>
      <c r="H599" s="38">
        <f t="shared" si="18"/>
        <v>1</v>
      </c>
      <c r="I599" s="41" t="str">
        <f t="shared" si="19"/>
        <v>Only YAKE</v>
      </c>
      <c r="K599" s="32"/>
      <c r="L599" s="32"/>
      <c r="M599" s="32"/>
      <c r="N599" s="32"/>
      <c r="O599" s="32"/>
      <c r="P599" s="32"/>
    </row>
    <row r="600" spans="1:16" x14ac:dyDescent="0.3">
      <c r="A600" s="38">
        <v>599</v>
      </c>
      <c r="B600" s="39" t="s">
        <v>564</v>
      </c>
      <c r="C600" s="30"/>
      <c r="D600" s="30"/>
      <c r="E600" s="30" t="s">
        <v>1054</v>
      </c>
      <c r="F600" s="38" t="s">
        <v>566</v>
      </c>
      <c r="G600" s="40" t="s">
        <v>570</v>
      </c>
      <c r="H600" s="38">
        <f t="shared" si="18"/>
        <v>1</v>
      </c>
      <c r="I600" s="41" t="str">
        <f t="shared" si="19"/>
        <v>Only YAKE</v>
      </c>
      <c r="K600" s="32"/>
      <c r="L600" s="32"/>
      <c r="M600" s="32"/>
      <c r="N600" s="32"/>
      <c r="O600" s="32"/>
      <c r="P600" s="32"/>
    </row>
    <row r="601" spans="1:16" x14ac:dyDescent="0.3">
      <c r="A601" s="38">
        <v>600</v>
      </c>
      <c r="B601" s="39" t="s">
        <v>564</v>
      </c>
      <c r="C601" s="30"/>
      <c r="D601" s="30"/>
      <c r="E601" s="30" t="s">
        <v>1055</v>
      </c>
      <c r="F601" s="38" t="s">
        <v>566</v>
      </c>
      <c r="G601" s="40" t="s">
        <v>570</v>
      </c>
      <c r="H601" s="38">
        <f t="shared" si="18"/>
        <v>1</v>
      </c>
      <c r="I601" s="41" t="str">
        <f t="shared" si="19"/>
        <v>Only YAKE</v>
      </c>
      <c r="K601" s="32"/>
      <c r="L601" s="32"/>
      <c r="M601" s="32"/>
      <c r="N601" s="32"/>
      <c r="O601" s="32"/>
      <c r="P601" s="32"/>
    </row>
    <row r="602" spans="1:16" x14ac:dyDescent="0.3">
      <c r="A602" s="38">
        <v>601</v>
      </c>
      <c r="B602" s="39" t="s">
        <v>564</v>
      </c>
      <c r="C602" s="30"/>
      <c r="D602" s="30" t="s">
        <v>1056</v>
      </c>
      <c r="E602" s="30"/>
      <c r="F602" s="38" t="s">
        <v>566</v>
      </c>
      <c r="G602" s="40" t="s">
        <v>570</v>
      </c>
      <c r="H602" s="38">
        <f t="shared" si="18"/>
        <v>1</v>
      </c>
      <c r="I602" s="41" t="str">
        <f t="shared" si="19"/>
        <v>Only RAKE</v>
      </c>
      <c r="K602" s="32"/>
      <c r="L602" s="32"/>
      <c r="M602" s="32"/>
      <c r="N602" s="32"/>
      <c r="O602" s="32"/>
      <c r="P602" s="32"/>
    </row>
    <row r="603" spans="1:16" x14ac:dyDescent="0.3">
      <c r="A603" s="38">
        <v>602</v>
      </c>
      <c r="B603" s="39" t="s">
        <v>564</v>
      </c>
      <c r="C603" s="30"/>
      <c r="D603" s="30" t="s">
        <v>1057</v>
      </c>
      <c r="E603" s="30"/>
      <c r="F603" s="38" t="s">
        <v>566</v>
      </c>
      <c r="G603" s="40" t="s">
        <v>570</v>
      </c>
      <c r="H603" s="38">
        <f t="shared" si="18"/>
        <v>1</v>
      </c>
      <c r="I603" s="41" t="str">
        <f t="shared" si="19"/>
        <v>Only RAKE</v>
      </c>
      <c r="K603" s="32"/>
      <c r="L603" s="32"/>
      <c r="M603" s="32"/>
      <c r="N603" s="32"/>
      <c r="O603" s="32"/>
      <c r="P603" s="32"/>
    </row>
    <row r="604" spans="1:16" x14ac:dyDescent="0.3">
      <c r="A604" s="38">
        <v>603</v>
      </c>
      <c r="B604" s="39" t="s">
        <v>564</v>
      </c>
      <c r="C604" s="30"/>
      <c r="D604" s="30"/>
      <c r="E604" s="30" t="s">
        <v>1058</v>
      </c>
      <c r="F604" s="38" t="s">
        <v>566</v>
      </c>
      <c r="G604" s="40" t="s">
        <v>570</v>
      </c>
      <c r="H604" s="38">
        <f t="shared" si="18"/>
        <v>1</v>
      </c>
      <c r="I604" s="41" t="str">
        <f t="shared" si="19"/>
        <v>Only YAKE</v>
      </c>
      <c r="K604" s="32"/>
      <c r="L604" s="32"/>
      <c r="M604" s="32"/>
      <c r="N604" s="32"/>
      <c r="O604" s="32"/>
      <c r="P604" s="32"/>
    </row>
    <row r="605" spans="1:16" x14ac:dyDescent="0.3">
      <c r="A605" s="38">
        <v>604</v>
      </c>
      <c r="B605" s="39" t="s">
        <v>564</v>
      </c>
      <c r="C605" s="30"/>
      <c r="D605" s="30"/>
      <c r="E605" s="30" t="s">
        <v>1059</v>
      </c>
      <c r="F605" s="38" t="s">
        <v>566</v>
      </c>
      <c r="G605" s="40" t="s">
        <v>570</v>
      </c>
      <c r="H605" s="38">
        <f t="shared" si="18"/>
        <v>1</v>
      </c>
      <c r="I605" s="41" t="str">
        <f t="shared" si="19"/>
        <v>Only YAKE</v>
      </c>
      <c r="K605" s="32"/>
      <c r="L605" s="32"/>
      <c r="M605" s="32"/>
      <c r="N605" s="32"/>
      <c r="O605" s="32"/>
      <c r="P605" s="32"/>
    </row>
    <row r="606" spans="1:16" x14ac:dyDescent="0.3">
      <c r="A606" s="38">
        <v>605</v>
      </c>
      <c r="B606" s="39" t="s">
        <v>564</v>
      </c>
      <c r="C606" s="30"/>
      <c r="D606" s="30" t="s">
        <v>1060</v>
      </c>
      <c r="E606" s="30"/>
      <c r="F606" s="38" t="s">
        <v>566</v>
      </c>
      <c r="G606" s="40" t="s">
        <v>570</v>
      </c>
      <c r="H606" s="38">
        <f t="shared" si="18"/>
        <v>1</v>
      </c>
      <c r="I606" s="41" t="str">
        <f t="shared" si="19"/>
        <v>Only RAKE</v>
      </c>
      <c r="K606" s="32"/>
      <c r="L606" s="32"/>
      <c r="M606" s="32"/>
      <c r="N606" s="32"/>
      <c r="O606" s="32"/>
      <c r="P606" s="32"/>
    </row>
    <row r="607" spans="1:16" x14ac:dyDescent="0.3">
      <c r="A607" s="38">
        <v>606</v>
      </c>
      <c r="B607" s="39" t="s">
        <v>564</v>
      </c>
      <c r="C607" s="30"/>
      <c r="D607" s="30"/>
      <c r="E607" s="30" t="s">
        <v>1061</v>
      </c>
      <c r="F607" s="38" t="s">
        <v>566</v>
      </c>
      <c r="G607" s="40" t="s">
        <v>570</v>
      </c>
      <c r="H607" s="38">
        <f t="shared" si="18"/>
        <v>1</v>
      </c>
      <c r="I607" s="41" t="str">
        <f t="shared" si="19"/>
        <v>Only YAKE</v>
      </c>
      <c r="K607" s="32"/>
      <c r="L607" s="32"/>
      <c r="M607" s="32"/>
      <c r="N607" s="32"/>
      <c r="O607" s="32"/>
      <c r="P607" s="32"/>
    </row>
    <row r="608" spans="1:16" x14ac:dyDescent="0.3">
      <c r="A608" s="38">
        <v>607</v>
      </c>
      <c r="B608" s="39" t="s">
        <v>564</v>
      </c>
      <c r="C608" s="30"/>
      <c r="D608" s="30"/>
      <c r="E608" s="30" t="s">
        <v>1062</v>
      </c>
      <c r="F608" s="38" t="s">
        <v>566</v>
      </c>
      <c r="G608" s="40" t="s">
        <v>570</v>
      </c>
      <c r="H608" s="38">
        <f t="shared" si="18"/>
        <v>1</v>
      </c>
      <c r="I608" s="41" t="str">
        <f t="shared" si="19"/>
        <v>Only YAKE</v>
      </c>
      <c r="K608" s="32"/>
      <c r="L608" s="32"/>
      <c r="M608" s="32"/>
      <c r="N608" s="32"/>
      <c r="O608" s="32"/>
      <c r="P608" s="32"/>
    </row>
    <row r="609" spans="1:16" x14ac:dyDescent="0.3">
      <c r="A609" s="38">
        <v>608</v>
      </c>
      <c r="B609" s="39" t="s">
        <v>564</v>
      </c>
      <c r="C609" s="30"/>
      <c r="D609" s="30"/>
      <c r="E609" s="30" t="s">
        <v>1063</v>
      </c>
      <c r="F609" s="38" t="s">
        <v>566</v>
      </c>
      <c r="G609" s="40" t="s">
        <v>570</v>
      </c>
      <c r="H609" s="38">
        <f t="shared" si="18"/>
        <v>1</v>
      </c>
      <c r="I609" s="41" t="str">
        <f t="shared" si="19"/>
        <v>Only YAKE</v>
      </c>
      <c r="K609" s="32"/>
      <c r="L609" s="32"/>
      <c r="M609" s="32"/>
      <c r="N609" s="32"/>
      <c r="O609" s="32"/>
      <c r="P609" s="32"/>
    </row>
    <row r="610" spans="1:16" x14ac:dyDescent="0.3">
      <c r="A610" s="38">
        <v>609</v>
      </c>
      <c r="B610" s="39" t="s">
        <v>564</v>
      </c>
      <c r="C610" s="30"/>
      <c r="D610" s="30" t="s">
        <v>1064</v>
      </c>
      <c r="E610" s="30"/>
      <c r="F610" s="38" t="s">
        <v>566</v>
      </c>
      <c r="G610" s="40" t="s">
        <v>570</v>
      </c>
      <c r="H610" s="38">
        <f t="shared" si="18"/>
        <v>1</v>
      </c>
      <c r="I610" s="41" t="str">
        <f t="shared" si="19"/>
        <v>Only RAKE</v>
      </c>
      <c r="K610" s="32"/>
      <c r="L610" s="32"/>
      <c r="M610" s="32"/>
      <c r="N610" s="32"/>
      <c r="O610" s="32"/>
      <c r="P610" s="32"/>
    </row>
    <row r="611" spans="1:16" x14ac:dyDescent="0.3">
      <c r="A611" s="38">
        <v>610</v>
      </c>
      <c r="B611" s="39" t="s">
        <v>564</v>
      </c>
      <c r="C611" s="30"/>
      <c r="D611" s="30" t="s">
        <v>1065</v>
      </c>
      <c r="E611" s="30"/>
      <c r="F611" s="38" t="s">
        <v>566</v>
      </c>
      <c r="G611" s="40" t="s">
        <v>570</v>
      </c>
      <c r="H611" s="38">
        <f t="shared" si="18"/>
        <v>1</v>
      </c>
      <c r="I611" s="41" t="str">
        <f t="shared" si="19"/>
        <v>Only RAKE</v>
      </c>
      <c r="K611" s="32"/>
      <c r="L611" s="32"/>
      <c r="M611" s="32"/>
      <c r="N611" s="32"/>
      <c r="O611" s="32"/>
      <c r="P611" s="32"/>
    </row>
    <row r="612" spans="1:16" x14ac:dyDescent="0.3">
      <c r="A612" s="38">
        <v>611</v>
      </c>
      <c r="B612" s="39" t="s">
        <v>564</v>
      </c>
      <c r="C612" s="30"/>
      <c r="D612" s="30" t="s">
        <v>1066</v>
      </c>
      <c r="E612" s="30"/>
      <c r="F612" s="38" t="s">
        <v>566</v>
      </c>
      <c r="G612" s="40" t="s">
        <v>570</v>
      </c>
      <c r="H612" s="38">
        <f t="shared" si="18"/>
        <v>1</v>
      </c>
      <c r="I612" s="41" t="str">
        <f t="shared" si="19"/>
        <v>Only RAKE</v>
      </c>
      <c r="K612" s="32"/>
      <c r="L612" s="32"/>
      <c r="M612" s="32"/>
      <c r="N612" s="32"/>
      <c r="O612" s="32"/>
      <c r="P612" s="32"/>
    </row>
    <row r="613" spans="1:16" x14ac:dyDescent="0.3">
      <c r="A613" s="38">
        <v>612</v>
      </c>
      <c r="B613" s="39" t="s">
        <v>564</v>
      </c>
      <c r="C613" s="30"/>
      <c r="D613" s="30" t="s">
        <v>1067</v>
      </c>
      <c r="E613" s="30"/>
      <c r="F613" s="38" t="s">
        <v>566</v>
      </c>
      <c r="G613" s="40" t="s">
        <v>570</v>
      </c>
      <c r="H613" s="38">
        <f t="shared" si="18"/>
        <v>1</v>
      </c>
      <c r="I613" s="41" t="str">
        <f t="shared" si="19"/>
        <v>Only RAKE</v>
      </c>
      <c r="K613" s="32"/>
      <c r="L613" s="32"/>
      <c r="M613" s="32"/>
      <c r="N613" s="32"/>
      <c r="O613" s="32"/>
      <c r="P613" s="32"/>
    </row>
    <row r="614" spans="1:16" x14ac:dyDescent="0.3">
      <c r="A614" s="38">
        <v>613</v>
      </c>
      <c r="B614" s="39" t="s">
        <v>564</v>
      </c>
      <c r="C614" s="30"/>
      <c r="D614" s="30" t="s">
        <v>1068</v>
      </c>
      <c r="E614" s="30"/>
      <c r="F614" s="38" t="s">
        <v>566</v>
      </c>
      <c r="G614" s="40" t="s">
        <v>570</v>
      </c>
      <c r="H614" s="38">
        <f t="shared" si="18"/>
        <v>1</v>
      </c>
      <c r="I614" s="41" t="str">
        <f t="shared" si="19"/>
        <v>Only RAKE</v>
      </c>
      <c r="K614" s="32"/>
      <c r="L614" s="32"/>
      <c r="M614" s="32"/>
      <c r="N614" s="32"/>
      <c r="O614" s="32"/>
      <c r="P614" s="32"/>
    </row>
    <row r="615" spans="1:16" x14ac:dyDescent="0.3">
      <c r="A615" s="38">
        <v>614</v>
      </c>
      <c r="B615" s="39" t="s">
        <v>564</v>
      </c>
      <c r="C615" s="30"/>
      <c r="D615" s="30" t="s">
        <v>1069</v>
      </c>
      <c r="E615" s="30"/>
      <c r="F615" s="38" t="s">
        <v>566</v>
      </c>
      <c r="G615" s="40" t="s">
        <v>570</v>
      </c>
      <c r="H615" s="38">
        <f t="shared" si="18"/>
        <v>1</v>
      </c>
      <c r="I615" s="41" t="str">
        <f t="shared" si="19"/>
        <v>Only RAKE</v>
      </c>
      <c r="K615" s="32"/>
      <c r="L615" s="32"/>
      <c r="M615" s="32"/>
      <c r="N615" s="32"/>
      <c r="O615" s="32"/>
      <c r="P615" s="32"/>
    </row>
    <row r="616" spans="1:16" x14ac:dyDescent="0.3">
      <c r="A616" s="38">
        <v>615</v>
      </c>
      <c r="B616" s="39" t="s">
        <v>564</v>
      </c>
      <c r="C616" s="30"/>
      <c r="D616" s="30" t="s">
        <v>1070</v>
      </c>
      <c r="E616" s="30"/>
      <c r="F616" s="38" t="s">
        <v>566</v>
      </c>
      <c r="G616" s="40" t="s">
        <v>570</v>
      </c>
      <c r="H616" s="38">
        <f t="shared" si="18"/>
        <v>1</v>
      </c>
      <c r="I616" s="41" t="str">
        <f t="shared" si="19"/>
        <v>Only RAKE</v>
      </c>
      <c r="K616" s="32"/>
      <c r="L616" s="32"/>
      <c r="M616" s="32"/>
      <c r="N616" s="32"/>
      <c r="O616" s="32"/>
      <c r="P616" s="32"/>
    </row>
    <row r="617" spans="1:16" x14ac:dyDescent="0.3">
      <c r="A617" s="38">
        <v>616</v>
      </c>
      <c r="B617" s="39" t="s">
        <v>564</v>
      </c>
      <c r="C617" s="30"/>
      <c r="D617" s="30" t="s">
        <v>1071</v>
      </c>
      <c r="E617" s="30"/>
      <c r="F617" s="38" t="s">
        <v>566</v>
      </c>
      <c r="G617" s="40" t="s">
        <v>570</v>
      </c>
      <c r="H617" s="38">
        <f t="shared" si="18"/>
        <v>1</v>
      </c>
      <c r="I617" s="41" t="str">
        <f t="shared" si="19"/>
        <v>Only RAKE</v>
      </c>
      <c r="K617" s="32"/>
      <c r="L617" s="32"/>
      <c r="M617" s="32"/>
      <c r="N617" s="32"/>
      <c r="O617" s="32"/>
      <c r="P617" s="32"/>
    </row>
    <row r="618" spans="1:16" x14ac:dyDescent="0.3">
      <c r="A618" s="38">
        <v>617</v>
      </c>
      <c r="B618" s="39" t="s">
        <v>564</v>
      </c>
      <c r="C618" s="30"/>
      <c r="D618" s="30" t="s">
        <v>1072</v>
      </c>
      <c r="E618" s="30"/>
      <c r="F618" s="38" t="s">
        <v>566</v>
      </c>
      <c r="G618" s="40" t="s">
        <v>570</v>
      </c>
      <c r="H618" s="38">
        <f t="shared" si="18"/>
        <v>1</v>
      </c>
      <c r="I618" s="41" t="str">
        <f t="shared" si="19"/>
        <v>Only RAKE</v>
      </c>
      <c r="K618" s="32"/>
      <c r="L618" s="32"/>
      <c r="M618" s="32"/>
      <c r="N618" s="32"/>
      <c r="O618" s="32"/>
      <c r="P618" s="32"/>
    </row>
    <row r="619" spans="1:16" x14ac:dyDescent="0.3">
      <c r="A619" s="38">
        <v>618</v>
      </c>
      <c r="B619" s="39" t="s">
        <v>564</v>
      </c>
      <c r="C619" s="30"/>
      <c r="D619" s="30"/>
      <c r="E619" s="30" t="s">
        <v>1073</v>
      </c>
      <c r="F619" s="38" t="s">
        <v>566</v>
      </c>
      <c r="G619" s="40" t="s">
        <v>570</v>
      </c>
      <c r="H619" s="38">
        <f t="shared" si="18"/>
        <v>1</v>
      </c>
      <c r="I619" s="41" t="str">
        <f t="shared" si="19"/>
        <v>Only YAKE</v>
      </c>
      <c r="K619" s="32"/>
      <c r="L619" s="32"/>
      <c r="M619" s="32"/>
      <c r="N619" s="32"/>
      <c r="O619" s="32"/>
      <c r="P619" s="32"/>
    </row>
    <row r="620" spans="1:16" x14ac:dyDescent="0.3">
      <c r="A620" s="38">
        <v>619</v>
      </c>
      <c r="B620" s="39" t="s">
        <v>564</v>
      </c>
      <c r="C620" s="30"/>
      <c r="D620" s="30" t="s">
        <v>1074</v>
      </c>
      <c r="E620" s="30"/>
      <c r="F620" s="38" t="s">
        <v>566</v>
      </c>
      <c r="G620" s="40" t="s">
        <v>570</v>
      </c>
      <c r="H620" s="38">
        <f t="shared" si="18"/>
        <v>1</v>
      </c>
      <c r="I620" s="41" t="str">
        <f t="shared" si="19"/>
        <v>Only RAKE</v>
      </c>
      <c r="K620" s="32"/>
      <c r="L620" s="32"/>
      <c r="M620" s="32"/>
      <c r="N620" s="32"/>
      <c r="O620" s="32"/>
      <c r="P620" s="32"/>
    </row>
    <row r="621" spans="1:16" x14ac:dyDescent="0.3">
      <c r="A621" s="38">
        <v>620</v>
      </c>
      <c r="B621" s="39" t="s">
        <v>564</v>
      </c>
      <c r="C621" s="30" t="s">
        <v>1075</v>
      </c>
      <c r="D621" s="30"/>
      <c r="E621" s="30"/>
      <c r="F621" s="38" t="s">
        <v>566</v>
      </c>
      <c r="G621" s="40" t="s">
        <v>570</v>
      </c>
      <c r="H621" s="38">
        <f t="shared" si="18"/>
        <v>1</v>
      </c>
      <c r="I621" s="41" t="str">
        <f t="shared" si="19"/>
        <v>Only Gemini</v>
      </c>
      <c r="K621" s="32"/>
      <c r="L621" s="32"/>
      <c r="M621" s="32"/>
      <c r="N621" s="32"/>
      <c r="O621" s="32"/>
      <c r="P621" s="32"/>
    </row>
    <row r="622" spans="1:16" x14ac:dyDescent="0.3">
      <c r="A622" s="38">
        <v>621</v>
      </c>
      <c r="B622" s="39" t="s">
        <v>564</v>
      </c>
      <c r="C622" s="30"/>
      <c r="D622" s="30"/>
      <c r="E622" s="30" t="s">
        <v>1076</v>
      </c>
      <c r="F622" s="38" t="s">
        <v>566</v>
      </c>
      <c r="G622" s="40" t="s">
        <v>570</v>
      </c>
      <c r="H622" s="38">
        <f t="shared" si="18"/>
        <v>1</v>
      </c>
      <c r="I622" s="41" t="str">
        <f t="shared" si="19"/>
        <v>Only YAKE</v>
      </c>
      <c r="K622" s="32"/>
      <c r="L622" s="32"/>
      <c r="M622" s="32"/>
      <c r="N622" s="32"/>
      <c r="O622" s="32"/>
      <c r="P622" s="32"/>
    </row>
    <row r="623" spans="1:16" x14ac:dyDescent="0.3">
      <c r="A623" s="38">
        <v>622</v>
      </c>
      <c r="B623" s="39" t="s">
        <v>564</v>
      </c>
      <c r="C623" s="30"/>
      <c r="D623" s="30"/>
      <c r="E623" s="30" t="s">
        <v>1077</v>
      </c>
      <c r="F623" s="38" t="s">
        <v>566</v>
      </c>
      <c r="G623" s="40" t="s">
        <v>570</v>
      </c>
      <c r="H623" s="38">
        <f t="shared" si="18"/>
        <v>1</v>
      </c>
      <c r="I623" s="41" t="str">
        <f t="shared" si="19"/>
        <v>Only YAKE</v>
      </c>
      <c r="K623" s="32"/>
      <c r="L623" s="32"/>
      <c r="M623" s="32"/>
      <c r="N623" s="32"/>
      <c r="O623" s="32"/>
      <c r="P623" s="32"/>
    </row>
    <row r="624" spans="1:16" x14ac:dyDescent="0.3">
      <c r="A624" s="38">
        <v>623</v>
      </c>
      <c r="B624" s="39" t="s">
        <v>564</v>
      </c>
      <c r="C624" s="30"/>
      <c r="D624" s="30" t="s">
        <v>1078</v>
      </c>
      <c r="E624" s="30"/>
      <c r="F624" s="38" t="s">
        <v>566</v>
      </c>
      <c r="G624" s="40" t="s">
        <v>570</v>
      </c>
      <c r="H624" s="38">
        <f t="shared" si="18"/>
        <v>1</v>
      </c>
      <c r="I624" s="41" t="str">
        <f t="shared" si="19"/>
        <v>Only RAKE</v>
      </c>
      <c r="K624" s="32"/>
      <c r="L624" s="32"/>
      <c r="M624" s="32"/>
      <c r="N624" s="32"/>
      <c r="O624" s="32"/>
      <c r="P624" s="32"/>
    </row>
    <row r="625" spans="1:16" x14ac:dyDescent="0.3">
      <c r="A625" s="38">
        <v>624</v>
      </c>
      <c r="B625" s="39" t="s">
        <v>564</v>
      </c>
      <c r="C625" s="30"/>
      <c r="D625" s="30"/>
      <c r="E625" s="30" t="s">
        <v>1079</v>
      </c>
      <c r="F625" s="38" t="s">
        <v>566</v>
      </c>
      <c r="G625" s="40" t="s">
        <v>570</v>
      </c>
      <c r="H625" s="38">
        <f t="shared" si="18"/>
        <v>1</v>
      </c>
      <c r="I625" s="41" t="str">
        <f t="shared" si="19"/>
        <v>Only YAKE</v>
      </c>
      <c r="K625" s="32"/>
      <c r="L625" s="32"/>
      <c r="M625" s="32"/>
      <c r="N625" s="32"/>
      <c r="O625" s="32"/>
      <c r="P625" s="32"/>
    </row>
    <row r="626" spans="1:16" x14ac:dyDescent="0.3">
      <c r="A626" s="38">
        <v>625</v>
      </c>
      <c r="B626" s="39" t="s">
        <v>564</v>
      </c>
      <c r="C626" s="30"/>
      <c r="D626" s="30" t="s">
        <v>1080</v>
      </c>
      <c r="E626" s="30"/>
      <c r="F626" s="38" t="s">
        <v>566</v>
      </c>
      <c r="G626" s="40" t="s">
        <v>570</v>
      </c>
      <c r="H626" s="38">
        <f t="shared" si="18"/>
        <v>1</v>
      </c>
      <c r="I626" s="41" t="str">
        <f t="shared" si="19"/>
        <v>Only RAKE</v>
      </c>
      <c r="K626" s="32"/>
      <c r="L626" s="32"/>
      <c r="M626" s="32"/>
      <c r="N626" s="32"/>
      <c r="O626" s="32"/>
      <c r="P626" s="32"/>
    </row>
    <row r="627" spans="1:16" x14ac:dyDescent="0.3">
      <c r="A627" s="38">
        <v>626</v>
      </c>
      <c r="B627" s="39" t="s">
        <v>564</v>
      </c>
      <c r="C627" s="30"/>
      <c r="D627" s="30" t="s">
        <v>1081</v>
      </c>
      <c r="E627" s="30"/>
      <c r="F627" s="38" t="s">
        <v>566</v>
      </c>
      <c r="G627" s="40" t="s">
        <v>570</v>
      </c>
      <c r="H627" s="38">
        <f t="shared" si="18"/>
        <v>1</v>
      </c>
      <c r="I627" s="41" t="str">
        <f t="shared" si="19"/>
        <v>Only RAKE</v>
      </c>
      <c r="K627" s="32"/>
      <c r="L627" s="32"/>
      <c r="M627" s="32"/>
      <c r="N627" s="32"/>
      <c r="O627" s="32"/>
      <c r="P627" s="32"/>
    </row>
    <row r="628" spans="1:16" x14ac:dyDescent="0.3">
      <c r="A628" s="38">
        <v>627</v>
      </c>
      <c r="B628" s="39" t="s">
        <v>564</v>
      </c>
      <c r="C628" s="30"/>
      <c r="D628" s="30"/>
      <c r="E628" s="30" t="s">
        <v>1082</v>
      </c>
      <c r="F628" s="38" t="s">
        <v>566</v>
      </c>
      <c r="G628" s="40" t="s">
        <v>570</v>
      </c>
      <c r="H628" s="38">
        <f t="shared" si="18"/>
        <v>1</v>
      </c>
      <c r="I628" s="41" t="str">
        <f t="shared" si="19"/>
        <v>Only YAKE</v>
      </c>
      <c r="K628" s="32"/>
      <c r="L628" s="32"/>
      <c r="M628" s="32"/>
      <c r="N628" s="32"/>
      <c r="O628" s="32"/>
      <c r="P628" s="32"/>
    </row>
    <row r="629" spans="1:16" x14ac:dyDescent="0.3">
      <c r="A629" s="38">
        <v>628</v>
      </c>
      <c r="B629" s="39" t="s">
        <v>564</v>
      </c>
      <c r="C629" s="30"/>
      <c r="D629" s="30"/>
      <c r="E629" s="30" t="s">
        <v>1083</v>
      </c>
      <c r="F629" s="38" t="s">
        <v>566</v>
      </c>
      <c r="G629" s="40" t="s">
        <v>570</v>
      </c>
      <c r="H629" s="38">
        <f t="shared" si="18"/>
        <v>1</v>
      </c>
      <c r="I629" s="41" t="str">
        <f t="shared" si="19"/>
        <v>Only YAKE</v>
      </c>
      <c r="K629" s="32"/>
      <c r="L629" s="32"/>
      <c r="M629" s="32"/>
      <c r="N629" s="32"/>
      <c r="O629" s="32"/>
      <c r="P629" s="32"/>
    </row>
    <row r="630" spans="1:16" x14ac:dyDescent="0.3">
      <c r="A630" s="38">
        <v>629</v>
      </c>
      <c r="B630" s="39" t="s">
        <v>564</v>
      </c>
      <c r="C630" s="30"/>
      <c r="D630" s="30" t="s">
        <v>1084</v>
      </c>
      <c r="E630" s="30"/>
      <c r="F630" s="38" t="s">
        <v>566</v>
      </c>
      <c r="G630" s="40" t="s">
        <v>570</v>
      </c>
      <c r="H630" s="38">
        <f t="shared" si="18"/>
        <v>1</v>
      </c>
      <c r="I630" s="41" t="str">
        <f t="shared" si="19"/>
        <v>Only RAKE</v>
      </c>
      <c r="K630" s="32"/>
      <c r="L630" s="32"/>
      <c r="M630" s="32"/>
      <c r="N630" s="32"/>
      <c r="O630" s="32"/>
      <c r="P630" s="32"/>
    </row>
    <row r="631" spans="1:16" x14ac:dyDescent="0.3">
      <c r="A631" s="38">
        <v>630</v>
      </c>
      <c r="B631" s="39" t="s">
        <v>564</v>
      </c>
      <c r="C631" s="30"/>
      <c r="D631" s="30"/>
      <c r="E631" s="30" t="s">
        <v>1085</v>
      </c>
      <c r="F631" s="38" t="s">
        <v>566</v>
      </c>
      <c r="G631" s="40" t="s">
        <v>570</v>
      </c>
      <c r="H631" s="38">
        <f t="shared" si="18"/>
        <v>1</v>
      </c>
      <c r="I631" s="41" t="str">
        <f t="shared" si="19"/>
        <v>Only YAKE</v>
      </c>
      <c r="K631" s="32"/>
      <c r="L631" s="32"/>
      <c r="M631" s="32"/>
      <c r="N631" s="32"/>
      <c r="O631" s="32"/>
      <c r="P631" s="32"/>
    </row>
    <row r="632" spans="1:16" x14ac:dyDescent="0.3">
      <c r="A632" s="38">
        <v>631</v>
      </c>
      <c r="B632" s="39" t="s">
        <v>564</v>
      </c>
      <c r="C632" s="30"/>
      <c r="D632" s="30"/>
      <c r="E632" s="30" t="s">
        <v>1086</v>
      </c>
      <c r="F632" s="38" t="s">
        <v>566</v>
      </c>
      <c r="G632" s="40" t="s">
        <v>570</v>
      </c>
      <c r="H632" s="38">
        <f t="shared" si="18"/>
        <v>1</v>
      </c>
      <c r="I632" s="41" t="str">
        <f t="shared" si="19"/>
        <v>Only YAKE</v>
      </c>
      <c r="K632" s="32"/>
      <c r="L632" s="32"/>
      <c r="M632" s="32"/>
      <c r="N632" s="32"/>
      <c r="O632" s="32"/>
      <c r="P632" s="32"/>
    </row>
    <row r="633" spans="1:16" x14ac:dyDescent="0.3">
      <c r="A633" s="38">
        <v>632</v>
      </c>
      <c r="B633" s="39" t="s">
        <v>564</v>
      </c>
      <c r="C633" s="30"/>
      <c r="D633" s="30" t="s">
        <v>1087</v>
      </c>
      <c r="E633" s="30"/>
      <c r="F633" s="38" t="s">
        <v>566</v>
      </c>
      <c r="G633" s="40" t="s">
        <v>570</v>
      </c>
      <c r="H633" s="38">
        <f t="shared" si="18"/>
        <v>1</v>
      </c>
      <c r="I633" s="41" t="str">
        <f t="shared" si="19"/>
        <v>Only RAKE</v>
      </c>
      <c r="K633" s="32"/>
      <c r="L633" s="32"/>
      <c r="M633" s="32"/>
      <c r="N633" s="32"/>
      <c r="O633" s="32"/>
      <c r="P633" s="32"/>
    </row>
    <row r="634" spans="1:16" x14ac:dyDescent="0.3">
      <c r="A634" s="38">
        <v>633</v>
      </c>
      <c r="B634" s="39" t="s">
        <v>564</v>
      </c>
      <c r="C634" s="30"/>
      <c r="D634" s="30"/>
      <c r="E634" s="30" t="s">
        <v>1088</v>
      </c>
      <c r="F634" s="38" t="s">
        <v>566</v>
      </c>
      <c r="G634" s="40" t="s">
        <v>570</v>
      </c>
      <c r="H634" s="38">
        <f t="shared" si="18"/>
        <v>1</v>
      </c>
      <c r="I634" s="41" t="str">
        <f t="shared" si="19"/>
        <v>Only YAKE</v>
      </c>
      <c r="K634" s="32"/>
      <c r="L634" s="32"/>
      <c r="M634" s="32"/>
      <c r="N634" s="32"/>
      <c r="O634" s="32"/>
      <c r="P634" s="32"/>
    </row>
    <row r="635" spans="1:16" x14ac:dyDescent="0.3">
      <c r="A635" s="38">
        <v>634</v>
      </c>
      <c r="B635" s="39" t="s">
        <v>564</v>
      </c>
      <c r="C635" s="30"/>
      <c r="D635" s="30"/>
      <c r="E635" s="30" t="s">
        <v>1089</v>
      </c>
      <c r="F635" s="38" t="s">
        <v>566</v>
      </c>
      <c r="G635" s="40" t="s">
        <v>570</v>
      </c>
      <c r="H635" s="38">
        <f t="shared" si="18"/>
        <v>1</v>
      </c>
      <c r="I635" s="41" t="str">
        <f t="shared" si="19"/>
        <v>Only YAKE</v>
      </c>
      <c r="K635" s="32"/>
      <c r="L635" s="32"/>
      <c r="M635" s="32"/>
      <c r="N635" s="32"/>
      <c r="O635" s="32"/>
      <c r="P635" s="32"/>
    </row>
    <row r="636" spans="1:16" x14ac:dyDescent="0.3">
      <c r="A636" s="38">
        <v>635</v>
      </c>
      <c r="B636" s="39" t="s">
        <v>564</v>
      </c>
      <c r="C636" s="30"/>
      <c r="D636" s="30"/>
      <c r="E636" s="30" t="s">
        <v>1090</v>
      </c>
      <c r="F636" s="38" t="s">
        <v>566</v>
      </c>
      <c r="G636" s="40" t="s">
        <v>570</v>
      </c>
      <c r="H636" s="38">
        <f t="shared" si="18"/>
        <v>1</v>
      </c>
      <c r="I636" s="41" t="str">
        <f t="shared" si="19"/>
        <v>Only YAKE</v>
      </c>
      <c r="K636" s="32"/>
      <c r="L636" s="32"/>
      <c r="M636" s="32"/>
      <c r="N636" s="32"/>
      <c r="O636" s="32"/>
      <c r="P636" s="32"/>
    </row>
    <row r="637" spans="1:16" x14ac:dyDescent="0.3">
      <c r="A637" s="38">
        <v>636</v>
      </c>
      <c r="B637" s="39" t="s">
        <v>564</v>
      </c>
      <c r="C637" s="30"/>
      <c r="D637" s="30" t="s">
        <v>1091</v>
      </c>
      <c r="E637" s="30"/>
      <c r="F637" s="38" t="s">
        <v>566</v>
      </c>
      <c r="G637" s="40" t="s">
        <v>570</v>
      </c>
      <c r="H637" s="38">
        <f t="shared" si="18"/>
        <v>1</v>
      </c>
      <c r="I637" s="41" t="str">
        <f t="shared" si="19"/>
        <v>Only RAKE</v>
      </c>
      <c r="K637" s="32"/>
      <c r="L637" s="32"/>
      <c r="M637" s="32"/>
      <c r="N637" s="32"/>
      <c r="O637" s="32"/>
      <c r="P637" s="32"/>
    </row>
    <row r="638" spans="1:16" x14ac:dyDescent="0.3">
      <c r="A638" s="38">
        <v>637</v>
      </c>
      <c r="B638" s="39" t="s">
        <v>564</v>
      </c>
      <c r="C638" s="30"/>
      <c r="D638" s="30" t="s">
        <v>1092</v>
      </c>
      <c r="E638" s="30"/>
      <c r="F638" s="38" t="s">
        <v>566</v>
      </c>
      <c r="G638" s="40" t="s">
        <v>570</v>
      </c>
      <c r="H638" s="38">
        <f t="shared" si="18"/>
        <v>1</v>
      </c>
      <c r="I638" s="41" t="str">
        <f t="shared" si="19"/>
        <v>Only RAKE</v>
      </c>
      <c r="K638" s="32"/>
      <c r="L638" s="32"/>
      <c r="M638" s="32"/>
      <c r="N638" s="32"/>
      <c r="O638" s="32"/>
      <c r="P638" s="32"/>
    </row>
    <row r="639" spans="1:16" x14ac:dyDescent="0.3">
      <c r="A639" s="38">
        <v>638</v>
      </c>
      <c r="B639" s="39" t="s">
        <v>564</v>
      </c>
      <c r="C639" s="30"/>
      <c r="D639" s="30" t="s">
        <v>1093</v>
      </c>
      <c r="E639" s="30"/>
      <c r="F639" s="38" t="s">
        <v>566</v>
      </c>
      <c r="G639" s="40" t="s">
        <v>570</v>
      </c>
      <c r="H639" s="38">
        <f t="shared" si="18"/>
        <v>1</v>
      </c>
      <c r="I639" s="41" t="str">
        <f t="shared" si="19"/>
        <v>Only RAKE</v>
      </c>
      <c r="K639" s="32"/>
      <c r="L639" s="32"/>
      <c r="M639" s="32"/>
      <c r="N639" s="32"/>
      <c r="O639" s="32"/>
      <c r="P639" s="32"/>
    </row>
    <row r="640" spans="1:16" x14ac:dyDescent="0.3">
      <c r="A640" s="38">
        <v>639</v>
      </c>
      <c r="B640" s="39" t="s">
        <v>564</v>
      </c>
      <c r="C640" s="30"/>
      <c r="D640" s="30"/>
      <c r="E640" s="30" t="s">
        <v>1094</v>
      </c>
      <c r="F640" s="38" t="s">
        <v>566</v>
      </c>
      <c r="G640" s="40" t="s">
        <v>570</v>
      </c>
      <c r="H640" s="38">
        <f t="shared" si="18"/>
        <v>1</v>
      </c>
      <c r="I640" s="41" t="str">
        <f t="shared" si="19"/>
        <v>Only YAKE</v>
      </c>
      <c r="K640" s="32"/>
      <c r="L640" s="32"/>
      <c r="M640" s="32"/>
      <c r="N640" s="32"/>
      <c r="O640" s="32"/>
      <c r="P640" s="32"/>
    </row>
    <row r="641" spans="1:16" x14ac:dyDescent="0.3">
      <c r="A641" s="38">
        <v>640</v>
      </c>
      <c r="B641" s="39" t="s">
        <v>564</v>
      </c>
      <c r="C641" s="30"/>
      <c r="D641" s="30"/>
      <c r="E641" s="30" t="s">
        <v>1095</v>
      </c>
      <c r="F641" s="38" t="s">
        <v>566</v>
      </c>
      <c r="G641" s="40" t="s">
        <v>570</v>
      </c>
      <c r="H641" s="38">
        <f t="shared" si="18"/>
        <v>1</v>
      </c>
      <c r="I641" s="41" t="str">
        <f t="shared" si="19"/>
        <v>Only YAKE</v>
      </c>
      <c r="K641" s="32"/>
      <c r="L641" s="32"/>
      <c r="M641" s="32"/>
      <c r="N641" s="32"/>
      <c r="O641" s="32"/>
      <c r="P641" s="32"/>
    </row>
    <row r="642" spans="1:16" x14ac:dyDescent="0.3">
      <c r="A642" s="38">
        <v>641</v>
      </c>
      <c r="B642" s="39" t="s">
        <v>564</v>
      </c>
      <c r="C642" s="30"/>
      <c r="D642" s="30" t="s">
        <v>1096</v>
      </c>
      <c r="E642" s="30"/>
      <c r="F642" s="38" t="s">
        <v>566</v>
      </c>
      <c r="G642" s="40" t="s">
        <v>570</v>
      </c>
      <c r="H642" s="38">
        <f t="shared" ref="H642:H705" si="20">COUNTIF(C642:E642,"?*")</f>
        <v>1</v>
      </c>
      <c r="I642" s="41" t="str">
        <f t="shared" ref="I642:I705" si="21">IF(H642=0,"None",IF(H642=3,"All three",IF(H642=1,"Only "&amp;TRIM(IF(C642&lt;&gt;"","Gemini ","")&amp;IF(D642&lt;&gt;"","RAKE ","")&amp;IF(E642&lt;&gt;"","YAKE","")),SUBSTITUTE(TRIM(IF(C642&lt;&gt;"","Gemini ","")&amp;IF(D642&lt;&gt;"","RAKE ","")&amp;IF(E642&lt;&gt;"","YAKE",""))," "," + "))))</f>
        <v>Only RAKE</v>
      </c>
      <c r="K642" s="32"/>
      <c r="L642" s="32"/>
      <c r="M642" s="32"/>
      <c r="N642" s="32"/>
      <c r="O642" s="32"/>
      <c r="P642" s="32"/>
    </row>
    <row r="643" spans="1:16" x14ac:dyDescent="0.3">
      <c r="A643" s="38">
        <v>642</v>
      </c>
      <c r="B643" s="39" t="s">
        <v>564</v>
      </c>
      <c r="C643" s="30"/>
      <c r="D643" s="30" t="s">
        <v>1097</v>
      </c>
      <c r="E643" s="30"/>
      <c r="F643" s="38" t="s">
        <v>566</v>
      </c>
      <c r="G643" s="40" t="s">
        <v>570</v>
      </c>
      <c r="H643" s="38">
        <f t="shared" si="20"/>
        <v>1</v>
      </c>
      <c r="I643" s="41" t="str">
        <f t="shared" si="21"/>
        <v>Only RAKE</v>
      </c>
      <c r="K643" s="32"/>
      <c r="L643" s="32"/>
      <c r="M643" s="32"/>
      <c r="N643" s="32"/>
      <c r="O643" s="32"/>
      <c r="P643" s="32"/>
    </row>
    <row r="644" spans="1:16" x14ac:dyDescent="0.3">
      <c r="A644" s="38">
        <v>643</v>
      </c>
      <c r="B644" s="39" t="s">
        <v>564</v>
      </c>
      <c r="C644" s="30"/>
      <c r="D644" s="30" t="s">
        <v>1098</v>
      </c>
      <c r="E644" s="30"/>
      <c r="F644" s="38" t="s">
        <v>566</v>
      </c>
      <c r="G644" s="40" t="s">
        <v>570</v>
      </c>
      <c r="H644" s="38">
        <f t="shared" si="20"/>
        <v>1</v>
      </c>
      <c r="I644" s="41" t="str">
        <f t="shared" si="21"/>
        <v>Only RAKE</v>
      </c>
      <c r="K644" s="32"/>
      <c r="L644" s="32"/>
      <c r="M644" s="32"/>
      <c r="N644" s="32"/>
      <c r="O644" s="32"/>
      <c r="P644" s="32"/>
    </row>
    <row r="645" spans="1:16" x14ac:dyDescent="0.3">
      <c r="A645" s="38">
        <v>644</v>
      </c>
      <c r="B645" s="39" t="s">
        <v>564</v>
      </c>
      <c r="C645" s="30"/>
      <c r="D645" s="30"/>
      <c r="E645" s="30" t="s">
        <v>1099</v>
      </c>
      <c r="F645" s="38" t="s">
        <v>566</v>
      </c>
      <c r="G645" s="40" t="s">
        <v>570</v>
      </c>
      <c r="H645" s="38">
        <f t="shared" si="20"/>
        <v>1</v>
      </c>
      <c r="I645" s="41" t="str">
        <f t="shared" si="21"/>
        <v>Only YAKE</v>
      </c>
      <c r="K645" s="32"/>
      <c r="L645" s="32"/>
      <c r="M645" s="32"/>
      <c r="N645" s="32"/>
      <c r="O645" s="32"/>
      <c r="P645" s="32"/>
    </row>
    <row r="646" spans="1:16" x14ac:dyDescent="0.3">
      <c r="A646" s="38">
        <v>645</v>
      </c>
      <c r="B646" s="39" t="s">
        <v>564</v>
      </c>
      <c r="C646" s="30"/>
      <c r="D646" s="30" t="s">
        <v>1100</v>
      </c>
      <c r="E646" s="30"/>
      <c r="F646" s="38" t="s">
        <v>566</v>
      </c>
      <c r="G646" s="40" t="s">
        <v>570</v>
      </c>
      <c r="H646" s="38">
        <f t="shared" si="20"/>
        <v>1</v>
      </c>
      <c r="I646" s="41" t="str">
        <f t="shared" si="21"/>
        <v>Only RAKE</v>
      </c>
      <c r="K646" s="32"/>
      <c r="L646" s="32"/>
      <c r="M646" s="32"/>
      <c r="N646" s="32"/>
      <c r="O646" s="32"/>
      <c r="P646" s="32"/>
    </row>
    <row r="647" spans="1:16" x14ac:dyDescent="0.3">
      <c r="A647" s="38">
        <v>646</v>
      </c>
      <c r="B647" s="39" t="s">
        <v>564</v>
      </c>
      <c r="C647" s="30"/>
      <c r="D647" s="30"/>
      <c r="E647" s="30" t="s">
        <v>1101</v>
      </c>
      <c r="F647" s="38" t="s">
        <v>566</v>
      </c>
      <c r="G647" s="40" t="s">
        <v>570</v>
      </c>
      <c r="H647" s="38">
        <f t="shared" si="20"/>
        <v>1</v>
      </c>
      <c r="I647" s="41" t="str">
        <f t="shared" si="21"/>
        <v>Only YAKE</v>
      </c>
      <c r="K647" s="32"/>
      <c r="L647" s="32"/>
      <c r="M647" s="32"/>
      <c r="N647" s="32"/>
      <c r="O647" s="32"/>
      <c r="P647" s="32"/>
    </row>
    <row r="648" spans="1:16" x14ac:dyDescent="0.3">
      <c r="A648" s="38">
        <v>647</v>
      </c>
      <c r="B648" s="39" t="s">
        <v>564</v>
      </c>
      <c r="C648" s="30"/>
      <c r="D648" s="30"/>
      <c r="E648" s="30" t="s">
        <v>1102</v>
      </c>
      <c r="F648" s="38" t="s">
        <v>566</v>
      </c>
      <c r="G648" s="40" t="s">
        <v>570</v>
      </c>
      <c r="H648" s="38">
        <f t="shared" si="20"/>
        <v>1</v>
      </c>
      <c r="I648" s="41" t="str">
        <f t="shared" si="21"/>
        <v>Only YAKE</v>
      </c>
      <c r="K648" s="32"/>
      <c r="L648" s="32"/>
      <c r="M648" s="32"/>
      <c r="N648" s="32"/>
      <c r="O648" s="32"/>
      <c r="P648" s="32"/>
    </row>
    <row r="649" spans="1:16" x14ac:dyDescent="0.3">
      <c r="A649" s="38">
        <v>648</v>
      </c>
      <c r="B649" s="39" t="s">
        <v>564</v>
      </c>
      <c r="C649" s="30"/>
      <c r="D649" s="30"/>
      <c r="E649" s="30" t="s">
        <v>1103</v>
      </c>
      <c r="F649" s="38" t="s">
        <v>566</v>
      </c>
      <c r="G649" s="40" t="s">
        <v>570</v>
      </c>
      <c r="H649" s="38">
        <f t="shared" si="20"/>
        <v>1</v>
      </c>
      <c r="I649" s="41" t="str">
        <f t="shared" si="21"/>
        <v>Only YAKE</v>
      </c>
      <c r="K649" s="32"/>
      <c r="L649" s="32"/>
      <c r="M649" s="32"/>
      <c r="N649" s="32"/>
      <c r="O649" s="32"/>
      <c r="P649" s="32"/>
    </row>
    <row r="650" spans="1:16" x14ac:dyDescent="0.3">
      <c r="A650" s="38">
        <v>649</v>
      </c>
      <c r="B650" s="39" t="s">
        <v>564</v>
      </c>
      <c r="C650" s="30"/>
      <c r="D650" s="30"/>
      <c r="E650" s="30" t="s">
        <v>1104</v>
      </c>
      <c r="F650" s="38" t="s">
        <v>566</v>
      </c>
      <c r="G650" s="40" t="s">
        <v>570</v>
      </c>
      <c r="H650" s="38">
        <f t="shared" si="20"/>
        <v>1</v>
      </c>
      <c r="I650" s="41" t="str">
        <f t="shared" si="21"/>
        <v>Only YAKE</v>
      </c>
      <c r="K650" s="32"/>
      <c r="L650" s="32"/>
      <c r="M650" s="32"/>
      <c r="N650" s="32"/>
      <c r="O650" s="32"/>
      <c r="P650" s="32"/>
    </row>
    <row r="651" spans="1:16" x14ac:dyDescent="0.3">
      <c r="A651" s="38">
        <v>650</v>
      </c>
      <c r="B651" s="39" t="s">
        <v>564</v>
      </c>
      <c r="C651" s="30"/>
      <c r="D651" s="30" t="s">
        <v>1105</v>
      </c>
      <c r="E651" s="30"/>
      <c r="F651" s="38" t="s">
        <v>566</v>
      </c>
      <c r="G651" s="40" t="s">
        <v>570</v>
      </c>
      <c r="H651" s="38">
        <f t="shared" si="20"/>
        <v>1</v>
      </c>
      <c r="I651" s="41" t="str">
        <f t="shared" si="21"/>
        <v>Only RAKE</v>
      </c>
      <c r="K651" s="32"/>
      <c r="L651" s="32"/>
      <c r="M651" s="32"/>
      <c r="N651" s="32"/>
      <c r="O651" s="32"/>
      <c r="P651" s="32"/>
    </row>
    <row r="652" spans="1:16" x14ac:dyDescent="0.3">
      <c r="A652" s="38">
        <v>651</v>
      </c>
      <c r="B652" s="39" t="s">
        <v>564</v>
      </c>
      <c r="C652" s="30"/>
      <c r="D652" s="30" t="s">
        <v>1106</v>
      </c>
      <c r="E652" s="30"/>
      <c r="F652" s="38" t="s">
        <v>566</v>
      </c>
      <c r="G652" s="40" t="s">
        <v>570</v>
      </c>
      <c r="H652" s="38">
        <f t="shared" si="20"/>
        <v>1</v>
      </c>
      <c r="I652" s="41" t="str">
        <f t="shared" si="21"/>
        <v>Only RAKE</v>
      </c>
      <c r="K652" s="32"/>
      <c r="L652" s="32"/>
      <c r="M652" s="32"/>
      <c r="N652" s="32"/>
      <c r="O652" s="32"/>
      <c r="P652" s="32"/>
    </row>
    <row r="653" spans="1:16" x14ac:dyDescent="0.3">
      <c r="A653" s="38">
        <v>652</v>
      </c>
      <c r="B653" s="39" t="s">
        <v>564</v>
      </c>
      <c r="C653" s="30"/>
      <c r="D653" s="30" t="s">
        <v>1107</v>
      </c>
      <c r="E653" s="30"/>
      <c r="F653" s="38" t="s">
        <v>566</v>
      </c>
      <c r="G653" s="40" t="s">
        <v>570</v>
      </c>
      <c r="H653" s="38">
        <f t="shared" si="20"/>
        <v>1</v>
      </c>
      <c r="I653" s="41" t="str">
        <f t="shared" si="21"/>
        <v>Only RAKE</v>
      </c>
      <c r="K653" s="32"/>
      <c r="L653" s="32"/>
      <c r="M653" s="32"/>
      <c r="N653" s="32"/>
      <c r="O653" s="32"/>
      <c r="P653" s="32"/>
    </row>
    <row r="654" spans="1:16" x14ac:dyDescent="0.3">
      <c r="A654" s="38">
        <v>653</v>
      </c>
      <c r="B654" s="39" t="s">
        <v>564</v>
      </c>
      <c r="C654" s="30"/>
      <c r="D654" s="30" t="s">
        <v>1108</v>
      </c>
      <c r="E654" s="30"/>
      <c r="F654" s="38" t="s">
        <v>566</v>
      </c>
      <c r="G654" s="40" t="s">
        <v>570</v>
      </c>
      <c r="H654" s="38">
        <f t="shared" si="20"/>
        <v>1</v>
      </c>
      <c r="I654" s="41" t="str">
        <f t="shared" si="21"/>
        <v>Only RAKE</v>
      </c>
      <c r="K654" s="32"/>
      <c r="L654" s="32"/>
      <c r="M654" s="32"/>
      <c r="N654" s="32"/>
      <c r="O654" s="32"/>
      <c r="P654" s="32"/>
    </row>
    <row r="655" spans="1:16" x14ac:dyDescent="0.3">
      <c r="A655" s="38">
        <v>654</v>
      </c>
      <c r="B655" s="39" t="s">
        <v>564</v>
      </c>
      <c r="C655" s="30"/>
      <c r="D655" s="30"/>
      <c r="E655" s="30" t="s">
        <v>1109</v>
      </c>
      <c r="F655" s="38" t="s">
        <v>566</v>
      </c>
      <c r="G655" s="40" t="s">
        <v>570</v>
      </c>
      <c r="H655" s="38">
        <f t="shared" si="20"/>
        <v>1</v>
      </c>
      <c r="I655" s="41" t="str">
        <f t="shared" si="21"/>
        <v>Only YAKE</v>
      </c>
      <c r="K655" s="32"/>
      <c r="L655" s="32"/>
      <c r="M655" s="32"/>
      <c r="N655" s="32"/>
      <c r="O655" s="32"/>
      <c r="P655" s="32"/>
    </row>
    <row r="656" spans="1:16" x14ac:dyDescent="0.3">
      <c r="A656" s="38">
        <v>655</v>
      </c>
      <c r="B656" s="39" t="s">
        <v>564</v>
      </c>
      <c r="C656" s="30"/>
      <c r="D656" s="30" t="s">
        <v>1110</v>
      </c>
      <c r="E656" s="30"/>
      <c r="F656" s="38" t="s">
        <v>566</v>
      </c>
      <c r="G656" s="40" t="s">
        <v>570</v>
      </c>
      <c r="H656" s="38">
        <f t="shared" si="20"/>
        <v>1</v>
      </c>
      <c r="I656" s="41" t="str">
        <f t="shared" si="21"/>
        <v>Only RAKE</v>
      </c>
      <c r="K656" s="32"/>
      <c r="L656" s="32"/>
      <c r="M656" s="32"/>
      <c r="N656" s="32"/>
      <c r="O656" s="32"/>
      <c r="P656" s="32"/>
    </row>
    <row r="657" spans="1:16" x14ac:dyDescent="0.3">
      <c r="A657" s="38">
        <v>656</v>
      </c>
      <c r="B657" s="39" t="s">
        <v>564</v>
      </c>
      <c r="C657" s="30"/>
      <c r="D657" s="30" t="s">
        <v>1111</v>
      </c>
      <c r="E657" s="30"/>
      <c r="F657" s="38" t="s">
        <v>566</v>
      </c>
      <c r="G657" s="40" t="s">
        <v>570</v>
      </c>
      <c r="H657" s="38">
        <f t="shared" si="20"/>
        <v>1</v>
      </c>
      <c r="I657" s="41" t="str">
        <f t="shared" si="21"/>
        <v>Only RAKE</v>
      </c>
      <c r="K657" s="32"/>
      <c r="L657" s="32"/>
      <c r="M657" s="32"/>
      <c r="N657" s="32"/>
      <c r="O657" s="32"/>
      <c r="P657" s="32"/>
    </row>
    <row r="658" spans="1:16" ht="26.4" x14ac:dyDescent="0.3">
      <c r="A658" s="38">
        <v>657</v>
      </c>
      <c r="B658" s="39" t="s">
        <v>564</v>
      </c>
      <c r="C658" s="30"/>
      <c r="D658" s="30" t="s">
        <v>1112</v>
      </c>
      <c r="E658" s="30"/>
      <c r="F658" s="38" t="s">
        <v>566</v>
      </c>
      <c r="G658" s="40" t="s">
        <v>570</v>
      </c>
      <c r="H658" s="38">
        <f t="shared" si="20"/>
        <v>1</v>
      </c>
      <c r="I658" s="41" t="str">
        <f t="shared" si="21"/>
        <v>Only RAKE</v>
      </c>
      <c r="K658" s="32"/>
      <c r="L658" s="32"/>
      <c r="M658" s="32"/>
      <c r="N658" s="32"/>
      <c r="O658" s="32"/>
      <c r="P658" s="32"/>
    </row>
    <row r="659" spans="1:16" x14ac:dyDescent="0.3">
      <c r="A659" s="38">
        <v>658</v>
      </c>
      <c r="B659" s="39" t="s">
        <v>564</v>
      </c>
      <c r="C659" s="30"/>
      <c r="D659" s="30" t="s">
        <v>1113</v>
      </c>
      <c r="E659" s="30"/>
      <c r="F659" s="38" t="s">
        <v>566</v>
      </c>
      <c r="G659" s="40" t="s">
        <v>570</v>
      </c>
      <c r="H659" s="38">
        <f t="shared" si="20"/>
        <v>1</v>
      </c>
      <c r="I659" s="41" t="str">
        <f t="shared" si="21"/>
        <v>Only RAKE</v>
      </c>
      <c r="K659" s="32"/>
      <c r="L659" s="32"/>
      <c r="M659" s="32"/>
      <c r="N659" s="32"/>
      <c r="O659" s="32"/>
      <c r="P659" s="32"/>
    </row>
    <row r="660" spans="1:16" x14ac:dyDescent="0.3">
      <c r="A660" s="38">
        <v>659</v>
      </c>
      <c r="B660" s="39" t="s">
        <v>564</v>
      </c>
      <c r="C660" s="30"/>
      <c r="D660" s="30" t="s">
        <v>1114</v>
      </c>
      <c r="E660" s="30"/>
      <c r="F660" s="38" t="s">
        <v>566</v>
      </c>
      <c r="G660" s="40" t="s">
        <v>570</v>
      </c>
      <c r="H660" s="38">
        <f t="shared" si="20"/>
        <v>1</v>
      </c>
      <c r="I660" s="41" t="str">
        <f t="shared" si="21"/>
        <v>Only RAKE</v>
      </c>
      <c r="K660" s="32"/>
      <c r="L660" s="32"/>
      <c r="M660" s="32"/>
      <c r="N660" s="32"/>
      <c r="O660" s="32"/>
      <c r="P660" s="32"/>
    </row>
    <row r="661" spans="1:16" x14ac:dyDescent="0.3">
      <c r="A661" s="38">
        <v>660</v>
      </c>
      <c r="B661" s="39" t="s">
        <v>564</v>
      </c>
      <c r="C661" s="30"/>
      <c r="D661" s="30" t="s">
        <v>1115</v>
      </c>
      <c r="E661" s="30"/>
      <c r="F661" s="38" t="s">
        <v>566</v>
      </c>
      <c r="G661" s="40" t="s">
        <v>570</v>
      </c>
      <c r="H661" s="38">
        <f t="shared" si="20"/>
        <v>1</v>
      </c>
      <c r="I661" s="41" t="str">
        <f t="shared" si="21"/>
        <v>Only RAKE</v>
      </c>
      <c r="K661" s="32"/>
      <c r="L661" s="32"/>
      <c r="M661" s="32"/>
      <c r="N661" s="32"/>
      <c r="O661" s="32"/>
      <c r="P661" s="32"/>
    </row>
    <row r="662" spans="1:16" x14ac:dyDescent="0.3">
      <c r="A662" s="38">
        <v>661</v>
      </c>
      <c r="B662" s="39" t="s">
        <v>564</v>
      </c>
      <c r="C662" s="30"/>
      <c r="D662" s="30" t="s">
        <v>1116</v>
      </c>
      <c r="E662" s="30"/>
      <c r="F662" s="38" t="s">
        <v>566</v>
      </c>
      <c r="G662" s="40" t="s">
        <v>570</v>
      </c>
      <c r="H662" s="38">
        <f t="shared" si="20"/>
        <v>1</v>
      </c>
      <c r="I662" s="41" t="str">
        <f t="shared" si="21"/>
        <v>Only RAKE</v>
      </c>
      <c r="K662" s="32"/>
      <c r="L662" s="32"/>
      <c r="M662" s="32"/>
      <c r="N662" s="32"/>
      <c r="O662" s="32"/>
      <c r="P662" s="32"/>
    </row>
    <row r="663" spans="1:16" x14ac:dyDescent="0.3">
      <c r="A663" s="38">
        <v>662</v>
      </c>
      <c r="B663" s="39" t="s">
        <v>564</v>
      </c>
      <c r="C663" s="30"/>
      <c r="D663" s="30" t="s">
        <v>1117</v>
      </c>
      <c r="E663" s="30"/>
      <c r="F663" s="38" t="s">
        <v>566</v>
      </c>
      <c r="G663" s="40" t="s">
        <v>570</v>
      </c>
      <c r="H663" s="38">
        <f t="shared" si="20"/>
        <v>1</v>
      </c>
      <c r="I663" s="41" t="str">
        <f t="shared" si="21"/>
        <v>Only RAKE</v>
      </c>
      <c r="K663" s="32"/>
      <c r="L663" s="32"/>
      <c r="M663" s="32"/>
      <c r="N663" s="32"/>
      <c r="O663" s="32"/>
      <c r="P663" s="32"/>
    </row>
    <row r="664" spans="1:16" x14ac:dyDescent="0.3">
      <c r="A664" s="38">
        <v>663</v>
      </c>
      <c r="B664" s="39" t="s">
        <v>564</v>
      </c>
      <c r="C664" s="30"/>
      <c r="D664" s="30" t="s">
        <v>1118</v>
      </c>
      <c r="E664" s="30"/>
      <c r="F664" s="38" t="s">
        <v>566</v>
      </c>
      <c r="G664" s="40" t="s">
        <v>570</v>
      </c>
      <c r="H664" s="38">
        <f t="shared" si="20"/>
        <v>1</v>
      </c>
      <c r="I664" s="41" t="str">
        <f t="shared" si="21"/>
        <v>Only RAKE</v>
      </c>
      <c r="K664" s="32"/>
      <c r="L664" s="32"/>
      <c r="M664" s="32"/>
      <c r="N664" s="32"/>
      <c r="O664" s="32"/>
      <c r="P664" s="32"/>
    </row>
    <row r="665" spans="1:16" x14ac:dyDescent="0.3">
      <c r="A665" s="38">
        <v>664</v>
      </c>
      <c r="B665" s="39" t="s">
        <v>564</v>
      </c>
      <c r="C665" s="30" t="s">
        <v>1119</v>
      </c>
      <c r="D665" s="30"/>
      <c r="E665" s="30"/>
      <c r="F665" s="38" t="s">
        <v>566</v>
      </c>
      <c r="G665" s="40" t="s">
        <v>570</v>
      </c>
      <c r="H665" s="38">
        <f t="shared" si="20"/>
        <v>1</v>
      </c>
      <c r="I665" s="41" t="str">
        <f t="shared" si="21"/>
        <v>Only Gemini</v>
      </c>
      <c r="K665" s="32"/>
      <c r="L665" s="32"/>
      <c r="M665" s="32"/>
      <c r="N665" s="32"/>
      <c r="O665" s="32"/>
      <c r="P665" s="32"/>
    </row>
    <row r="666" spans="1:16" x14ac:dyDescent="0.3">
      <c r="A666" s="38">
        <v>665</v>
      </c>
      <c r="B666" s="39" t="s">
        <v>564</v>
      </c>
      <c r="C666" s="30" t="s">
        <v>1120</v>
      </c>
      <c r="D666" s="30"/>
      <c r="E666" s="30"/>
      <c r="F666" s="38" t="s">
        <v>566</v>
      </c>
      <c r="G666" s="40" t="s">
        <v>570</v>
      </c>
      <c r="H666" s="38">
        <f t="shared" si="20"/>
        <v>1</v>
      </c>
      <c r="I666" s="41" t="str">
        <f t="shared" si="21"/>
        <v>Only Gemini</v>
      </c>
      <c r="K666" s="32"/>
      <c r="L666" s="32"/>
      <c r="M666" s="32"/>
      <c r="N666" s="32"/>
      <c r="O666" s="32"/>
      <c r="P666" s="32"/>
    </row>
    <row r="667" spans="1:16" x14ac:dyDescent="0.3">
      <c r="A667" s="38">
        <v>666</v>
      </c>
      <c r="B667" s="39" t="s">
        <v>564</v>
      </c>
      <c r="C667" s="30"/>
      <c r="D667" s="30" t="s">
        <v>1121</v>
      </c>
      <c r="E667" s="30"/>
      <c r="F667" s="38" t="s">
        <v>566</v>
      </c>
      <c r="G667" s="40" t="s">
        <v>570</v>
      </c>
      <c r="H667" s="38">
        <f t="shared" si="20"/>
        <v>1</v>
      </c>
      <c r="I667" s="41" t="str">
        <f t="shared" si="21"/>
        <v>Only RAKE</v>
      </c>
      <c r="K667" s="32"/>
      <c r="L667" s="32"/>
      <c r="M667" s="32"/>
      <c r="N667" s="32"/>
      <c r="O667" s="32"/>
      <c r="P667" s="32"/>
    </row>
    <row r="668" spans="1:16" x14ac:dyDescent="0.3">
      <c r="A668" s="38">
        <v>667</v>
      </c>
      <c r="B668" s="39" t="s">
        <v>564</v>
      </c>
      <c r="C668" s="30"/>
      <c r="D668" s="30" t="s">
        <v>1122</v>
      </c>
      <c r="E668" s="30"/>
      <c r="F668" s="38" t="s">
        <v>566</v>
      </c>
      <c r="G668" s="40" t="s">
        <v>570</v>
      </c>
      <c r="H668" s="38">
        <f t="shared" si="20"/>
        <v>1</v>
      </c>
      <c r="I668" s="41" t="str">
        <f t="shared" si="21"/>
        <v>Only RAKE</v>
      </c>
      <c r="K668" s="32"/>
      <c r="L668" s="32"/>
      <c r="M668" s="32"/>
      <c r="N668" s="32"/>
      <c r="O668" s="32"/>
      <c r="P668" s="32"/>
    </row>
    <row r="669" spans="1:16" x14ac:dyDescent="0.3">
      <c r="A669" s="38">
        <v>668</v>
      </c>
      <c r="B669" s="39" t="s">
        <v>564</v>
      </c>
      <c r="C669" s="30"/>
      <c r="D669" s="30" t="s">
        <v>1123</v>
      </c>
      <c r="E669" s="30"/>
      <c r="F669" s="38" t="s">
        <v>566</v>
      </c>
      <c r="G669" s="40" t="s">
        <v>570</v>
      </c>
      <c r="H669" s="38">
        <f t="shared" si="20"/>
        <v>1</v>
      </c>
      <c r="I669" s="41" t="str">
        <f t="shared" si="21"/>
        <v>Only RAKE</v>
      </c>
      <c r="K669" s="32"/>
      <c r="L669" s="32"/>
      <c r="M669" s="32"/>
      <c r="N669" s="32"/>
      <c r="O669" s="32"/>
      <c r="P669" s="32"/>
    </row>
    <row r="670" spans="1:16" x14ac:dyDescent="0.3">
      <c r="A670" s="38">
        <v>669</v>
      </c>
      <c r="B670" s="39" t="s">
        <v>564</v>
      </c>
      <c r="C670" s="30"/>
      <c r="D670" s="30"/>
      <c r="E670" s="30" t="s">
        <v>1124</v>
      </c>
      <c r="F670" s="38" t="s">
        <v>566</v>
      </c>
      <c r="G670" s="40" t="s">
        <v>570</v>
      </c>
      <c r="H670" s="38">
        <f t="shared" si="20"/>
        <v>1</v>
      </c>
      <c r="I670" s="41" t="str">
        <f t="shared" si="21"/>
        <v>Only YAKE</v>
      </c>
      <c r="K670" s="32"/>
      <c r="L670" s="32"/>
      <c r="M670" s="32"/>
      <c r="N670" s="32"/>
      <c r="O670" s="32"/>
      <c r="P670" s="32"/>
    </row>
    <row r="671" spans="1:16" x14ac:dyDescent="0.3">
      <c r="A671" s="38">
        <v>670</v>
      </c>
      <c r="B671" s="39" t="s">
        <v>564</v>
      </c>
      <c r="C671" s="30"/>
      <c r="D671" s="30"/>
      <c r="E671" s="30" t="s">
        <v>1125</v>
      </c>
      <c r="F671" s="38" t="s">
        <v>566</v>
      </c>
      <c r="G671" s="40" t="s">
        <v>570</v>
      </c>
      <c r="H671" s="38">
        <f t="shared" si="20"/>
        <v>1</v>
      </c>
      <c r="I671" s="41" t="str">
        <f t="shared" si="21"/>
        <v>Only YAKE</v>
      </c>
      <c r="K671" s="32"/>
      <c r="L671" s="32"/>
      <c r="M671" s="32"/>
      <c r="N671" s="32"/>
      <c r="O671" s="32"/>
      <c r="P671" s="32"/>
    </row>
    <row r="672" spans="1:16" x14ac:dyDescent="0.3">
      <c r="A672" s="38">
        <v>671</v>
      </c>
      <c r="B672" s="39" t="s">
        <v>564</v>
      </c>
      <c r="C672" s="30"/>
      <c r="D672" s="30" t="s">
        <v>1126</v>
      </c>
      <c r="E672" s="30"/>
      <c r="F672" s="38" t="s">
        <v>566</v>
      </c>
      <c r="G672" s="40" t="s">
        <v>570</v>
      </c>
      <c r="H672" s="38">
        <f t="shared" si="20"/>
        <v>1</v>
      </c>
      <c r="I672" s="41" t="str">
        <f t="shared" si="21"/>
        <v>Only RAKE</v>
      </c>
      <c r="K672" s="32"/>
      <c r="L672" s="32"/>
      <c r="M672" s="32"/>
      <c r="N672" s="32"/>
      <c r="O672" s="32"/>
      <c r="P672" s="32"/>
    </row>
    <row r="673" spans="1:16" x14ac:dyDescent="0.3">
      <c r="A673" s="38">
        <v>672</v>
      </c>
      <c r="B673" s="39" t="s">
        <v>564</v>
      </c>
      <c r="C673" s="30"/>
      <c r="D673" s="30"/>
      <c r="E673" s="30" t="s">
        <v>1127</v>
      </c>
      <c r="F673" s="38" t="s">
        <v>566</v>
      </c>
      <c r="G673" s="40" t="s">
        <v>570</v>
      </c>
      <c r="H673" s="38">
        <f t="shared" si="20"/>
        <v>1</v>
      </c>
      <c r="I673" s="41" t="str">
        <f t="shared" si="21"/>
        <v>Only YAKE</v>
      </c>
      <c r="K673" s="32"/>
      <c r="L673" s="32"/>
      <c r="M673" s="32"/>
      <c r="N673" s="32"/>
      <c r="O673" s="32"/>
      <c r="P673" s="32"/>
    </row>
    <row r="674" spans="1:16" x14ac:dyDescent="0.3">
      <c r="A674" s="38">
        <v>673</v>
      </c>
      <c r="B674" s="39" t="s">
        <v>564</v>
      </c>
      <c r="C674" s="30" t="s">
        <v>1128</v>
      </c>
      <c r="D674" s="30"/>
      <c r="E674" s="30"/>
      <c r="F674" s="38" t="s">
        <v>566</v>
      </c>
      <c r="G674" s="40" t="s">
        <v>570</v>
      </c>
      <c r="H674" s="38">
        <f t="shared" si="20"/>
        <v>1</v>
      </c>
      <c r="I674" s="41" t="str">
        <f t="shared" si="21"/>
        <v>Only Gemini</v>
      </c>
      <c r="K674" s="32"/>
      <c r="L674" s="32"/>
      <c r="M674" s="32"/>
      <c r="N674" s="32"/>
      <c r="O674" s="32"/>
      <c r="P674" s="32"/>
    </row>
    <row r="675" spans="1:16" x14ac:dyDescent="0.3">
      <c r="A675" s="38">
        <v>674</v>
      </c>
      <c r="B675" s="39" t="s">
        <v>564</v>
      </c>
      <c r="C675" s="30"/>
      <c r="D675" s="30" t="s">
        <v>1129</v>
      </c>
      <c r="E675" s="30"/>
      <c r="F675" s="38" t="s">
        <v>566</v>
      </c>
      <c r="G675" s="40" t="s">
        <v>570</v>
      </c>
      <c r="H675" s="38">
        <f t="shared" si="20"/>
        <v>1</v>
      </c>
      <c r="I675" s="41" t="str">
        <f t="shared" si="21"/>
        <v>Only RAKE</v>
      </c>
      <c r="K675" s="32"/>
      <c r="L675" s="32"/>
      <c r="M675" s="32"/>
      <c r="N675" s="32"/>
      <c r="O675" s="32"/>
      <c r="P675" s="32"/>
    </row>
    <row r="676" spans="1:16" x14ac:dyDescent="0.3">
      <c r="A676" s="38">
        <v>675</v>
      </c>
      <c r="B676" s="39" t="s">
        <v>564</v>
      </c>
      <c r="C676" s="30"/>
      <c r="D676" s="30"/>
      <c r="E676" s="30" t="s">
        <v>1130</v>
      </c>
      <c r="F676" s="38" t="s">
        <v>566</v>
      </c>
      <c r="G676" s="40" t="s">
        <v>570</v>
      </c>
      <c r="H676" s="38">
        <f t="shared" si="20"/>
        <v>1</v>
      </c>
      <c r="I676" s="41" t="str">
        <f t="shared" si="21"/>
        <v>Only YAKE</v>
      </c>
      <c r="K676" s="32"/>
      <c r="L676" s="32"/>
      <c r="M676" s="32"/>
      <c r="N676" s="32"/>
      <c r="O676" s="32"/>
      <c r="P676" s="32"/>
    </row>
    <row r="677" spans="1:16" x14ac:dyDescent="0.3">
      <c r="A677" s="38">
        <v>676</v>
      </c>
      <c r="B677" s="39" t="s">
        <v>564</v>
      </c>
      <c r="C677" s="30"/>
      <c r="D677" s="30"/>
      <c r="E677" s="30" t="s">
        <v>1131</v>
      </c>
      <c r="F677" s="38" t="s">
        <v>566</v>
      </c>
      <c r="G677" s="40" t="s">
        <v>570</v>
      </c>
      <c r="H677" s="38">
        <f t="shared" si="20"/>
        <v>1</v>
      </c>
      <c r="I677" s="41" t="str">
        <f t="shared" si="21"/>
        <v>Only YAKE</v>
      </c>
      <c r="K677" s="32"/>
      <c r="L677" s="32"/>
      <c r="M677" s="32"/>
      <c r="N677" s="32"/>
      <c r="O677" s="32"/>
      <c r="P677" s="32"/>
    </row>
    <row r="678" spans="1:16" x14ac:dyDescent="0.3">
      <c r="A678" s="38">
        <v>677</v>
      </c>
      <c r="B678" s="39" t="s">
        <v>564</v>
      </c>
      <c r="C678" s="30"/>
      <c r="D678" s="30" t="s">
        <v>1132</v>
      </c>
      <c r="E678" s="30"/>
      <c r="F678" s="38" t="s">
        <v>566</v>
      </c>
      <c r="G678" s="40" t="s">
        <v>570</v>
      </c>
      <c r="H678" s="38">
        <f t="shared" si="20"/>
        <v>1</v>
      </c>
      <c r="I678" s="41" t="str">
        <f t="shared" si="21"/>
        <v>Only RAKE</v>
      </c>
      <c r="K678" s="32"/>
      <c r="L678" s="32"/>
      <c r="M678" s="32"/>
      <c r="N678" s="32"/>
      <c r="O678" s="32"/>
      <c r="P678" s="32"/>
    </row>
    <row r="679" spans="1:16" x14ac:dyDescent="0.3">
      <c r="A679" s="38">
        <v>678</v>
      </c>
      <c r="B679" s="39" t="s">
        <v>564</v>
      </c>
      <c r="C679" s="30"/>
      <c r="D679" s="30"/>
      <c r="E679" s="30" t="s">
        <v>1133</v>
      </c>
      <c r="F679" s="38" t="s">
        <v>566</v>
      </c>
      <c r="G679" s="40" t="s">
        <v>570</v>
      </c>
      <c r="H679" s="38">
        <f t="shared" si="20"/>
        <v>1</v>
      </c>
      <c r="I679" s="41" t="str">
        <f t="shared" si="21"/>
        <v>Only YAKE</v>
      </c>
      <c r="K679" s="32"/>
      <c r="L679" s="32"/>
      <c r="M679" s="32"/>
      <c r="N679" s="32"/>
      <c r="O679" s="32"/>
      <c r="P679" s="32"/>
    </row>
    <row r="680" spans="1:16" x14ac:dyDescent="0.3">
      <c r="A680" s="38">
        <v>679</v>
      </c>
      <c r="B680" s="39" t="s">
        <v>564</v>
      </c>
      <c r="C680" s="30"/>
      <c r="D680" s="30"/>
      <c r="E680" s="30" t="s">
        <v>1134</v>
      </c>
      <c r="F680" s="38" t="s">
        <v>566</v>
      </c>
      <c r="G680" s="40" t="s">
        <v>570</v>
      </c>
      <c r="H680" s="38">
        <f t="shared" si="20"/>
        <v>1</v>
      </c>
      <c r="I680" s="41" t="str">
        <f t="shared" si="21"/>
        <v>Only YAKE</v>
      </c>
      <c r="K680" s="32"/>
      <c r="L680" s="32"/>
      <c r="M680" s="32"/>
      <c r="N680" s="32"/>
      <c r="O680" s="32"/>
      <c r="P680" s="32"/>
    </row>
    <row r="681" spans="1:16" x14ac:dyDescent="0.3">
      <c r="A681" s="38">
        <v>680</v>
      </c>
      <c r="B681" s="39" t="s">
        <v>564</v>
      </c>
      <c r="C681" s="30"/>
      <c r="D681" s="30"/>
      <c r="E681" s="30" t="s">
        <v>1135</v>
      </c>
      <c r="F681" s="38" t="s">
        <v>566</v>
      </c>
      <c r="G681" s="40" t="s">
        <v>570</v>
      </c>
      <c r="H681" s="38">
        <f t="shared" si="20"/>
        <v>1</v>
      </c>
      <c r="I681" s="41" t="str">
        <f t="shared" si="21"/>
        <v>Only YAKE</v>
      </c>
      <c r="K681" s="32"/>
      <c r="L681" s="32"/>
      <c r="M681" s="32"/>
      <c r="N681" s="32"/>
      <c r="O681" s="32"/>
      <c r="P681" s="32"/>
    </row>
    <row r="682" spans="1:16" x14ac:dyDescent="0.3">
      <c r="A682" s="38">
        <v>681</v>
      </c>
      <c r="B682" s="39" t="s">
        <v>564</v>
      </c>
      <c r="C682" s="30"/>
      <c r="D682" s="30"/>
      <c r="E682" s="30" t="s">
        <v>1136</v>
      </c>
      <c r="F682" s="38" t="s">
        <v>566</v>
      </c>
      <c r="G682" s="40" t="s">
        <v>570</v>
      </c>
      <c r="H682" s="38">
        <f t="shared" si="20"/>
        <v>1</v>
      </c>
      <c r="I682" s="41" t="str">
        <f t="shared" si="21"/>
        <v>Only YAKE</v>
      </c>
      <c r="K682" s="32"/>
      <c r="L682" s="32"/>
      <c r="M682" s="32"/>
      <c r="N682" s="32"/>
      <c r="O682" s="32"/>
      <c r="P682" s="32"/>
    </row>
    <row r="683" spans="1:16" x14ac:dyDescent="0.3">
      <c r="A683" s="38">
        <v>682</v>
      </c>
      <c r="B683" s="39" t="s">
        <v>564</v>
      </c>
      <c r="C683" s="30"/>
      <c r="D683" s="30"/>
      <c r="E683" s="30" t="s">
        <v>1137</v>
      </c>
      <c r="F683" s="38" t="s">
        <v>566</v>
      </c>
      <c r="G683" s="40" t="s">
        <v>570</v>
      </c>
      <c r="H683" s="38">
        <f t="shared" si="20"/>
        <v>1</v>
      </c>
      <c r="I683" s="41" t="str">
        <f t="shared" si="21"/>
        <v>Only YAKE</v>
      </c>
      <c r="K683" s="32"/>
      <c r="L683" s="32"/>
      <c r="M683" s="32"/>
      <c r="N683" s="32"/>
      <c r="O683" s="32"/>
      <c r="P683" s="32"/>
    </row>
    <row r="684" spans="1:16" x14ac:dyDescent="0.3">
      <c r="A684" s="38">
        <v>683</v>
      </c>
      <c r="B684" s="39" t="s">
        <v>564</v>
      </c>
      <c r="C684" s="30"/>
      <c r="D684" s="30"/>
      <c r="E684" s="30" t="s">
        <v>1138</v>
      </c>
      <c r="F684" s="38" t="s">
        <v>566</v>
      </c>
      <c r="G684" s="40" t="s">
        <v>570</v>
      </c>
      <c r="H684" s="38">
        <f t="shared" si="20"/>
        <v>1</v>
      </c>
      <c r="I684" s="41" t="str">
        <f t="shared" si="21"/>
        <v>Only YAKE</v>
      </c>
      <c r="K684" s="32"/>
      <c r="L684" s="32"/>
      <c r="M684" s="32"/>
      <c r="N684" s="32"/>
      <c r="O684" s="32"/>
      <c r="P684" s="32"/>
    </row>
    <row r="685" spans="1:16" x14ac:dyDescent="0.3">
      <c r="A685" s="38">
        <v>684</v>
      </c>
      <c r="B685" s="39" t="s">
        <v>564</v>
      </c>
      <c r="C685" s="30"/>
      <c r="D685" s="30"/>
      <c r="E685" s="30" t="s">
        <v>1139</v>
      </c>
      <c r="F685" s="38" t="s">
        <v>566</v>
      </c>
      <c r="G685" s="40" t="s">
        <v>570</v>
      </c>
      <c r="H685" s="38">
        <f t="shared" si="20"/>
        <v>1</v>
      </c>
      <c r="I685" s="41" t="str">
        <f t="shared" si="21"/>
        <v>Only YAKE</v>
      </c>
      <c r="K685" s="32"/>
      <c r="L685" s="32"/>
      <c r="M685" s="32"/>
      <c r="N685" s="32"/>
      <c r="O685" s="32"/>
      <c r="P685" s="32"/>
    </row>
    <row r="686" spans="1:16" x14ac:dyDescent="0.3">
      <c r="A686" s="38">
        <v>685</v>
      </c>
      <c r="B686" s="39" t="s">
        <v>564</v>
      </c>
      <c r="C686" s="30"/>
      <c r="D686" s="30" t="s">
        <v>1140</v>
      </c>
      <c r="E686" s="30"/>
      <c r="F686" s="38" t="s">
        <v>566</v>
      </c>
      <c r="G686" s="40" t="s">
        <v>570</v>
      </c>
      <c r="H686" s="38">
        <f t="shared" si="20"/>
        <v>1</v>
      </c>
      <c r="I686" s="41" t="str">
        <f t="shared" si="21"/>
        <v>Only RAKE</v>
      </c>
      <c r="K686" s="32"/>
      <c r="L686" s="32"/>
      <c r="M686" s="32"/>
      <c r="N686" s="32"/>
      <c r="O686" s="32"/>
      <c r="P686" s="32"/>
    </row>
    <row r="687" spans="1:16" ht="26.4" x14ac:dyDescent="0.3">
      <c r="A687" s="38">
        <v>686</v>
      </c>
      <c r="B687" s="39" t="s">
        <v>564</v>
      </c>
      <c r="C687" s="30"/>
      <c r="D687" s="30"/>
      <c r="E687" s="30" t="s">
        <v>1141</v>
      </c>
      <c r="F687" s="38" t="s">
        <v>566</v>
      </c>
      <c r="G687" s="40" t="s">
        <v>570</v>
      </c>
      <c r="H687" s="38">
        <f t="shared" si="20"/>
        <v>1</v>
      </c>
      <c r="I687" s="41" t="str">
        <f t="shared" si="21"/>
        <v>Only YAKE</v>
      </c>
      <c r="K687" s="32"/>
      <c r="L687" s="32"/>
      <c r="M687" s="32"/>
      <c r="N687" s="32"/>
      <c r="O687" s="32"/>
      <c r="P687" s="32"/>
    </row>
    <row r="688" spans="1:16" x14ac:dyDescent="0.3">
      <c r="A688" s="38">
        <v>687</v>
      </c>
      <c r="B688" s="39" t="s">
        <v>564</v>
      </c>
      <c r="C688" s="30"/>
      <c r="D688" s="30" t="s">
        <v>1142</v>
      </c>
      <c r="E688" s="30"/>
      <c r="F688" s="38" t="s">
        <v>566</v>
      </c>
      <c r="G688" s="40" t="s">
        <v>570</v>
      </c>
      <c r="H688" s="38">
        <f t="shared" si="20"/>
        <v>1</v>
      </c>
      <c r="I688" s="41" t="str">
        <f t="shared" si="21"/>
        <v>Only RAKE</v>
      </c>
      <c r="K688" s="32"/>
      <c r="L688" s="32"/>
      <c r="M688" s="32"/>
      <c r="N688" s="32"/>
      <c r="O688" s="32"/>
      <c r="P688" s="32"/>
    </row>
    <row r="689" spans="1:16" x14ac:dyDescent="0.3">
      <c r="A689" s="38">
        <v>688</v>
      </c>
      <c r="B689" s="39" t="s">
        <v>564</v>
      </c>
      <c r="C689" s="30" t="s">
        <v>1143</v>
      </c>
      <c r="D689" s="30"/>
      <c r="E689" s="30"/>
      <c r="F689" s="38" t="s">
        <v>566</v>
      </c>
      <c r="G689" s="40" t="s">
        <v>570</v>
      </c>
      <c r="H689" s="38">
        <f t="shared" si="20"/>
        <v>1</v>
      </c>
      <c r="I689" s="41" t="str">
        <f t="shared" si="21"/>
        <v>Only Gemini</v>
      </c>
      <c r="K689" s="32"/>
      <c r="L689" s="32"/>
      <c r="M689" s="32"/>
      <c r="N689" s="32"/>
      <c r="O689" s="32"/>
      <c r="P689" s="32"/>
    </row>
    <row r="690" spans="1:16" x14ac:dyDescent="0.3">
      <c r="A690" s="38">
        <v>689</v>
      </c>
      <c r="B690" s="39" t="s">
        <v>564</v>
      </c>
      <c r="C690" s="30"/>
      <c r="D690" s="30" t="s">
        <v>1144</v>
      </c>
      <c r="E690" s="30"/>
      <c r="F690" s="38" t="s">
        <v>566</v>
      </c>
      <c r="G690" s="40" t="s">
        <v>570</v>
      </c>
      <c r="H690" s="38">
        <f t="shared" si="20"/>
        <v>1</v>
      </c>
      <c r="I690" s="41" t="str">
        <f t="shared" si="21"/>
        <v>Only RAKE</v>
      </c>
      <c r="K690" s="32"/>
      <c r="L690" s="32"/>
      <c r="M690" s="32"/>
      <c r="N690" s="32"/>
      <c r="O690" s="32"/>
      <c r="P690" s="32"/>
    </row>
    <row r="691" spans="1:16" x14ac:dyDescent="0.3">
      <c r="A691" s="38">
        <v>690</v>
      </c>
      <c r="B691" s="39" t="s">
        <v>564</v>
      </c>
      <c r="C691" s="30"/>
      <c r="D691" s="30" t="s">
        <v>1145</v>
      </c>
      <c r="E691" s="30"/>
      <c r="F691" s="38" t="s">
        <v>566</v>
      </c>
      <c r="G691" s="40" t="s">
        <v>570</v>
      </c>
      <c r="H691" s="38">
        <f t="shared" si="20"/>
        <v>1</v>
      </c>
      <c r="I691" s="41" t="str">
        <f t="shared" si="21"/>
        <v>Only RAKE</v>
      </c>
      <c r="K691" s="32"/>
      <c r="L691" s="32"/>
      <c r="M691" s="32"/>
      <c r="N691" s="32"/>
      <c r="O691" s="32"/>
      <c r="P691" s="32"/>
    </row>
    <row r="692" spans="1:16" x14ac:dyDescent="0.3">
      <c r="A692" s="38">
        <v>691</v>
      </c>
      <c r="B692" s="39" t="s">
        <v>564</v>
      </c>
      <c r="C692" s="30"/>
      <c r="D692" s="30" t="s">
        <v>1146</v>
      </c>
      <c r="E692" s="30"/>
      <c r="F692" s="38" t="s">
        <v>566</v>
      </c>
      <c r="G692" s="40" t="s">
        <v>570</v>
      </c>
      <c r="H692" s="38">
        <f t="shared" si="20"/>
        <v>1</v>
      </c>
      <c r="I692" s="41" t="str">
        <f t="shared" si="21"/>
        <v>Only RAKE</v>
      </c>
      <c r="K692" s="32"/>
      <c r="L692" s="32"/>
      <c r="M692" s="32"/>
      <c r="N692" s="32"/>
      <c r="O692" s="32"/>
      <c r="P692" s="32"/>
    </row>
    <row r="693" spans="1:16" x14ac:dyDescent="0.3">
      <c r="A693" s="38">
        <v>692</v>
      </c>
      <c r="B693" s="39" t="s">
        <v>564</v>
      </c>
      <c r="C693" s="30"/>
      <c r="D693" s="30" t="s">
        <v>1147</v>
      </c>
      <c r="E693" s="30"/>
      <c r="F693" s="38" t="s">
        <v>566</v>
      </c>
      <c r="G693" s="40" t="s">
        <v>570</v>
      </c>
      <c r="H693" s="38">
        <f t="shared" si="20"/>
        <v>1</v>
      </c>
      <c r="I693" s="41" t="str">
        <f t="shared" si="21"/>
        <v>Only RAKE</v>
      </c>
      <c r="K693" s="32"/>
      <c r="L693" s="32"/>
      <c r="M693" s="32"/>
      <c r="N693" s="32"/>
      <c r="O693" s="32"/>
      <c r="P693" s="32"/>
    </row>
    <row r="694" spans="1:16" x14ac:dyDescent="0.3">
      <c r="A694" s="38">
        <v>693</v>
      </c>
      <c r="B694" s="39" t="s">
        <v>564</v>
      </c>
      <c r="C694" s="30"/>
      <c r="D694" s="30" t="s">
        <v>1148</v>
      </c>
      <c r="E694" s="30"/>
      <c r="F694" s="38" t="s">
        <v>566</v>
      </c>
      <c r="G694" s="40" t="s">
        <v>570</v>
      </c>
      <c r="H694" s="38">
        <f t="shared" si="20"/>
        <v>1</v>
      </c>
      <c r="I694" s="41" t="str">
        <f t="shared" si="21"/>
        <v>Only RAKE</v>
      </c>
      <c r="K694" s="32"/>
      <c r="L694" s="32"/>
      <c r="M694" s="32"/>
      <c r="N694" s="32"/>
      <c r="O694" s="32"/>
      <c r="P694" s="32"/>
    </row>
    <row r="695" spans="1:16" x14ac:dyDescent="0.3">
      <c r="A695" s="38">
        <v>694</v>
      </c>
      <c r="B695" s="39" t="s">
        <v>564</v>
      </c>
      <c r="C695" s="30"/>
      <c r="D695" s="30" t="s">
        <v>1149</v>
      </c>
      <c r="E695" s="30"/>
      <c r="F695" s="38" t="s">
        <v>566</v>
      </c>
      <c r="G695" s="40" t="s">
        <v>570</v>
      </c>
      <c r="H695" s="38">
        <f t="shared" si="20"/>
        <v>1</v>
      </c>
      <c r="I695" s="41" t="str">
        <f t="shared" si="21"/>
        <v>Only RAKE</v>
      </c>
      <c r="K695" s="32"/>
      <c r="L695" s="32"/>
      <c r="M695" s="32"/>
      <c r="N695" s="32"/>
      <c r="O695" s="32"/>
      <c r="P695" s="32"/>
    </row>
    <row r="696" spans="1:16" x14ac:dyDescent="0.3">
      <c r="A696" s="38">
        <v>695</v>
      </c>
      <c r="B696" s="39" t="s">
        <v>564</v>
      </c>
      <c r="C696" s="30"/>
      <c r="D696" s="30"/>
      <c r="E696" s="30" t="s">
        <v>1150</v>
      </c>
      <c r="F696" s="38" t="s">
        <v>566</v>
      </c>
      <c r="G696" s="40" t="s">
        <v>570</v>
      </c>
      <c r="H696" s="38">
        <f t="shared" si="20"/>
        <v>1</v>
      </c>
      <c r="I696" s="41" t="str">
        <f t="shared" si="21"/>
        <v>Only YAKE</v>
      </c>
      <c r="K696" s="32"/>
      <c r="L696" s="32"/>
      <c r="M696" s="32"/>
      <c r="N696" s="32"/>
      <c r="O696" s="32"/>
      <c r="P696" s="32"/>
    </row>
    <row r="697" spans="1:16" x14ac:dyDescent="0.3">
      <c r="A697" s="38">
        <v>696</v>
      </c>
      <c r="B697" s="39" t="s">
        <v>564</v>
      </c>
      <c r="C697" s="30"/>
      <c r="D697" s="30" t="s">
        <v>1151</v>
      </c>
      <c r="E697" s="30"/>
      <c r="F697" s="38" t="s">
        <v>566</v>
      </c>
      <c r="G697" s="40" t="s">
        <v>570</v>
      </c>
      <c r="H697" s="38">
        <f t="shared" si="20"/>
        <v>1</v>
      </c>
      <c r="I697" s="41" t="str">
        <f t="shared" si="21"/>
        <v>Only RAKE</v>
      </c>
      <c r="K697" s="32"/>
      <c r="L697" s="32"/>
      <c r="M697" s="32"/>
      <c r="N697" s="32"/>
      <c r="O697" s="32"/>
      <c r="P697" s="32"/>
    </row>
    <row r="698" spans="1:16" x14ac:dyDescent="0.3">
      <c r="A698" s="38">
        <v>697</v>
      </c>
      <c r="B698" s="39" t="s">
        <v>564</v>
      </c>
      <c r="C698" s="30"/>
      <c r="D698" s="30"/>
      <c r="E698" s="30" t="s">
        <v>1152</v>
      </c>
      <c r="F698" s="38" t="s">
        <v>566</v>
      </c>
      <c r="G698" s="40" t="s">
        <v>570</v>
      </c>
      <c r="H698" s="38">
        <f t="shared" si="20"/>
        <v>1</v>
      </c>
      <c r="I698" s="41" t="str">
        <f t="shared" si="21"/>
        <v>Only YAKE</v>
      </c>
      <c r="K698" s="32"/>
      <c r="L698" s="32"/>
      <c r="M698" s="32"/>
      <c r="N698" s="32"/>
      <c r="O698" s="32"/>
      <c r="P698" s="32"/>
    </row>
    <row r="699" spans="1:16" x14ac:dyDescent="0.3">
      <c r="A699" s="38">
        <v>698</v>
      </c>
      <c r="B699" s="39" t="s">
        <v>564</v>
      </c>
      <c r="C699" s="30"/>
      <c r="D699" s="30"/>
      <c r="E699" s="30" t="s">
        <v>1153</v>
      </c>
      <c r="F699" s="38" t="s">
        <v>566</v>
      </c>
      <c r="G699" s="40" t="s">
        <v>570</v>
      </c>
      <c r="H699" s="38">
        <f t="shared" si="20"/>
        <v>1</v>
      </c>
      <c r="I699" s="41" t="str">
        <f t="shared" si="21"/>
        <v>Only YAKE</v>
      </c>
      <c r="K699" s="32"/>
      <c r="L699" s="32"/>
      <c r="M699" s="32"/>
      <c r="N699" s="32"/>
      <c r="O699" s="32"/>
      <c r="P699" s="32"/>
    </row>
    <row r="700" spans="1:16" x14ac:dyDescent="0.3">
      <c r="A700" s="38">
        <v>699</v>
      </c>
      <c r="B700" s="39" t="s">
        <v>564</v>
      </c>
      <c r="C700" s="30"/>
      <c r="D700" s="30" t="s">
        <v>1154</v>
      </c>
      <c r="E700" s="30"/>
      <c r="F700" s="38" t="s">
        <v>566</v>
      </c>
      <c r="G700" s="40" t="s">
        <v>570</v>
      </c>
      <c r="H700" s="38">
        <f t="shared" si="20"/>
        <v>1</v>
      </c>
      <c r="I700" s="41" t="str">
        <f t="shared" si="21"/>
        <v>Only RAKE</v>
      </c>
      <c r="K700" s="32"/>
      <c r="L700" s="32"/>
      <c r="M700" s="32"/>
      <c r="N700" s="32"/>
      <c r="O700" s="32"/>
      <c r="P700" s="32"/>
    </row>
    <row r="701" spans="1:16" x14ac:dyDescent="0.3">
      <c r="A701" s="38">
        <v>700</v>
      </c>
      <c r="B701" s="39" t="s">
        <v>564</v>
      </c>
      <c r="C701" s="30"/>
      <c r="D701" s="30"/>
      <c r="E701" s="30" t="s">
        <v>1155</v>
      </c>
      <c r="F701" s="38" t="s">
        <v>566</v>
      </c>
      <c r="G701" s="40" t="s">
        <v>570</v>
      </c>
      <c r="H701" s="38">
        <f t="shared" si="20"/>
        <v>1</v>
      </c>
      <c r="I701" s="41" t="str">
        <f t="shared" si="21"/>
        <v>Only YAKE</v>
      </c>
      <c r="K701" s="32"/>
      <c r="L701" s="32"/>
      <c r="M701" s="32"/>
      <c r="N701" s="32"/>
      <c r="O701" s="32"/>
      <c r="P701" s="32"/>
    </row>
    <row r="702" spans="1:16" x14ac:dyDescent="0.3">
      <c r="A702" s="38">
        <v>701</v>
      </c>
      <c r="B702" s="39" t="s">
        <v>564</v>
      </c>
      <c r="C702" s="30"/>
      <c r="D702" s="30" t="s">
        <v>1156</v>
      </c>
      <c r="E702" s="30"/>
      <c r="F702" s="38" t="s">
        <v>566</v>
      </c>
      <c r="G702" s="40" t="s">
        <v>570</v>
      </c>
      <c r="H702" s="38">
        <f t="shared" si="20"/>
        <v>1</v>
      </c>
      <c r="I702" s="41" t="str">
        <f t="shared" si="21"/>
        <v>Only RAKE</v>
      </c>
      <c r="K702" s="32"/>
      <c r="L702" s="32"/>
      <c r="M702" s="32"/>
      <c r="N702" s="32"/>
      <c r="O702" s="32"/>
      <c r="P702" s="32"/>
    </row>
    <row r="703" spans="1:16" x14ac:dyDescent="0.3">
      <c r="A703" s="38">
        <v>702</v>
      </c>
      <c r="B703" s="39" t="s">
        <v>564</v>
      </c>
      <c r="C703" s="30"/>
      <c r="D703" s="30"/>
      <c r="E703" s="30" t="s">
        <v>1157</v>
      </c>
      <c r="F703" s="38" t="s">
        <v>566</v>
      </c>
      <c r="G703" s="40" t="s">
        <v>570</v>
      </c>
      <c r="H703" s="38">
        <f t="shared" si="20"/>
        <v>1</v>
      </c>
      <c r="I703" s="41" t="str">
        <f t="shared" si="21"/>
        <v>Only YAKE</v>
      </c>
      <c r="K703" s="32"/>
      <c r="L703" s="32"/>
      <c r="M703" s="32"/>
      <c r="N703" s="32"/>
      <c r="O703" s="32"/>
      <c r="P703" s="32"/>
    </row>
    <row r="704" spans="1:16" x14ac:dyDescent="0.3">
      <c r="A704" s="38">
        <v>703</v>
      </c>
      <c r="B704" s="39" t="s">
        <v>564</v>
      </c>
      <c r="C704" s="30"/>
      <c r="D704" s="30"/>
      <c r="E704" s="30" t="s">
        <v>1158</v>
      </c>
      <c r="F704" s="38" t="s">
        <v>566</v>
      </c>
      <c r="G704" s="40" t="s">
        <v>570</v>
      </c>
      <c r="H704" s="38">
        <f t="shared" si="20"/>
        <v>1</v>
      </c>
      <c r="I704" s="41" t="str">
        <f t="shared" si="21"/>
        <v>Only YAKE</v>
      </c>
      <c r="K704" s="32"/>
      <c r="L704" s="32"/>
      <c r="M704" s="32"/>
      <c r="N704" s="32"/>
      <c r="O704" s="32"/>
      <c r="P704" s="32"/>
    </row>
    <row r="705" spans="1:16" x14ac:dyDescent="0.3">
      <c r="A705" s="38">
        <v>704</v>
      </c>
      <c r="B705" s="39" t="s">
        <v>564</v>
      </c>
      <c r="C705" s="30"/>
      <c r="D705" s="30"/>
      <c r="E705" s="30" t="s">
        <v>1159</v>
      </c>
      <c r="F705" s="38" t="s">
        <v>566</v>
      </c>
      <c r="G705" s="40" t="s">
        <v>570</v>
      </c>
      <c r="H705" s="38">
        <f t="shared" si="20"/>
        <v>1</v>
      </c>
      <c r="I705" s="41" t="str">
        <f t="shared" si="21"/>
        <v>Only YAKE</v>
      </c>
      <c r="K705" s="32"/>
      <c r="L705" s="32"/>
      <c r="M705" s="32"/>
      <c r="N705" s="32"/>
      <c r="O705" s="32"/>
      <c r="P705" s="32"/>
    </row>
    <row r="706" spans="1:16" x14ac:dyDescent="0.3">
      <c r="A706" s="38">
        <v>705</v>
      </c>
      <c r="B706" s="39" t="s">
        <v>564</v>
      </c>
      <c r="C706" s="30"/>
      <c r="D706" s="30"/>
      <c r="E706" s="30" t="s">
        <v>1160</v>
      </c>
      <c r="F706" s="38" t="s">
        <v>566</v>
      </c>
      <c r="G706" s="40" t="s">
        <v>570</v>
      </c>
      <c r="H706" s="38">
        <f t="shared" ref="H706:H769" si="22">COUNTIF(C706:E706,"?*")</f>
        <v>1</v>
      </c>
      <c r="I706" s="41" t="str">
        <f t="shared" ref="I706:I769" si="23">IF(H706=0,"None",IF(H706=3,"All three",IF(H706=1,"Only "&amp;TRIM(IF(C706&lt;&gt;"","Gemini ","")&amp;IF(D706&lt;&gt;"","RAKE ","")&amp;IF(E706&lt;&gt;"","YAKE","")),SUBSTITUTE(TRIM(IF(C706&lt;&gt;"","Gemini ","")&amp;IF(D706&lt;&gt;"","RAKE ","")&amp;IF(E706&lt;&gt;"","YAKE",""))," "," + "))))</f>
        <v>Only YAKE</v>
      </c>
      <c r="K706" s="32"/>
      <c r="L706" s="32"/>
      <c r="M706" s="32"/>
      <c r="N706" s="32"/>
      <c r="O706" s="32"/>
      <c r="P706" s="32"/>
    </row>
    <row r="707" spans="1:16" ht="26.4" x14ac:dyDescent="0.3">
      <c r="A707" s="38">
        <v>706</v>
      </c>
      <c r="B707" s="39" t="s">
        <v>564</v>
      </c>
      <c r="C707" s="30" t="s">
        <v>1161</v>
      </c>
      <c r="D707" s="30"/>
      <c r="E707" s="30"/>
      <c r="F707" s="38" t="s">
        <v>566</v>
      </c>
      <c r="G707" s="40" t="s">
        <v>570</v>
      </c>
      <c r="H707" s="38">
        <f t="shared" si="22"/>
        <v>1</v>
      </c>
      <c r="I707" s="41" t="str">
        <f t="shared" si="23"/>
        <v>Only Gemini</v>
      </c>
      <c r="K707" s="32"/>
      <c r="L707" s="32"/>
      <c r="M707" s="32"/>
      <c r="N707" s="32"/>
      <c r="O707" s="32"/>
      <c r="P707" s="32"/>
    </row>
    <row r="708" spans="1:16" x14ac:dyDescent="0.3">
      <c r="A708" s="38">
        <v>707</v>
      </c>
      <c r="B708" s="39" t="s">
        <v>564</v>
      </c>
      <c r="C708" s="30"/>
      <c r="D708" s="30" t="s">
        <v>1162</v>
      </c>
      <c r="E708" s="30"/>
      <c r="F708" s="38" t="s">
        <v>566</v>
      </c>
      <c r="G708" s="40" t="s">
        <v>570</v>
      </c>
      <c r="H708" s="38">
        <f t="shared" si="22"/>
        <v>1</v>
      </c>
      <c r="I708" s="41" t="str">
        <f t="shared" si="23"/>
        <v>Only RAKE</v>
      </c>
      <c r="K708" s="32"/>
      <c r="L708" s="32"/>
      <c r="M708" s="32"/>
      <c r="N708" s="32"/>
      <c r="O708" s="32"/>
      <c r="P708" s="32"/>
    </row>
    <row r="709" spans="1:16" x14ac:dyDescent="0.3">
      <c r="A709" s="38">
        <v>708</v>
      </c>
      <c r="B709" s="39" t="s">
        <v>564</v>
      </c>
      <c r="C709" s="30"/>
      <c r="D709" s="30" t="s">
        <v>1163</v>
      </c>
      <c r="E709" s="30"/>
      <c r="F709" s="38" t="s">
        <v>566</v>
      </c>
      <c r="G709" s="40" t="s">
        <v>570</v>
      </c>
      <c r="H709" s="38">
        <f t="shared" si="22"/>
        <v>1</v>
      </c>
      <c r="I709" s="41" t="str">
        <f t="shared" si="23"/>
        <v>Only RAKE</v>
      </c>
      <c r="K709" s="32"/>
      <c r="L709" s="32"/>
      <c r="M709" s="32"/>
      <c r="N709" s="32"/>
      <c r="O709" s="32"/>
      <c r="P709" s="32"/>
    </row>
    <row r="710" spans="1:16" x14ac:dyDescent="0.3">
      <c r="A710" s="38">
        <v>709</v>
      </c>
      <c r="B710" s="39" t="s">
        <v>564</v>
      </c>
      <c r="C710" s="30"/>
      <c r="D710" s="30"/>
      <c r="E710" s="30" t="s">
        <v>1164</v>
      </c>
      <c r="F710" s="38" t="s">
        <v>566</v>
      </c>
      <c r="G710" s="40" t="s">
        <v>570</v>
      </c>
      <c r="H710" s="38">
        <f t="shared" si="22"/>
        <v>1</v>
      </c>
      <c r="I710" s="41" t="str">
        <f t="shared" si="23"/>
        <v>Only YAKE</v>
      </c>
      <c r="K710" s="32"/>
      <c r="L710" s="32"/>
      <c r="M710" s="32"/>
      <c r="N710" s="32"/>
      <c r="O710" s="32"/>
      <c r="P710" s="32"/>
    </row>
    <row r="711" spans="1:16" x14ac:dyDescent="0.3">
      <c r="A711" s="38">
        <v>710</v>
      </c>
      <c r="B711" s="39" t="s">
        <v>564</v>
      </c>
      <c r="C711" s="30"/>
      <c r="D711" s="30"/>
      <c r="E711" s="30" t="s">
        <v>1165</v>
      </c>
      <c r="F711" s="38" t="s">
        <v>566</v>
      </c>
      <c r="G711" s="40" t="s">
        <v>570</v>
      </c>
      <c r="H711" s="38">
        <f t="shared" si="22"/>
        <v>1</v>
      </c>
      <c r="I711" s="41" t="str">
        <f t="shared" si="23"/>
        <v>Only YAKE</v>
      </c>
      <c r="K711" s="32"/>
      <c r="L711" s="32"/>
      <c r="M711" s="32"/>
      <c r="N711" s="32"/>
      <c r="O711" s="32"/>
      <c r="P711" s="32"/>
    </row>
    <row r="712" spans="1:16" x14ac:dyDescent="0.3">
      <c r="A712" s="38">
        <v>711</v>
      </c>
      <c r="B712" s="39" t="s">
        <v>564</v>
      </c>
      <c r="C712" s="30"/>
      <c r="D712" s="30" t="s">
        <v>1166</v>
      </c>
      <c r="E712" s="30"/>
      <c r="F712" s="38" t="s">
        <v>566</v>
      </c>
      <c r="G712" s="40" t="s">
        <v>570</v>
      </c>
      <c r="H712" s="38">
        <f t="shared" si="22"/>
        <v>1</v>
      </c>
      <c r="I712" s="41" t="str">
        <f t="shared" si="23"/>
        <v>Only RAKE</v>
      </c>
      <c r="K712" s="32"/>
      <c r="L712" s="32"/>
      <c r="M712" s="32"/>
      <c r="N712" s="32"/>
      <c r="O712" s="32"/>
      <c r="P712" s="32"/>
    </row>
    <row r="713" spans="1:16" x14ac:dyDescent="0.3">
      <c r="A713" s="38">
        <v>712</v>
      </c>
      <c r="B713" s="39" t="s">
        <v>564</v>
      </c>
      <c r="C713" s="30"/>
      <c r="D713" s="30" t="s">
        <v>1167</v>
      </c>
      <c r="E713" s="30"/>
      <c r="F713" s="38" t="s">
        <v>566</v>
      </c>
      <c r="G713" s="40" t="s">
        <v>570</v>
      </c>
      <c r="H713" s="38">
        <f t="shared" si="22"/>
        <v>1</v>
      </c>
      <c r="I713" s="41" t="str">
        <f t="shared" si="23"/>
        <v>Only RAKE</v>
      </c>
      <c r="K713" s="32"/>
      <c r="L713" s="32"/>
      <c r="M713" s="32"/>
      <c r="N713" s="32"/>
      <c r="O713" s="32"/>
      <c r="P713" s="32"/>
    </row>
    <row r="714" spans="1:16" x14ac:dyDescent="0.3">
      <c r="A714" s="38">
        <v>713</v>
      </c>
      <c r="B714" s="39" t="s">
        <v>564</v>
      </c>
      <c r="C714" s="30"/>
      <c r="D714" s="30" t="s">
        <v>1168</v>
      </c>
      <c r="E714" s="30"/>
      <c r="F714" s="38" t="s">
        <v>566</v>
      </c>
      <c r="G714" s="40" t="s">
        <v>570</v>
      </c>
      <c r="H714" s="38">
        <f t="shared" si="22"/>
        <v>1</v>
      </c>
      <c r="I714" s="41" t="str">
        <f t="shared" si="23"/>
        <v>Only RAKE</v>
      </c>
      <c r="K714" s="32"/>
      <c r="L714" s="32"/>
      <c r="M714" s="32"/>
      <c r="N714" s="32"/>
      <c r="O714" s="32"/>
      <c r="P714" s="32"/>
    </row>
    <row r="715" spans="1:16" x14ac:dyDescent="0.3">
      <c r="A715" s="38">
        <v>714</v>
      </c>
      <c r="B715" s="39" t="s">
        <v>564</v>
      </c>
      <c r="C715" s="30"/>
      <c r="D715" s="30"/>
      <c r="E715" s="30" t="s">
        <v>1169</v>
      </c>
      <c r="F715" s="38" t="s">
        <v>566</v>
      </c>
      <c r="G715" s="40" t="s">
        <v>570</v>
      </c>
      <c r="H715" s="38">
        <f t="shared" si="22"/>
        <v>1</v>
      </c>
      <c r="I715" s="41" t="str">
        <f t="shared" si="23"/>
        <v>Only YAKE</v>
      </c>
      <c r="K715" s="32"/>
      <c r="L715" s="32"/>
      <c r="M715" s="32"/>
      <c r="N715" s="32"/>
      <c r="O715" s="32"/>
      <c r="P715" s="32"/>
    </row>
    <row r="716" spans="1:16" x14ac:dyDescent="0.3">
      <c r="A716" s="38">
        <v>715</v>
      </c>
      <c r="B716" s="39" t="s">
        <v>564</v>
      </c>
      <c r="C716" s="30"/>
      <c r="D716" s="30" t="s">
        <v>1170</v>
      </c>
      <c r="E716" s="30"/>
      <c r="F716" s="38" t="s">
        <v>566</v>
      </c>
      <c r="G716" s="40" t="s">
        <v>570</v>
      </c>
      <c r="H716" s="38">
        <f t="shared" si="22"/>
        <v>1</v>
      </c>
      <c r="I716" s="41" t="str">
        <f t="shared" si="23"/>
        <v>Only RAKE</v>
      </c>
      <c r="K716" s="32"/>
      <c r="L716" s="32"/>
      <c r="M716" s="32"/>
      <c r="N716" s="32"/>
      <c r="O716" s="32"/>
      <c r="P716" s="32"/>
    </row>
    <row r="717" spans="1:16" x14ac:dyDescent="0.3">
      <c r="A717" s="38">
        <v>716</v>
      </c>
      <c r="B717" s="39" t="s">
        <v>564</v>
      </c>
      <c r="C717" s="30"/>
      <c r="D717" s="30"/>
      <c r="E717" s="30" t="s">
        <v>1171</v>
      </c>
      <c r="F717" s="38" t="s">
        <v>566</v>
      </c>
      <c r="G717" s="40" t="s">
        <v>570</v>
      </c>
      <c r="H717" s="38">
        <f t="shared" si="22"/>
        <v>1</v>
      </c>
      <c r="I717" s="41" t="str">
        <f t="shared" si="23"/>
        <v>Only YAKE</v>
      </c>
      <c r="K717" s="32"/>
      <c r="L717" s="32"/>
      <c r="M717" s="32"/>
      <c r="N717" s="32"/>
      <c r="O717" s="32"/>
      <c r="P717" s="32"/>
    </row>
    <row r="718" spans="1:16" x14ac:dyDescent="0.3">
      <c r="A718" s="38">
        <v>717</v>
      </c>
      <c r="B718" s="39" t="s">
        <v>564</v>
      </c>
      <c r="C718" s="30"/>
      <c r="D718" s="30" t="s">
        <v>1172</v>
      </c>
      <c r="E718" s="30"/>
      <c r="F718" s="38" t="s">
        <v>566</v>
      </c>
      <c r="G718" s="40" t="s">
        <v>570</v>
      </c>
      <c r="H718" s="38">
        <f t="shared" si="22"/>
        <v>1</v>
      </c>
      <c r="I718" s="41" t="str">
        <f t="shared" si="23"/>
        <v>Only RAKE</v>
      </c>
      <c r="K718" s="32"/>
      <c r="L718" s="32"/>
      <c r="M718" s="32"/>
      <c r="N718" s="32"/>
      <c r="O718" s="32"/>
      <c r="P718" s="32"/>
    </row>
    <row r="719" spans="1:16" x14ac:dyDescent="0.3">
      <c r="A719" s="38">
        <v>718</v>
      </c>
      <c r="B719" s="39" t="s">
        <v>564</v>
      </c>
      <c r="C719" s="30"/>
      <c r="D719" s="30"/>
      <c r="E719" s="30" t="s">
        <v>1173</v>
      </c>
      <c r="F719" s="38" t="s">
        <v>566</v>
      </c>
      <c r="G719" s="40" t="s">
        <v>570</v>
      </c>
      <c r="H719" s="38">
        <f t="shared" si="22"/>
        <v>1</v>
      </c>
      <c r="I719" s="41" t="str">
        <f t="shared" si="23"/>
        <v>Only YAKE</v>
      </c>
      <c r="K719" s="32"/>
      <c r="L719" s="32"/>
      <c r="M719" s="32"/>
      <c r="N719" s="32"/>
      <c r="O719" s="32"/>
      <c r="P719" s="32"/>
    </row>
    <row r="720" spans="1:16" x14ac:dyDescent="0.3">
      <c r="A720" s="38">
        <v>719</v>
      </c>
      <c r="B720" s="39" t="s">
        <v>564</v>
      </c>
      <c r="C720" s="30"/>
      <c r="D720" s="30" t="s">
        <v>1174</v>
      </c>
      <c r="E720" s="30"/>
      <c r="F720" s="38" t="s">
        <v>566</v>
      </c>
      <c r="G720" s="40" t="s">
        <v>570</v>
      </c>
      <c r="H720" s="38">
        <f t="shared" si="22"/>
        <v>1</v>
      </c>
      <c r="I720" s="41" t="str">
        <f t="shared" si="23"/>
        <v>Only RAKE</v>
      </c>
      <c r="K720" s="32"/>
      <c r="L720" s="32"/>
      <c r="M720" s="32"/>
      <c r="N720" s="32"/>
      <c r="O720" s="32"/>
      <c r="P720" s="32"/>
    </row>
    <row r="721" spans="1:16" x14ac:dyDescent="0.3">
      <c r="A721" s="38">
        <v>720</v>
      </c>
      <c r="B721" s="39" t="s">
        <v>564</v>
      </c>
      <c r="C721" s="30"/>
      <c r="D721" s="30"/>
      <c r="E721" s="30" t="s">
        <v>1175</v>
      </c>
      <c r="F721" s="38" t="s">
        <v>566</v>
      </c>
      <c r="G721" s="40" t="s">
        <v>570</v>
      </c>
      <c r="H721" s="38">
        <f t="shared" si="22"/>
        <v>1</v>
      </c>
      <c r="I721" s="41" t="str">
        <f t="shared" si="23"/>
        <v>Only YAKE</v>
      </c>
      <c r="K721" s="32"/>
      <c r="L721" s="32"/>
      <c r="M721" s="32"/>
      <c r="N721" s="32"/>
      <c r="O721" s="32"/>
      <c r="P721" s="32"/>
    </row>
    <row r="722" spans="1:16" x14ac:dyDescent="0.3">
      <c r="A722" s="38">
        <v>721</v>
      </c>
      <c r="B722" s="39" t="s">
        <v>564</v>
      </c>
      <c r="C722" s="30"/>
      <c r="D722" s="30" t="s">
        <v>1176</v>
      </c>
      <c r="E722" s="30"/>
      <c r="F722" s="38" t="s">
        <v>566</v>
      </c>
      <c r="G722" s="40" t="s">
        <v>570</v>
      </c>
      <c r="H722" s="38">
        <f t="shared" si="22"/>
        <v>1</v>
      </c>
      <c r="I722" s="41" t="str">
        <f t="shared" si="23"/>
        <v>Only RAKE</v>
      </c>
      <c r="K722" s="32"/>
      <c r="L722" s="32"/>
      <c r="M722" s="32"/>
      <c r="N722" s="32"/>
      <c r="O722" s="32"/>
      <c r="P722" s="32"/>
    </row>
    <row r="723" spans="1:16" x14ac:dyDescent="0.3">
      <c r="A723" s="38">
        <v>722</v>
      </c>
      <c r="B723" s="39" t="s">
        <v>564</v>
      </c>
      <c r="C723" s="30"/>
      <c r="D723" s="30" t="s">
        <v>1177</v>
      </c>
      <c r="E723" s="30"/>
      <c r="F723" s="38" t="s">
        <v>566</v>
      </c>
      <c r="G723" s="40" t="s">
        <v>570</v>
      </c>
      <c r="H723" s="38">
        <f t="shared" si="22"/>
        <v>1</v>
      </c>
      <c r="I723" s="41" t="str">
        <f t="shared" si="23"/>
        <v>Only RAKE</v>
      </c>
      <c r="K723" s="32"/>
      <c r="L723" s="32"/>
      <c r="M723" s="32"/>
      <c r="N723" s="32"/>
      <c r="O723" s="32"/>
      <c r="P723" s="32"/>
    </row>
    <row r="724" spans="1:16" x14ac:dyDescent="0.3">
      <c r="A724" s="38">
        <v>723</v>
      </c>
      <c r="B724" s="39" t="s">
        <v>564</v>
      </c>
      <c r="C724" s="30"/>
      <c r="D724" s="30" t="s">
        <v>1178</v>
      </c>
      <c r="E724" s="30"/>
      <c r="F724" s="38" t="s">
        <v>566</v>
      </c>
      <c r="G724" s="40" t="s">
        <v>570</v>
      </c>
      <c r="H724" s="38">
        <f t="shared" si="22"/>
        <v>1</v>
      </c>
      <c r="I724" s="41" t="str">
        <f t="shared" si="23"/>
        <v>Only RAKE</v>
      </c>
      <c r="K724" s="32"/>
      <c r="L724" s="32"/>
      <c r="M724" s="32"/>
      <c r="N724" s="32"/>
      <c r="O724" s="32"/>
      <c r="P724" s="32"/>
    </row>
    <row r="725" spans="1:16" x14ac:dyDescent="0.3">
      <c r="A725" s="38">
        <v>724</v>
      </c>
      <c r="B725" s="39" t="s">
        <v>564</v>
      </c>
      <c r="C725" s="30"/>
      <c r="D725" s="30"/>
      <c r="E725" s="30" t="s">
        <v>1179</v>
      </c>
      <c r="F725" s="38" t="s">
        <v>566</v>
      </c>
      <c r="G725" s="40" t="s">
        <v>570</v>
      </c>
      <c r="H725" s="38">
        <f t="shared" si="22"/>
        <v>1</v>
      </c>
      <c r="I725" s="41" t="str">
        <f t="shared" si="23"/>
        <v>Only YAKE</v>
      </c>
      <c r="K725" s="32"/>
      <c r="L725" s="32"/>
      <c r="M725" s="32"/>
      <c r="N725" s="32"/>
      <c r="O725" s="32"/>
      <c r="P725" s="32"/>
    </row>
    <row r="726" spans="1:16" x14ac:dyDescent="0.3">
      <c r="A726" s="38">
        <v>725</v>
      </c>
      <c r="B726" s="39" t="s">
        <v>564</v>
      </c>
      <c r="C726" s="30"/>
      <c r="D726" s="30" t="s">
        <v>1180</v>
      </c>
      <c r="E726" s="30"/>
      <c r="F726" s="38" t="s">
        <v>566</v>
      </c>
      <c r="G726" s="40" t="s">
        <v>570</v>
      </c>
      <c r="H726" s="38">
        <f t="shared" si="22"/>
        <v>1</v>
      </c>
      <c r="I726" s="41" t="str">
        <f t="shared" si="23"/>
        <v>Only RAKE</v>
      </c>
      <c r="K726" s="32"/>
      <c r="L726" s="32"/>
      <c r="M726" s="32"/>
      <c r="N726" s="32"/>
      <c r="O726" s="32"/>
      <c r="P726" s="32"/>
    </row>
    <row r="727" spans="1:16" x14ac:dyDescent="0.3">
      <c r="A727" s="38">
        <v>726</v>
      </c>
      <c r="B727" s="39" t="s">
        <v>564</v>
      </c>
      <c r="C727" s="30"/>
      <c r="D727" s="30" t="s">
        <v>1181</v>
      </c>
      <c r="E727" s="30"/>
      <c r="F727" s="38" t="s">
        <v>566</v>
      </c>
      <c r="G727" s="40" t="s">
        <v>570</v>
      </c>
      <c r="H727" s="38">
        <f t="shared" si="22"/>
        <v>1</v>
      </c>
      <c r="I727" s="41" t="str">
        <f t="shared" si="23"/>
        <v>Only RAKE</v>
      </c>
      <c r="K727" s="32"/>
      <c r="L727" s="32"/>
      <c r="M727" s="32"/>
      <c r="N727" s="32"/>
      <c r="O727" s="32"/>
      <c r="P727" s="32"/>
    </row>
    <row r="728" spans="1:16" x14ac:dyDescent="0.3">
      <c r="A728" s="38">
        <v>727</v>
      </c>
      <c r="B728" s="39" t="s">
        <v>564</v>
      </c>
      <c r="C728" s="30"/>
      <c r="D728" s="30" t="s">
        <v>1182</v>
      </c>
      <c r="E728" s="30"/>
      <c r="F728" s="38" t="s">
        <v>566</v>
      </c>
      <c r="G728" s="40" t="s">
        <v>570</v>
      </c>
      <c r="H728" s="38">
        <f t="shared" si="22"/>
        <v>1</v>
      </c>
      <c r="I728" s="41" t="str">
        <f t="shared" si="23"/>
        <v>Only RAKE</v>
      </c>
      <c r="K728" s="32"/>
      <c r="L728" s="32"/>
      <c r="M728" s="32"/>
      <c r="N728" s="32"/>
      <c r="O728" s="32"/>
      <c r="P728" s="32"/>
    </row>
    <row r="729" spans="1:16" x14ac:dyDescent="0.3">
      <c r="A729" s="38">
        <v>728</v>
      </c>
      <c r="B729" s="39" t="s">
        <v>564</v>
      </c>
      <c r="C729" s="30" t="s">
        <v>1183</v>
      </c>
      <c r="D729" s="30"/>
      <c r="E729" s="30"/>
      <c r="F729" s="38" t="s">
        <v>566</v>
      </c>
      <c r="G729" s="40" t="s">
        <v>570</v>
      </c>
      <c r="H729" s="38">
        <f t="shared" si="22"/>
        <v>1</v>
      </c>
      <c r="I729" s="41" t="str">
        <f t="shared" si="23"/>
        <v>Only Gemini</v>
      </c>
      <c r="K729" s="32"/>
      <c r="L729" s="32"/>
      <c r="M729" s="32"/>
      <c r="N729" s="32"/>
      <c r="O729" s="32"/>
      <c r="P729" s="32"/>
    </row>
    <row r="730" spans="1:16" x14ac:dyDescent="0.3">
      <c r="A730" s="38">
        <v>729</v>
      </c>
      <c r="B730" s="39" t="s">
        <v>564</v>
      </c>
      <c r="C730" s="30" t="s">
        <v>1184</v>
      </c>
      <c r="D730" s="30"/>
      <c r="E730" s="30"/>
      <c r="F730" s="38" t="s">
        <v>566</v>
      </c>
      <c r="G730" s="40" t="s">
        <v>570</v>
      </c>
      <c r="H730" s="38">
        <f t="shared" si="22"/>
        <v>1</v>
      </c>
      <c r="I730" s="41" t="str">
        <f t="shared" si="23"/>
        <v>Only Gemini</v>
      </c>
      <c r="K730" s="32"/>
      <c r="L730" s="32"/>
      <c r="M730" s="32"/>
      <c r="N730" s="32"/>
      <c r="O730" s="32"/>
      <c r="P730" s="32"/>
    </row>
    <row r="731" spans="1:16" x14ac:dyDescent="0.3">
      <c r="A731" s="38">
        <v>730</v>
      </c>
      <c r="B731" s="39" t="s">
        <v>564</v>
      </c>
      <c r="C731" s="30"/>
      <c r="D731" s="30"/>
      <c r="E731" s="30" t="s">
        <v>1185</v>
      </c>
      <c r="F731" s="38" t="s">
        <v>566</v>
      </c>
      <c r="G731" s="40" t="s">
        <v>570</v>
      </c>
      <c r="H731" s="38">
        <f t="shared" si="22"/>
        <v>1</v>
      </c>
      <c r="I731" s="41" t="str">
        <f t="shared" si="23"/>
        <v>Only YAKE</v>
      </c>
      <c r="K731" s="32"/>
      <c r="L731" s="32"/>
      <c r="M731" s="32"/>
      <c r="N731" s="32"/>
      <c r="O731" s="32"/>
      <c r="P731" s="32"/>
    </row>
    <row r="732" spans="1:16" x14ac:dyDescent="0.3">
      <c r="A732" s="38">
        <v>731</v>
      </c>
      <c r="B732" s="39" t="s">
        <v>564</v>
      </c>
      <c r="C732" s="30"/>
      <c r="D732" s="30"/>
      <c r="E732" s="30" t="s">
        <v>1186</v>
      </c>
      <c r="F732" s="38" t="s">
        <v>566</v>
      </c>
      <c r="G732" s="40" t="s">
        <v>570</v>
      </c>
      <c r="H732" s="38">
        <f t="shared" si="22"/>
        <v>1</v>
      </c>
      <c r="I732" s="41" t="str">
        <f t="shared" si="23"/>
        <v>Only YAKE</v>
      </c>
      <c r="K732" s="32"/>
      <c r="L732" s="32"/>
      <c r="M732" s="32"/>
      <c r="N732" s="32"/>
      <c r="O732" s="32"/>
      <c r="P732" s="32"/>
    </row>
    <row r="733" spans="1:16" x14ac:dyDescent="0.3">
      <c r="A733" s="38">
        <v>732</v>
      </c>
      <c r="B733" s="39" t="s">
        <v>564</v>
      </c>
      <c r="C733" s="30"/>
      <c r="D733" s="30" t="s">
        <v>1187</v>
      </c>
      <c r="E733" s="30"/>
      <c r="F733" s="38" t="s">
        <v>566</v>
      </c>
      <c r="G733" s="40" t="s">
        <v>570</v>
      </c>
      <c r="H733" s="38">
        <f t="shared" si="22"/>
        <v>1</v>
      </c>
      <c r="I733" s="41" t="str">
        <f t="shared" si="23"/>
        <v>Only RAKE</v>
      </c>
      <c r="K733" s="32"/>
      <c r="L733" s="32"/>
      <c r="M733" s="32"/>
      <c r="N733" s="32"/>
      <c r="O733" s="32"/>
      <c r="P733" s="32"/>
    </row>
    <row r="734" spans="1:16" ht="26.4" x14ac:dyDescent="0.3">
      <c r="A734" s="38">
        <v>733</v>
      </c>
      <c r="B734" s="39" t="s">
        <v>564</v>
      </c>
      <c r="C734" s="30"/>
      <c r="D734" s="30" t="s">
        <v>1188</v>
      </c>
      <c r="E734" s="30"/>
      <c r="F734" s="38" t="s">
        <v>566</v>
      </c>
      <c r="G734" s="40" t="s">
        <v>570</v>
      </c>
      <c r="H734" s="38">
        <f t="shared" si="22"/>
        <v>1</v>
      </c>
      <c r="I734" s="41" t="str">
        <f t="shared" si="23"/>
        <v>Only RAKE</v>
      </c>
      <c r="K734" s="32"/>
      <c r="L734" s="32"/>
      <c r="M734" s="32"/>
      <c r="N734" s="32"/>
      <c r="O734" s="32"/>
      <c r="P734" s="32"/>
    </row>
    <row r="735" spans="1:16" x14ac:dyDescent="0.3">
      <c r="A735" s="38">
        <v>734</v>
      </c>
      <c r="B735" s="39" t="s">
        <v>564</v>
      </c>
      <c r="C735" s="30"/>
      <c r="D735" s="30" t="s">
        <v>1189</v>
      </c>
      <c r="E735" s="30"/>
      <c r="F735" s="38" t="s">
        <v>566</v>
      </c>
      <c r="G735" s="40" t="s">
        <v>570</v>
      </c>
      <c r="H735" s="38">
        <f t="shared" si="22"/>
        <v>1</v>
      </c>
      <c r="I735" s="41" t="str">
        <f t="shared" si="23"/>
        <v>Only RAKE</v>
      </c>
      <c r="K735" s="32"/>
      <c r="L735" s="32"/>
      <c r="M735" s="32"/>
      <c r="N735" s="32"/>
      <c r="O735" s="32"/>
      <c r="P735" s="32"/>
    </row>
    <row r="736" spans="1:16" x14ac:dyDescent="0.3">
      <c r="A736" s="38">
        <v>735</v>
      </c>
      <c r="B736" s="39" t="s">
        <v>564</v>
      </c>
      <c r="C736" s="30"/>
      <c r="D736" s="30" t="s">
        <v>1190</v>
      </c>
      <c r="E736" s="30"/>
      <c r="F736" s="38" t="s">
        <v>566</v>
      </c>
      <c r="G736" s="40" t="s">
        <v>570</v>
      </c>
      <c r="H736" s="38">
        <f t="shared" si="22"/>
        <v>1</v>
      </c>
      <c r="I736" s="41" t="str">
        <f t="shared" si="23"/>
        <v>Only RAKE</v>
      </c>
      <c r="K736" s="32"/>
      <c r="L736" s="32"/>
      <c r="M736" s="32"/>
      <c r="N736" s="32"/>
      <c r="O736" s="32"/>
      <c r="P736" s="32"/>
    </row>
    <row r="737" spans="1:16" x14ac:dyDescent="0.3">
      <c r="A737" s="38">
        <v>736</v>
      </c>
      <c r="B737" s="39" t="s">
        <v>564</v>
      </c>
      <c r="C737" s="30"/>
      <c r="D737" s="30" t="s">
        <v>1191</v>
      </c>
      <c r="E737" s="30"/>
      <c r="F737" s="38" t="s">
        <v>566</v>
      </c>
      <c r="G737" s="40" t="s">
        <v>570</v>
      </c>
      <c r="H737" s="38">
        <f t="shared" si="22"/>
        <v>1</v>
      </c>
      <c r="I737" s="41" t="str">
        <f t="shared" si="23"/>
        <v>Only RAKE</v>
      </c>
      <c r="K737" s="32"/>
      <c r="L737" s="32"/>
      <c r="M737" s="32"/>
      <c r="N737" s="32"/>
      <c r="O737" s="32"/>
      <c r="P737" s="32"/>
    </row>
    <row r="738" spans="1:16" x14ac:dyDescent="0.3">
      <c r="A738" s="38">
        <v>737</v>
      </c>
      <c r="B738" s="39" t="s">
        <v>564</v>
      </c>
      <c r="C738" s="30"/>
      <c r="D738" s="30"/>
      <c r="E738" s="30" t="s">
        <v>1192</v>
      </c>
      <c r="F738" s="38" t="s">
        <v>566</v>
      </c>
      <c r="G738" s="40" t="s">
        <v>570</v>
      </c>
      <c r="H738" s="38">
        <f t="shared" si="22"/>
        <v>1</v>
      </c>
      <c r="I738" s="41" t="str">
        <f t="shared" si="23"/>
        <v>Only YAKE</v>
      </c>
      <c r="K738" s="32"/>
      <c r="L738" s="32"/>
      <c r="M738" s="32"/>
      <c r="N738" s="32"/>
      <c r="O738" s="32"/>
      <c r="P738" s="32"/>
    </row>
    <row r="739" spans="1:16" x14ac:dyDescent="0.3">
      <c r="A739" s="38">
        <v>738</v>
      </c>
      <c r="B739" s="39" t="s">
        <v>564</v>
      </c>
      <c r="C739" s="30"/>
      <c r="D739" s="30" t="s">
        <v>1193</v>
      </c>
      <c r="E739" s="30"/>
      <c r="F739" s="38" t="s">
        <v>566</v>
      </c>
      <c r="G739" s="40" t="s">
        <v>570</v>
      </c>
      <c r="H739" s="38">
        <f t="shared" si="22"/>
        <v>1</v>
      </c>
      <c r="I739" s="41" t="str">
        <f t="shared" si="23"/>
        <v>Only RAKE</v>
      </c>
      <c r="K739" s="32"/>
      <c r="L739" s="32"/>
      <c r="M739" s="32"/>
      <c r="N739" s="32"/>
      <c r="O739" s="32"/>
      <c r="P739" s="32"/>
    </row>
    <row r="740" spans="1:16" x14ac:dyDescent="0.3">
      <c r="A740" s="38">
        <v>739</v>
      </c>
      <c r="B740" s="39" t="s">
        <v>564</v>
      </c>
      <c r="C740" s="30"/>
      <c r="D740" s="30"/>
      <c r="E740" s="30" t="s">
        <v>1194</v>
      </c>
      <c r="F740" s="38" t="s">
        <v>566</v>
      </c>
      <c r="G740" s="40" t="s">
        <v>570</v>
      </c>
      <c r="H740" s="38">
        <f t="shared" si="22"/>
        <v>1</v>
      </c>
      <c r="I740" s="41" t="str">
        <f t="shared" si="23"/>
        <v>Only YAKE</v>
      </c>
      <c r="K740" s="32"/>
      <c r="L740" s="32"/>
      <c r="M740" s="32"/>
      <c r="N740" s="32"/>
      <c r="O740" s="32"/>
      <c r="P740" s="32"/>
    </row>
    <row r="741" spans="1:16" x14ac:dyDescent="0.3">
      <c r="A741" s="38">
        <v>740</v>
      </c>
      <c r="B741" s="39" t="s">
        <v>564</v>
      </c>
      <c r="C741" s="30"/>
      <c r="D741" s="30"/>
      <c r="E741" s="30" t="s">
        <v>1195</v>
      </c>
      <c r="F741" s="38" t="s">
        <v>566</v>
      </c>
      <c r="G741" s="40" t="s">
        <v>570</v>
      </c>
      <c r="H741" s="38">
        <f t="shared" si="22"/>
        <v>1</v>
      </c>
      <c r="I741" s="41" t="str">
        <f t="shared" si="23"/>
        <v>Only YAKE</v>
      </c>
      <c r="K741" s="32"/>
      <c r="L741" s="32"/>
      <c r="M741" s="32"/>
      <c r="N741" s="32"/>
      <c r="O741" s="32"/>
      <c r="P741" s="32"/>
    </row>
    <row r="742" spans="1:16" x14ac:dyDescent="0.3">
      <c r="A742" s="38">
        <v>741</v>
      </c>
      <c r="B742" s="39" t="s">
        <v>564</v>
      </c>
      <c r="C742" s="30"/>
      <c r="D742" s="30"/>
      <c r="E742" s="30" t="s">
        <v>1196</v>
      </c>
      <c r="F742" s="38" t="s">
        <v>566</v>
      </c>
      <c r="G742" s="40" t="s">
        <v>570</v>
      </c>
      <c r="H742" s="38">
        <f t="shared" si="22"/>
        <v>1</v>
      </c>
      <c r="I742" s="41" t="str">
        <f t="shared" si="23"/>
        <v>Only YAKE</v>
      </c>
      <c r="K742" s="32"/>
      <c r="L742" s="32"/>
      <c r="M742" s="32"/>
      <c r="N742" s="32"/>
      <c r="O742" s="32"/>
      <c r="P742" s="32"/>
    </row>
    <row r="743" spans="1:16" x14ac:dyDescent="0.3">
      <c r="A743" s="38">
        <v>742</v>
      </c>
      <c r="B743" s="39" t="s">
        <v>564</v>
      </c>
      <c r="C743" s="30"/>
      <c r="D743" s="30" t="s">
        <v>1197</v>
      </c>
      <c r="E743" s="30"/>
      <c r="F743" s="38" t="s">
        <v>566</v>
      </c>
      <c r="G743" s="40" t="s">
        <v>570</v>
      </c>
      <c r="H743" s="38">
        <f t="shared" si="22"/>
        <v>1</v>
      </c>
      <c r="I743" s="41" t="str">
        <f t="shared" si="23"/>
        <v>Only RAKE</v>
      </c>
      <c r="K743" s="32"/>
      <c r="L743" s="32"/>
      <c r="M743" s="32"/>
      <c r="N743" s="32"/>
      <c r="O743" s="32"/>
      <c r="P743" s="32"/>
    </row>
    <row r="744" spans="1:16" x14ac:dyDescent="0.3">
      <c r="A744" s="38">
        <v>743</v>
      </c>
      <c r="B744" s="39" t="s">
        <v>564</v>
      </c>
      <c r="C744" s="30"/>
      <c r="D744" s="30"/>
      <c r="E744" s="30" t="s">
        <v>1198</v>
      </c>
      <c r="F744" s="38" t="s">
        <v>566</v>
      </c>
      <c r="G744" s="40" t="s">
        <v>570</v>
      </c>
      <c r="H744" s="38">
        <f t="shared" si="22"/>
        <v>1</v>
      </c>
      <c r="I744" s="41" t="str">
        <f t="shared" si="23"/>
        <v>Only YAKE</v>
      </c>
      <c r="K744" s="32"/>
      <c r="L744" s="32"/>
      <c r="M744" s="32"/>
      <c r="N744" s="32"/>
      <c r="O744" s="32"/>
      <c r="P744" s="32"/>
    </row>
    <row r="745" spans="1:16" x14ac:dyDescent="0.3">
      <c r="A745" s="38">
        <v>744</v>
      </c>
      <c r="B745" s="39" t="s">
        <v>564</v>
      </c>
      <c r="C745" s="30"/>
      <c r="D745" s="30"/>
      <c r="E745" s="30" t="s">
        <v>1199</v>
      </c>
      <c r="F745" s="38" t="s">
        <v>566</v>
      </c>
      <c r="G745" s="40" t="s">
        <v>570</v>
      </c>
      <c r="H745" s="38">
        <f t="shared" si="22"/>
        <v>1</v>
      </c>
      <c r="I745" s="41" t="str">
        <f t="shared" si="23"/>
        <v>Only YAKE</v>
      </c>
      <c r="K745" s="32"/>
      <c r="L745" s="32"/>
      <c r="M745" s="32"/>
      <c r="N745" s="32"/>
      <c r="O745" s="32"/>
      <c r="P745" s="32"/>
    </row>
    <row r="746" spans="1:16" x14ac:dyDescent="0.3">
      <c r="A746" s="38">
        <v>745</v>
      </c>
      <c r="B746" s="39" t="s">
        <v>564</v>
      </c>
      <c r="C746" s="30"/>
      <c r="D746" s="30"/>
      <c r="E746" s="30" t="s">
        <v>1200</v>
      </c>
      <c r="F746" s="38" t="s">
        <v>566</v>
      </c>
      <c r="G746" s="40" t="s">
        <v>570</v>
      </c>
      <c r="H746" s="38">
        <f t="shared" si="22"/>
        <v>1</v>
      </c>
      <c r="I746" s="41" t="str">
        <f t="shared" si="23"/>
        <v>Only YAKE</v>
      </c>
      <c r="K746" s="32"/>
      <c r="L746" s="32"/>
      <c r="M746" s="32"/>
      <c r="N746" s="32"/>
      <c r="O746" s="32"/>
      <c r="P746" s="32"/>
    </row>
    <row r="747" spans="1:16" x14ac:dyDescent="0.3">
      <c r="A747" s="38">
        <v>746</v>
      </c>
      <c r="B747" s="39" t="s">
        <v>564</v>
      </c>
      <c r="C747" s="30"/>
      <c r="D747" s="30"/>
      <c r="E747" s="30" t="s">
        <v>1201</v>
      </c>
      <c r="F747" s="38" t="s">
        <v>566</v>
      </c>
      <c r="G747" s="40" t="s">
        <v>570</v>
      </c>
      <c r="H747" s="38">
        <f t="shared" si="22"/>
        <v>1</v>
      </c>
      <c r="I747" s="41" t="str">
        <f t="shared" si="23"/>
        <v>Only YAKE</v>
      </c>
      <c r="K747" s="32"/>
      <c r="L747" s="32"/>
      <c r="M747" s="32"/>
      <c r="N747" s="32"/>
      <c r="O747" s="32"/>
      <c r="P747" s="32"/>
    </row>
    <row r="748" spans="1:16" x14ac:dyDescent="0.3">
      <c r="A748" s="38">
        <v>747</v>
      </c>
      <c r="B748" s="39" t="s">
        <v>564</v>
      </c>
      <c r="C748" s="30"/>
      <c r="D748" s="30"/>
      <c r="E748" s="30" t="s">
        <v>1202</v>
      </c>
      <c r="F748" s="38" t="s">
        <v>566</v>
      </c>
      <c r="G748" s="40" t="s">
        <v>570</v>
      </c>
      <c r="H748" s="38">
        <f t="shared" si="22"/>
        <v>1</v>
      </c>
      <c r="I748" s="41" t="str">
        <f t="shared" si="23"/>
        <v>Only YAKE</v>
      </c>
      <c r="K748" s="32"/>
      <c r="L748" s="32"/>
      <c r="M748" s="32"/>
      <c r="N748" s="32"/>
      <c r="O748" s="32"/>
      <c r="P748" s="32"/>
    </row>
    <row r="749" spans="1:16" x14ac:dyDescent="0.3">
      <c r="A749" s="38">
        <v>748</v>
      </c>
      <c r="B749" s="39" t="s">
        <v>564</v>
      </c>
      <c r="C749" s="30"/>
      <c r="D749" s="30"/>
      <c r="E749" s="30" t="s">
        <v>1203</v>
      </c>
      <c r="F749" s="38" t="s">
        <v>566</v>
      </c>
      <c r="G749" s="40" t="s">
        <v>570</v>
      </c>
      <c r="H749" s="38">
        <f t="shared" si="22"/>
        <v>1</v>
      </c>
      <c r="I749" s="41" t="str">
        <f t="shared" si="23"/>
        <v>Only YAKE</v>
      </c>
      <c r="K749" s="32"/>
      <c r="L749" s="32"/>
      <c r="M749" s="32"/>
      <c r="N749" s="32"/>
      <c r="O749" s="32"/>
      <c r="P749" s="32"/>
    </row>
    <row r="750" spans="1:16" x14ac:dyDescent="0.3">
      <c r="A750" s="38">
        <v>749</v>
      </c>
      <c r="B750" s="39" t="s">
        <v>564</v>
      </c>
      <c r="C750" s="30"/>
      <c r="D750" s="30"/>
      <c r="E750" s="30" t="s">
        <v>1204</v>
      </c>
      <c r="F750" s="38" t="s">
        <v>566</v>
      </c>
      <c r="G750" s="40" t="s">
        <v>570</v>
      </c>
      <c r="H750" s="38">
        <f t="shared" si="22"/>
        <v>1</v>
      </c>
      <c r="I750" s="41" t="str">
        <f t="shared" si="23"/>
        <v>Only YAKE</v>
      </c>
      <c r="K750" s="32"/>
      <c r="L750" s="32"/>
      <c r="M750" s="32"/>
      <c r="N750" s="32"/>
      <c r="O750" s="32"/>
      <c r="P750" s="32"/>
    </row>
    <row r="751" spans="1:16" x14ac:dyDescent="0.3">
      <c r="A751" s="38">
        <v>750</v>
      </c>
      <c r="B751" s="39" t="s">
        <v>564</v>
      </c>
      <c r="C751" s="30"/>
      <c r="D751" s="30"/>
      <c r="E751" s="30" t="s">
        <v>1205</v>
      </c>
      <c r="F751" s="38" t="s">
        <v>566</v>
      </c>
      <c r="G751" s="40" t="s">
        <v>570</v>
      </c>
      <c r="H751" s="38">
        <f t="shared" si="22"/>
        <v>1</v>
      </c>
      <c r="I751" s="41" t="str">
        <f t="shared" si="23"/>
        <v>Only YAKE</v>
      </c>
      <c r="K751" s="32"/>
      <c r="L751" s="32"/>
      <c r="M751" s="32"/>
      <c r="N751" s="32"/>
      <c r="O751" s="32"/>
      <c r="P751" s="32"/>
    </row>
    <row r="752" spans="1:16" x14ac:dyDescent="0.3">
      <c r="A752" s="38">
        <v>751</v>
      </c>
      <c r="B752" s="39" t="s">
        <v>564</v>
      </c>
      <c r="C752" s="30"/>
      <c r="D752" s="30"/>
      <c r="E752" s="30" t="s">
        <v>1206</v>
      </c>
      <c r="F752" s="38" t="s">
        <v>566</v>
      </c>
      <c r="G752" s="40" t="s">
        <v>570</v>
      </c>
      <c r="H752" s="38">
        <f t="shared" si="22"/>
        <v>1</v>
      </c>
      <c r="I752" s="41" t="str">
        <f t="shared" si="23"/>
        <v>Only YAKE</v>
      </c>
      <c r="K752" s="32"/>
      <c r="L752" s="32"/>
      <c r="M752" s="32"/>
      <c r="N752" s="32"/>
      <c r="O752" s="32"/>
      <c r="P752" s="32"/>
    </row>
    <row r="753" spans="1:16" x14ac:dyDescent="0.3">
      <c r="A753" s="38">
        <v>752</v>
      </c>
      <c r="B753" s="39" t="s">
        <v>564</v>
      </c>
      <c r="C753" s="30" t="s">
        <v>1207</v>
      </c>
      <c r="D753" s="30"/>
      <c r="E753" s="30"/>
      <c r="F753" s="38" t="s">
        <v>566</v>
      </c>
      <c r="G753" s="40" t="s">
        <v>570</v>
      </c>
      <c r="H753" s="38">
        <f t="shared" si="22"/>
        <v>1</v>
      </c>
      <c r="I753" s="41" t="str">
        <f t="shared" si="23"/>
        <v>Only Gemini</v>
      </c>
      <c r="K753" s="32"/>
      <c r="L753" s="32"/>
      <c r="M753" s="32"/>
      <c r="N753" s="32"/>
      <c r="O753" s="32"/>
      <c r="P753" s="32"/>
    </row>
    <row r="754" spans="1:16" x14ac:dyDescent="0.3">
      <c r="A754" s="38">
        <v>753</v>
      </c>
      <c r="B754" s="39" t="s">
        <v>564</v>
      </c>
      <c r="C754" s="30"/>
      <c r="D754" s="30" t="s">
        <v>1208</v>
      </c>
      <c r="E754" s="30"/>
      <c r="F754" s="38" t="s">
        <v>566</v>
      </c>
      <c r="G754" s="40" t="s">
        <v>570</v>
      </c>
      <c r="H754" s="38">
        <f t="shared" si="22"/>
        <v>1</v>
      </c>
      <c r="I754" s="41" t="str">
        <f t="shared" si="23"/>
        <v>Only RAKE</v>
      </c>
      <c r="K754" s="32"/>
      <c r="L754" s="32"/>
      <c r="M754" s="32"/>
      <c r="N754" s="32"/>
      <c r="O754" s="32"/>
      <c r="P754" s="32"/>
    </row>
    <row r="755" spans="1:16" x14ac:dyDescent="0.3">
      <c r="A755" s="38">
        <v>754</v>
      </c>
      <c r="B755" s="39" t="s">
        <v>564</v>
      </c>
      <c r="C755" s="30"/>
      <c r="D755" s="30" t="s">
        <v>1209</v>
      </c>
      <c r="E755" s="30"/>
      <c r="F755" s="38" t="s">
        <v>566</v>
      </c>
      <c r="G755" s="40" t="s">
        <v>570</v>
      </c>
      <c r="H755" s="38">
        <f t="shared" si="22"/>
        <v>1</v>
      </c>
      <c r="I755" s="41" t="str">
        <f t="shared" si="23"/>
        <v>Only RAKE</v>
      </c>
      <c r="K755" s="32"/>
      <c r="L755" s="32"/>
      <c r="M755" s="32"/>
      <c r="N755" s="32"/>
      <c r="O755" s="32"/>
      <c r="P755" s="32"/>
    </row>
    <row r="756" spans="1:16" x14ac:dyDescent="0.3">
      <c r="A756" s="38">
        <v>755</v>
      </c>
      <c r="B756" s="39" t="s">
        <v>564</v>
      </c>
      <c r="C756" s="30"/>
      <c r="D756" s="30" t="s">
        <v>1210</v>
      </c>
      <c r="E756" s="30"/>
      <c r="F756" s="38" t="s">
        <v>566</v>
      </c>
      <c r="G756" s="40" t="s">
        <v>570</v>
      </c>
      <c r="H756" s="38">
        <f t="shared" si="22"/>
        <v>1</v>
      </c>
      <c r="I756" s="41" t="str">
        <f t="shared" si="23"/>
        <v>Only RAKE</v>
      </c>
      <c r="K756" s="32"/>
      <c r="L756" s="32"/>
      <c r="M756" s="32"/>
      <c r="N756" s="32"/>
      <c r="O756" s="32"/>
      <c r="P756" s="32"/>
    </row>
    <row r="757" spans="1:16" x14ac:dyDescent="0.3">
      <c r="A757" s="38">
        <v>756</v>
      </c>
      <c r="B757" s="39" t="s">
        <v>564</v>
      </c>
      <c r="C757" s="30" t="s">
        <v>1211</v>
      </c>
      <c r="D757" s="30"/>
      <c r="E757" s="30"/>
      <c r="F757" s="38" t="s">
        <v>566</v>
      </c>
      <c r="G757" s="40" t="s">
        <v>570</v>
      </c>
      <c r="H757" s="38">
        <f t="shared" si="22"/>
        <v>1</v>
      </c>
      <c r="I757" s="41" t="str">
        <f t="shared" si="23"/>
        <v>Only Gemini</v>
      </c>
      <c r="K757" s="32"/>
      <c r="L757" s="32"/>
      <c r="M757" s="32"/>
      <c r="N757" s="32"/>
      <c r="O757" s="32"/>
      <c r="P757" s="32"/>
    </row>
    <row r="758" spans="1:16" x14ac:dyDescent="0.3">
      <c r="A758" s="38">
        <v>757</v>
      </c>
      <c r="B758" s="39" t="s">
        <v>564</v>
      </c>
      <c r="C758" s="30"/>
      <c r="D758" s="30" t="s">
        <v>1212</v>
      </c>
      <c r="E758" s="30"/>
      <c r="F758" s="38" t="s">
        <v>566</v>
      </c>
      <c r="G758" s="40" t="s">
        <v>570</v>
      </c>
      <c r="H758" s="38">
        <f t="shared" si="22"/>
        <v>1</v>
      </c>
      <c r="I758" s="41" t="str">
        <f t="shared" si="23"/>
        <v>Only RAKE</v>
      </c>
      <c r="K758" s="32"/>
      <c r="L758" s="32"/>
      <c r="M758" s="32"/>
      <c r="N758" s="32"/>
      <c r="O758" s="32"/>
      <c r="P758" s="32"/>
    </row>
    <row r="759" spans="1:16" x14ac:dyDescent="0.3">
      <c r="A759" s="38">
        <v>758</v>
      </c>
      <c r="B759" s="39" t="s">
        <v>564</v>
      </c>
      <c r="C759" s="30"/>
      <c r="D759" s="30"/>
      <c r="E759" s="30" t="s">
        <v>1213</v>
      </c>
      <c r="F759" s="38" t="s">
        <v>566</v>
      </c>
      <c r="G759" s="40" t="s">
        <v>570</v>
      </c>
      <c r="H759" s="38">
        <f t="shared" si="22"/>
        <v>1</v>
      </c>
      <c r="I759" s="41" t="str">
        <f t="shared" si="23"/>
        <v>Only YAKE</v>
      </c>
      <c r="K759" s="32"/>
      <c r="L759" s="32"/>
      <c r="M759" s="32"/>
      <c r="N759" s="32"/>
      <c r="O759" s="32"/>
      <c r="P759" s="32"/>
    </row>
    <row r="760" spans="1:16" x14ac:dyDescent="0.3">
      <c r="A760" s="38">
        <v>759</v>
      </c>
      <c r="B760" s="39" t="s">
        <v>564</v>
      </c>
      <c r="C760" s="30"/>
      <c r="D760" s="30" t="s">
        <v>1214</v>
      </c>
      <c r="E760" s="30"/>
      <c r="F760" s="38" t="s">
        <v>566</v>
      </c>
      <c r="G760" s="40" t="s">
        <v>570</v>
      </c>
      <c r="H760" s="38">
        <f t="shared" si="22"/>
        <v>1</v>
      </c>
      <c r="I760" s="41" t="str">
        <f t="shared" si="23"/>
        <v>Only RAKE</v>
      </c>
      <c r="K760" s="32"/>
      <c r="L760" s="32"/>
      <c r="M760" s="32"/>
      <c r="N760" s="32"/>
      <c r="O760" s="32"/>
      <c r="P760" s="32"/>
    </row>
    <row r="761" spans="1:16" x14ac:dyDescent="0.3">
      <c r="A761" s="38">
        <v>760</v>
      </c>
      <c r="B761" s="39" t="s">
        <v>564</v>
      </c>
      <c r="C761" s="30"/>
      <c r="D761" s="30" t="s">
        <v>1215</v>
      </c>
      <c r="E761" s="30"/>
      <c r="F761" s="38" t="s">
        <v>566</v>
      </c>
      <c r="G761" s="40" t="s">
        <v>570</v>
      </c>
      <c r="H761" s="38">
        <f t="shared" si="22"/>
        <v>1</v>
      </c>
      <c r="I761" s="41" t="str">
        <f t="shared" si="23"/>
        <v>Only RAKE</v>
      </c>
      <c r="K761" s="32"/>
      <c r="L761" s="32"/>
      <c r="M761" s="32"/>
      <c r="N761" s="32"/>
      <c r="O761" s="32"/>
      <c r="P761" s="32"/>
    </row>
    <row r="762" spans="1:16" x14ac:dyDescent="0.3">
      <c r="A762" s="38">
        <v>761</v>
      </c>
      <c r="B762" s="39" t="s">
        <v>564</v>
      </c>
      <c r="C762" s="30"/>
      <c r="D762" s="30"/>
      <c r="E762" s="30" t="s">
        <v>1216</v>
      </c>
      <c r="F762" s="38" t="s">
        <v>566</v>
      </c>
      <c r="G762" s="40" t="s">
        <v>570</v>
      </c>
      <c r="H762" s="38">
        <f t="shared" si="22"/>
        <v>1</v>
      </c>
      <c r="I762" s="41" t="str">
        <f t="shared" si="23"/>
        <v>Only YAKE</v>
      </c>
      <c r="K762" s="32"/>
      <c r="L762" s="32"/>
      <c r="M762" s="32"/>
      <c r="N762" s="32"/>
      <c r="O762" s="32"/>
      <c r="P762" s="32"/>
    </row>
    <row r="763" spans="1:16" x14ac:dyDescent="0.3">
      <c r="A763" s="38">
        <v>762</v>
      </c>
      <c r="B763" s="39" t="s">
        <v>564</v>
      </c>
      <c r="C763" s="30"/>
      <c r="D763" s="30" t="s">
        <v>1217</v>
      </c>
      <c r="E763" s="30"/>
      <c r="F763" s="38" t="s">
        <v>566</v>
      </c>
      <c r="G763" s="40" t="s">
        <v>570</v>
      </c>
      <c r="H763" s="38">
        <f t="shared" si="22"/>
        <v>1</v>
      </c>
      <c r="I763" s="41" t="str">
        <f t="shared" si="23"/>
        <v>Only RAKE</v>
      </c>
      <c r="K763" s="32"/>
      <c r="L763" s="32"/>
      <c r="M763" s="32"/>
      <c r="N763" s="32"/>
      <c r="O763" s="32"/>
      <c r="P763" s="32"/>
    </row>
    <row r="764" spans="1:16" x14ac:dyDescent="0.3">
      <c r="A764" s="38">
        <v>763</v>
      </c>
      <c r="B764" s="39" t="s">
        <v>564</v>
      </c>
      <c r="C764" s="30"/>
      <c r="D764" s="30" t="s">
        <v>1218</v>
      </c>
      <c r="E764" s="30"/>
      <c r="F764" s="38" t="s">
        <v>566</v>
      </c>
      <c r="G764" s="40" t="s">
        <v>570</v>
      </c>
      <c r="H764" s="38">
        <f t="shared" si="22"/>
        <v>1</v>
      </c>
      <c r="I764" s="41" t="str">
        <f t="shared" si="23"/>
        <v>Only RAKE</v>
      </c>
      <c r="K764" s="32"/>
      <c r="L764" s="32"/>
      <c r="M764" s="32"/>
      <c r="N764" s="32"/>
      <c r="O764" s="32"/>
      <c r="P764" s="32"/>
    </row>
    <row r="765" spans="1:16" x14ac:dyDescent="0.3">
      <c r="A765" s="38">
        <v>764</v>
      </c>
      <c r="B765" s="39" t="s">
        <v>564</v>
      </c>
      <c r="C765" s="30"/>
      <c r="D765" s="30" t="s">
        <v>1219</v>
      </c>
      <c r="E765" s="30"/>
      <c r="F765" s="38" t="s">
        <v>566</v>
      </c>
      <c r="G765" s="40" t="s">
        <v>570</v>
      </c>
      <c r="H765" s="38">
        <f t="shared" si="22"/>
        <v>1</v>
      </c>
      <c r="I765" s="41" t="str">
        <f t="shared" si="23"/>
        <v>Only RAKE</v>
      </c>
      <c r="K765" s="32"/>
      <c r="L765" s="32"/>
      <c r="M765" s="32"/>
      <c r="N765" s="32"/>
      <c r="O765" s="32"/>
      <c r="P765" s="32"/>
    </row>
    <row r="766" spans="1:16" x14ac:dyDescent="0.3">
      <c r="A766" s="38">
        <v>765</v>
      </c>
      <c r="B766" s="39" t="s">
        <v>564</v>
      </c>
      <c r="C766" s="30"/>
      <c r="D766" s="30"/>
      <c r="E766" s="30" t="s">
        <v>1220</v>
      </c>
      <c r="F766" s="38" t="s">
        <v>566</v>
      </c>
      <c r="G766" s="40" t="s">
        <v>570</v>
      </c>
      <c r="H766" s="38">
        <f t="shared" si="22"/>
        <v>1</v>
      </c>
      <c r="I766" s="41" t="str">
        <f t="shared" si="23"/>
        <v>Only YAKE</v>
      </c>
      <c r="K766" s="32"/>
      <c r="L766" s="32"/>
      <c r="M766" s="32"/>
      <c r="N766" s="32"/>
      <c r="O766" s="32"/>
      <c r="P766" s="32"/>
    </row>
    <row r="767" spans="1:16" x14ac:dyDescent="0.3">
      <c r="A767" s="38">
        <v>766</v>
      </c>
      <c r="B767" s="39" t="s">
        <v>564</v>
      </c>
      <c r="C767" s="30"/>
      <c r="D767" s="30" t="s">
        <v>1221</v>
      </c>
      <c r="E767" s="30"/>
      <c r="F767" s="38" t="s">
        <v>566</v>
      </c>
      <c r="G767" s="40" t="s">
        <v>570</v>
      </c>
      <c r="H767" s="38">
        <f t="shared" si="22"/>
        <v>1</v>
      </c>
      <c r="I767" s="41" t="str">
        <f t="shared" si="23"/>
        <v>Only RAKE</v>
      </c>
      <c r="K767" s="32"/>
      <c r="L767" s="32"/>
      <c r="M767" s="32"/>
      <c r="N767" s="32"/>
      <c r="O767" s="32"/>
      <c r="P767" s="32"/>
    </row>
    <row r="768" spans="1:16" x14ac:dyDescent="0.3">
      <c r="A768" s="38">
        <v>767</v>
      </c>
      <c r="B768" s="39" t="s">
        <v>564</v>
      </c>
      <c r="C768" s="30"/>
      <c r="D768" s="30"/>
      <c r="E768" s="30" t="s">
        <v>1222</v>
      </c>
      <c r="F768" s="38" t="s">
        <v>566</v>
      </c>
      <c r="G768" s="40" t="s">
        <v>570</v>
      </c>
      <c r="H768" s="38">
        <f t="shared" si="22"/>
        <v>1</v>
      </c>
      <c r="I768" s="41" t="str">
        <f t="shared" si="23"/>
        <v>Only YAKE</v>
      </c>
      <c r="K768" s="32"/>
      <c r="L768" s="32"/>
      <c r="M768" s="32"/>
      <c r="N768" s="32"/>
      <c r="O768" s="32"/>
      <c r="P768" s="32"/>
    </row>
    <row r="769" spans="1:16" x14ac:dyDescent="0.3">
      <c r="A769" s="38">
        <v>768</v>
      </c>
      <c r="B769" s="39" t="s">
        <v>564</v>
      </c>
      <c r="C769" s="30"/>
      <c r="D769" s="30" t="s">
        <v>1223</v>
      </c>
      <c r="E769" s="30"/>
      <c r="F769" s="38" t="s">
        <v>566</v>
      </c>
      <c r="G769" s="40" t="s">
        <v>570</v>
      </c>
      <c r="H769" s="38">
        <f t="shared" si="22"/>
        <v>1</v>
      </c>
      <c r="I769" s="41" t="str">
        <f t="shared" si="23"/>
        <v>Only RAKE</v>
      </c>
      <c r="K769" s="32"/>
      <c r="L769" s="32"/>
      <c r="M769" s="32"/>
      <c r="N769" s="32"/>
      <c r="O769" s="32"/>
      <c r="P769" s="32"/>
    </row>
    <row r="770" spans="1:16" x14ac:dyDescent="0.3">
      <c r="A770" s="38">
        <v>769</v>
      </c>
      <c r="B770" s="39" t="s">
        <v>564</v>
      </c>
      <c r="C770" s="30"/>
      <c r="D770" s="30" t="s">
        <v>1224</v>
      </c>
      <c r="E770" s="30"/>
      <c r="F770" s="38" t="s">
        <v>566</v>
      </c>
      <c r="G770" s="40" t="s">
        <v>570</v>
      </c>
      <c r="H770" s="38">
        <f t="shared" ref="H770:H833" si="24">COUNTIF(C770:E770,"?*")</f>
        <v>1</v>
      </c>
      <c r="I770" s="41" t="str">
        <f t="shared" ref="I770:I833" si="25">IF(H770=0,"None",IF(H770=3,"All three",IF(H770=1,"Only "&amp;TRIM(IF(C770&lt;&gt;"","Gemini ","")&amp;IF(D770&lt;&gt;"","RAKE ","")&amp;IF(E770&lt;&gt;"","YAKE","")),SUBSTITUTE(TRIM(IF(C770&lt;&gt;"","Gemini ","")&amp;IF(D770&lt;&gt;"","RAKE ","")&amp;IF(E770&lt;&gt;"","YAKE",""))," "," + "))))</f>
        <v>Only RAKE</v>
      </c>
      <c r="K770" s="32"/>
      <c r="L770" s="32"/>
      <c r="M770" s="32"/>
      <c r="N770" s="32"/>
      <c r="O770" s="32"/>
      <c r="P770" s="32"/>
    </row>
    <row r="771" spans="1:16" x14ac:dyDescent="0.3">
      <c r="A771" s="38">
        <v>770</v>
      </c>
      <c r="B771" s="39" t="s">
        <v>564</v>
      </c>
      <c r="C771" s="30"/>
      <c r="D771" s="30"/>
      <c r="E771" s="30" t="s">
        <v>1225</v>
      </c>
      <c r="F771" s="38" t="s">
        <v>566</v>
      </c>
      <c r="G771" s="40" t="s">
        <v>570</v>
      </c>
      <c r="H771" s="38">
        <f t="shared" si="24"/>
        <v>1</v>
      </c>
      <c r="I771" s="41" t="str">
        <f t="shared" si="25"/>
        <v>Only YAKE</v>
      </c>
      <c r="K771" s="32"/>
      <c r="L771" s="32"/>
      <c r="M771" s="32"/>
      <c r="N771" s="32"/>
      <c r="O771" s="32"/>
      <c r="P771" s="32"/>
    </row>
    <row r="772" spans="1:16" x14ac:dyDescent="0.3">
      <c r="A772" s="38">
        <v>771</v>
      </c>
      <c r="B772" s="39" t="s">
        <v>564</v>
      </c>
      <c r="C772" s="30"/>
      <c r="D772" s="30"/>
      <c r="E772" s="30" t="s">
        <v>1226</v>
      </c>
      <c r="F772" s="38" t="s">
        <v>566</v>
      </c>
      <c r="G772" s="40" t="s">
        <v>570</v>
      </c>
      <c r="H772" s="38">
        <f t="shared" si="24"/>
        <v>1</v>
      </c>
      <c r="I772" s="41" t="str">
        <f t="shared" si="25"/>
        <v>Only YAKE</v>
      </c>
      <c r="K772" s="32"/>
      <c r="L772" s="32"/>
      <c r="M772" s="32"/>
      <c r="N772" s="32"/>
      <c r="O772" s="32"/>
      <c r="P772" s="32"/>
    </row>
    <row r="773" spans="1:16" x14ac:dyDescent="0.3">
      <c r="A773" s="38">
        <v>772</v>
      </c>
      <c r="B773" s="39" t="s">
        <v>564</v>
      </c>
      <c r="C773" s="30"/>
      <c r="D773" s="30" t="s">
        <v>1227</v>
      </c>
      <c r="E773" s="30"/>
      <c r="F773" s="38" t="s">
        <v>566</v>
      </c>
      <c r="G773" s="40" t="s">
        <v>570</v>
      </c>
      <c r="H773" s="38">
        <f t="shared" si="24"/>
        <v>1</v>
      </c>
      <c r="I773" s="41" t="str">
        <f t="shared" si="25"/>
        <v>Only RAKE</v>
      </c>
      <c r="K773" s="32"/>
      <c r="L773" s="32"/>
      <c r="M773" s="32"/>
      <c r="N773" s="32"/>
      <c r="O773" s="32"/>
      <c r="P773" s="32"/>
    </row>
    <row r="774" spans="1:16" x14ac:dyDescent="0.3">
      <c r="A774" s="38">
        <v>773</v>
      </c>
      <c r="B774" s="39" t="s">
        <v>564</v>
      </c>
      <c r="C774" s="30"/>
      <c r="D774" s="30" t="s">
        <v>1228</v>
      </c>
      <c r="E774" s="30"/>
      <c r="F774" s="38" t="s">
        <v>566</v>
      </c>
      <c r="G774" s="40" t="s">
        <v>570</v>
      </c>
      <c r="H774" s="38">
        <f t="shared" si="24"/>
        <v>1</v>
      </c>
      <c r="I774" s="41" t="str">
        <f t="shared" si="25"/>
        <v>Only RAKE</v>
      </c>
      <c r="K774" s="32"/>
      <c r="L774" s="32"/>
      <c r="M774" s="32"/>
      <c r="N774" s="32"/>
      <c r="O774" s="32"/>
      <c r="P774" s="32"/>
    </row>
    <row r="775" spans="1:16" x14ac:dyDescent="0.3">
      <c r="A775" s="38">
        <v>774</v>
      </c>
      <c r="B775" s="39" t="s">
        <v>564</v>
      </c>
      <c r="C775" s="30"/>
      <c r="D775" s="30"/>
      <c r="E775" s="30" t="s">
        <v>1229</v>
      </c>
      <c r="F775" s="38" t="s">
        <v>566</v>
      </c>
      <c r="G775" s="40" t="s">
        <v>570</v>
      </c>
      <c r="H775" s="38">
        <f t="shared" si="24"/>
        <v>1</v>
      </c>
      <c r="I775" s="41" t="str">
        <f t="shared" si="25"/>
        <v>Only YAKE</v>
      </c>
      <c r="K775" s="32"/>
      <c r="L775" s="32"/>
      <c r="M775" s="32"/>
      <c r="N775" s="32"/>
      <c r="O775" s="32"/>
      <c r="P775" s="32"/>
    </row>
    <row r="776" spans="1:16" x14ac:dyDescent="0.3">
      <c r="A776" s="38">
        <v>775</v>
      </c>
      <c r="B776" s="39" t="s">
        <v>564</v>
      </c>
      <c r="C776" s="30"/>
      <c r="D776" s="30"/>
      <c r="E776" s="30" t="s">
        <v>1230</v>
      </c>
      <c r="F776" s="38" t="s">
        <v>566</v>
      </c>
      <c r="G776" s="40" t="s">
        <v>570</v>
      </c>
      <c r="H776" s="38">
        <f t="shared" si="24"/>
        <v>1</v>
      </c>
      <c r="I776" s="41" t="str">
        <f t="shared" si="25"/>
        <v>Only YAKE</v>
      </c>
      <c r="K776" s="32"/>
      <c r="L776" s="32"/>
      <c r="M776" s="32"/>
      <c r="N776" s="32"/>
      <c r="O776" s="32"/>
      <c r="P776" s="32"/>
    </row>
    <row r="777" spans="1:16" x14ac:dyDescent="0.3">
      <c r="A777" s="38">
        <v>776</v>
      </c>
      <c r="B777" s="39" t="s">
        <v>564</v>
      </c>
      <c r="C777" s="30"/>
      <c r="D777" s="30" t="s">
        <v>1231</v>
      </c>
      <c r="E777" s="30"/>
      <c r="F777" s="38" t="s">
        <v>566</v>
      </c>
      <c r="G777" s="40" t="s">
        <v>570</v>
      </c>
      <c r="H777" s="38">
        <f t="shared" si="24"/>
        <v>1</v>
      </c>
      <c r="I777" s="41" t="str">
        <f t="shared" si="25"/>
        <v>Only RAKE</v>
      </c>
      <c r="K777" s="32"/>
      <c r="L777" s="32"/>
      <c r="M777" s="32"/>
      <c r="N777" s="32"/>
      <c r="O777" s="32"/>
      <c r="P777" s="32"/>
    </row>
    <row r="778" spans="1:16" x14ac:dyDescent="0.3">
      <c r="A778" s="38">
        <v>777</v>
      </c>
      <c r="B778" s="39" t="s">
        <v>564</v>
      </c>
      <c r="C778" s="30"/>
      <c r="D778" s="30" t="s">
        <v>1232</v>
      </c>
      <c r="E778" s="30"/>
      <c r="F778" s="38" t="s">
        <v>566</v>
      </c>
      <c r="G778" s="40" t="s">
        <v>570</v>
      </c>
      <c r="H778" s="38">
        <f t="shared" si="24"/>
        <v>1</v>
      </c>
      <c r="I778" s="41" t="str">
        <f t="shared" si="25"/>
        <v>Only RAKE</v>
      </c>
      <c r="K778" s="32"/>
      <c r="L778" s="32"/>
      <c r="M778" s="32"/>
      <c r="N778" s="32"/>
      <c r="O778" s="32"/>
      <c r="P778" s="32"/>
    </row>
    <row r="779" spans="1:16" x14ac:dyDescent="0.3">
      <c r="A779" s="38">
        <v>778</v>
      </c>
      <c r="B779" s="39" t="s">
        <v>564</v>
      </c>
      <c r="C779" s="30"/>
      <c r="D779" s="30" t="s">
        <v>1233</v>
      </c>
      <c r="E779" s="30"/>
      <c r="F779" s="38" t="s">
        <v>566</v>
      </c>
      <c r="G779" s="40" t="s">
        <v>570</v>
      </c>
      <c r="H779" s="38">
        <f t="shared" si="24"/>
        <v>1</v>
      </c>
      <c r="I779" s="41" t="str">
        <f t="shared" si="25"/>
        <v>Only RAKE</v>
      </c>
      <c r="K779" s="32"/>
      <c r="L779" s="32"/>
      <c r="M779" s="32"/>
      <c r="N779" s="32"/>
      <c r="O779" s="32"/>
      <c r="P779" s="32"/>
    </row>
    <row r="780" spans="1:16" x14ac:dyDescent="0.3">
      <c r="A780" s="38">
        <v>779</v>
      </c>
      <c r="B780" s="39" t="s">
        <v>564</v>
      </c>
      <c r="C780" s="30"/>
      <c r="D780" s="30" t="s">
        <v>1234</v>
      </c>
      <c r="E780" s="30"/>
      <c r="F780" s="38" t="s">
        <v>566</v>
      </c>
      <c r="G780" s="40" t="s">
        <v>808</v>
      </c>
      <c r="H780" s="38">
        <f t="shared" si="24"/>
        <v>1</v>
      </c>
      <c r="I780" s="41" t="str">
        <f t="shared" si="25"/>
        <v>Only RAKE</v>
      </c>
      <c r="K780" s="32"/>
      <c r="L780" s="32"/>
      <c r="M780" s="32"/>
      <c r="N780" s="32"/>
      <c r="O780" s="32"/>
      <c r="P780" s="32"/>
    </row>
    <row r="781" spans="1:16" ht="26.4" x14ac:dyDescent="0.3">
      <c r="A781" s="38">
        <v>780</v>
      </c>
      <c r="B781" s="39" t="s">
        <v>564</v>
      </c>
      <c r="C781" s="30"/>
      <c r="D781" s="30" t="s">
        <v>1235</v>
      </c>
      <c r="E781" s="30"/>
      <c r="F781" s="38" t="s">
        <v>566</v>
      </c>
      <c r="G781" s="40" t="s">
        <v>570</v>
      </c>
      <c r="H781" s="38">
        <f t="shared" si="24"/>
        <v>1</v>
      </c>
      <c r="I781" s="41" t="str">
        <f t="shared" si="25"/>
        <v>Only RAKE</v>
      </c>
      <c r="K781" s="32"/>
      <c r="L781" s="32"/>
      <c r="M781" s="32"/>
      <c r="N781" s="32"/>
      <c r="O781" s="32"/>
      <c r="P781" s="32"/>
    </row>
    <row r="782" spans="1:16" x14ac:dyDescent="0.3">
      <c r="A782" s="38">
        <v>781</v>
      </c>
      <c r="B782" s="39" t="s">
        <v>564</v>
      </c>
      <c r="C782" s="30"/>
      <c r="D782" s="30"/>
      <c r="E782" s="30" t="s">
        <v>1236</v>
      </c>
      <c r="F782" s="38" t="s">
        <v>566</v>
      </c>
      <c r="G782" s="40" t="s">
        <v>570</v>
      </c>
      <c r="H782" s="38">
        <f t="shared" si="24"/>
        <v>1</v>
      </c>
      <c r="I782" s="41" t="str">
        <f t="shared" si="25"/>
        <v>Only YAKE</v>
      </c>
      <c r="K782" s="32"/>
      <c r="L782" s="32"/>
      <c r="M782" s="32"/>
      <c r="N782" s="32"/>
      <c r="O782" s="32"/>
      <c r="P782" s="32"/>
    </row>
    <row r="783" spans="1:16" x14ac:dyDescent="0.3">
      <c r="A783" s="38">
        <v>782</v>
      </c>
      <c r="B783" s="39" t="s">
        <v>564</v>
      </c>
      <c r="C783" s="30"/>
      <c r="D783" s="30" t="s">
        <v>1237</v>
      </c>
      <c r="E783" s="30"/>
      <c r="F783" s="38" t="s">
        <v>566</v>
      </c>
      <c r="G783" s="40" t="s">
        <v>570</v>
      </c>
      <c r="H783" s="38">
        <f t="shared" si="24"/>
        <v>1</v>
      </c>
      <c r="I783" s="41" t="str">
        <f t="shared" si="25"/>
        <v>Only RAKE</v>
      </c>
      <c r="K783" s="32"/>
      <c r="L783" s="32"/>
      <c r="M783" s="32"/>
      <c r="N783" s="32"/>
      <c r="O783" s="32"/>
      <c r="P783" s="32"/>
    </row>
    <row r="784" spans="1:16" x14ac:dyDescent="0.3">
      <c r="A784" s="38">
        <v>783</v>
      </c>
      <c r="B784" s="39" t="s">
        <v>564</v>
      </c>
      <c r="C784" s="30"/>
      <c r="D784" s="30"/>
      <c r="E784" s="30" t="s">
        <v>1238</v>
      </c>
      <c r="F784" s="38" t="s">
        <v>566</v>
      </c>
      <c r="G784" s="40" t="s">
        <v>570</v>
      </c>
      <c r="H784" s="38">
        <f t="shared" si="24"/>
        <v>1</v>
      </c>
      <c r="I784" s="41" t="str">
        <f t="shared" si="25"/>
        <v>Only YAKE</v>
      </c>
      <c r="K784" s="32"/>
      <c r="L784" s="32"/>
      <c r="M784" s="32"/>
      <c r="N784" s="32"/>
      <c r="O784" s="32"/>
      <c r="P784" s="32"/>
    </row>
    <row r="785" spans="1:16" x14ac:dyDescent="0.3">
      <c r="A785" s="38">
        <v>784</v>
      </c>
      <c r="B785" s="39" t="s">
        <v>564</v>
      </c>
      <c r="C785" s="30"/>
      <c r="D785" s="30"/>
      <c r="E785" s="30" t="s">
        <v>1239</v>
      </c>
      <c r="F785" s="38" t="s">
        <v>566</v>
      </c>
      <c r="G785" s="40" t="s">
        <v>570</v>
      </c>
      <c r="H785" s="38">
        <f t="shared" si="24"/>
        <v>1</v>
      </c>
      <c r="I785" s="41" t="str">
        <f t="shared" si="25"/>
        <v>Only YAKE</v>
      </c>
      <c r="K785" s="32"/>
      <c r="L785" s="32"/>
      <c r="M785" s="32"/>
      <c r="N785" s="32"/>
      <c r="O785" s="32"/>
      <c r="P785" s="32"/>
    </row>
    <row r="786" spans="1:16" x14ac:dyDescent="0.3">
      <c r="A786" s="38">
        <v>785</v>
      </c>
      <c r="B786" s="39" t="s">
        <v>564</v>
      </c>
      <c r="C786" s="30"/>
      <c r="D786" s="30" t="s">
        <v>1240</v>
      </c>
      <c r="E786" s="30"/>
      <c r="F786" s="38" t="s">
        <v>566</v>
      </c>
      <c r="G786" s="40" t="s">
        <v>570</v>
      </c>
      <c r="H786" s="38">
        <f t="shared" si="24"/>
        <v>1</v>
      </c>
      <c r="I786" s="41" t="str">
        <f t="shared" si="25"/>
        <v>Only RAKE</v>
      </c>
      <c r="K786" s="32"/>
      <c r="L786" s="32"/>
      <c r="M786" s="32"/>
      <c r="N786" s="32"/>
      <c r="O786" s="32"/>
      <c r="P786" s="32"/>
    </row>
    <row r="787" spans="1:16" x14ac:dyDescent="0.3">
      <c r="A787" s="38">
        <v>786</v>
      </c>
      <c r="B787" s="39" t="s">
        <v>564</v>
      </c>
      <c r="C787" s="30"/>
      <c r="D787" s="30" t="s">
        <v>1241</v>
      </c>
      <c r="E787" s="30"/>
      <c r="F787" s="38" t="s">
        <v>566</v>
      </c>
      <c r="G787" s="40" t="s">
        <v>570</v>
      </c>
      <c r="H787" s="38">
        <f t="shared" si="24"/>
        <v>1</v>
      </c>
      <c r="I787" s="41" t="str">
        <f t="shared" si="25"/>
        <v>Only RAKE</v>
      </c>
      <c r="K787" s="32"/>
      <c r="L787" s="32"/>
      <c r="M787" s="32"/>
      <c r="N787" s="32"/>
      <c r="O787" s="32"/>
      <c r="P787" s="32"/>
    </row>
    <row r="788" spans="1:16" x14ac:dyDescent="0.3">
      <c r="A788" s="38">
        <v>787</v>
      </c>
      <c r="B788" s="39" t="s">
        <v>564</v>
      </c>
      <c r="C788" s="30"/>
      <c r="D788" s="30"/>
      <c r="E788" s="30" t="s">
        <v>1242</v>
      </c>
      <c r="F788" s="38" t="s">
        <v>566</v>
      </c>
      <c r="G788" s="40" t="s">
        <v>570</v>
      </c>
      <c r="H788" s="38">
        <f t="shared" si="24"/>
        <v>1</v>
      </c>
      <c r="I788" s="41" t="str">
        <f t="shared" si="25"/>
        <v>Only YAKE</v>
      </c>
      <c r="K788" s="32"/>
      <c r="L788" s="32"/>
      <c r="M788" s="32"/>
      <c r="N788" s="32"/>
      <c r="O788" s="32"/>
      <c r="P788" s="32"/>
    </row>
    <row r="789" spans="1:16" x14ac:dyDescent="0.3">
      <c r="A789" s="38">
        <v>788</v>
      </c>
      <c r="B789" s="39" t="s">
        <v>564</v>
      </c>
      <c r="C789" s="30"/>
      <c r="D789" s="30"/>
      <c r="E789" s="30" t="s">
        <v>1243</v>
      </c>
      <c r="F789" s="38" t="s">
        <v>566</v>
      </c>
      <c r="G789" s="40" t="s">
        <v>570</v>
      </c>
      <c r="H789" s="38">
        <f t="shared" si="24"/>
        <v>1</v>
      </c>
      <c r="I789" s="41" t="str">
        <f t="shared" si="25"/>
        <v>Only YAKE</v>
      </c>
      <c r="K789" s="32"/>
      <c r="L789" s="32"/>
      <c r="M789" s="32"/>
      <c r="N789" s="32"/>
      <c r="O789" s="32"/>
      <c r="P789" s="32"/>
    </row>
    <row r="790" spans="1:16" x14ac:dyDescent="0.3">
      <c r="A790" s="38">
        <v>789</v>
      </c>
      <c r="B790" s="39" t="s">
        <v>564</v>
      </c>
      <c r="C790" s="30"/>
      <c r="D790" s="30" t="s">
        <v>1244</v>
      </c>
      <c r="E790" s="30"/>
      <c r="F790" s="38" t="s">
        <v>566</v>
      </c>
      <c r="G790" s="40" t="s">
        <v>570</v>
      </c>
      <c r="H790" s="38">
        <f t="shared" si="24"/>
        <v>1</v>
      </c>
      <c r="I790" s="41" t="str">
        <f t="shared" si="25"/>
        <v>Only RAKE</v>
      </c>
      <c r="K790" s="32"/>
      <c r="L790" s="32"/>
      <c r="M790" s="32"/>
      <c r="N790" s="32"/>
      <c r="O790" s="32"/>
      <c r="P790" s="32"/>
    </row>
    <row r="791" spans="1:16" x14ac:dyDescent="0.3">
      <c r="A791" s="38">
        <v>790</v>
      </c>
      <c r="B791" s="39" t="s">
        <v>564</v>
      </c>
      <c r="C791" s="30"/>
      <c r="D791" s="30" t="s">
        <v>1245</v>
      </c>
      <c r="E791" s="30"/>
      <c r="F791" s="38" t="s">
        <v>566</v>
      </c>
      <c r="G791" s="40" t="s">
        <v>570</v>
      </c>
      <c r="H791" s="38">
        <f t="shared" si="24"/>
        <v>1</v>
      </c>
      <c r="I791" s="41" t="str">
        <f t="shared" si="25"/>
        <v>Only RAKE</v>
      </c>
      <c r="K791" s="32"/>
      <c r="L791" s="32"/>
      <c r="M791" s="32"/>
      <c r="N791" s="32"/>
      <c r="O791" s="32"/>
      <c r="P791" s="32"/>
    </row>
    <row r="792" spans="1:16" x14ac:dyDescent="0.3">
      <c r="A792" s="38">
        <v>791</v>
      </c>
      <c r="B792" s="39" t="s">
        <v>564</v>
      </c>
      <c r="C792" s="30"/>
      <c r="D792" s="30" t="s">
        <v>1246</v>
      </c>
      <c r="E792" s="30"/>
      <c r="F792" s="38" t="s">
        <v>566</v>
      </c>
      <c r="G792" s="40" t="s">
        <v>570</v>
      </c>
      <c r="H792" s="38">
        <f t="shared" si="24"/>
        <v>1</v>
      </c>
      <c r="I792" s="41" t="str">
        <f t="shared" si="25"/>
        <v>Only RAKE</v>
      </c>
      <c r="K792" s="32"/>
      <c r="L792" s="32"/>
      <c r="M792" s="32"/>
      <c r="N792" s="32"/>
      <c r="O792" s="32"/>
      <c r="P792" s="32"/>
    </row>
    <row r="793" spans="1:16" x14ac:dyDescent="0.3">
      <c r="A793" s="38">
        <v>792</v>
      </c>
      <c r="B793" s="39" t="s">
        <v>564</v>
      </c>
      <c r="C793" s="30"/>
      <c r="D793" s="30" t="s">
        <v>1247</v>
      </c>
      <c r="E793" s="30"/>
      <c r="F793" s="38" t="s">
        <v>566</v>
      </c>
      <c r="G793" s="40" t="s">
        <v>570</v>
      </c>
      <c r="H793" s="38">
        <f t="shared" si="24"/>
        <v>1</v>
      </c>
      <c r="I793" s="41" t="str">
        <f t="shared" si="25"/>
        <v>Only RAKE</v>
      </c>
      <c r="K793" s="32"/>
      <c r="L793" s="32"/>
      <c r="M793" s="32"/>
      <c r="N793" s="32"/>
      <c r="O793" s="32"/>
      <c r="P793" s="32"/>
    </row>
    <row r="794" spans="1:16" x14ac:dyDescent="0.3">
      <c r="A794" s="38">
        <v>793</v>
      </c>
      <c r="B794" s="39" t="s">
        <v>564</v>
      </c>
      <c r="C794" s="30"/>
      <c r="D794" s="30"/>
      <c r="E794" s="30" t="s">
        <v>1248</v>
      </c>
      <c r="F794" s="38" t="s">
        <v>566</v>
      </c>
      <c r="G794" s="40" t="s">
        <v>570</v>
      </c>
      <c r="H794" s="38">
        <f t="shared" si="24"/>
        <v>1</v>
      </c>
      <c r="I794" s="41" t="str">
        <f t="shared" si="25"/>
        <v>Only YAKE</v>
      </c>
      <c r="K794" s="32"/>
      <c r="L794" s="32"/>
      <c r="M794" s="32"/>
      <c r="N794" s="32"/>
      <c r="O794" s="32"/>
      <c r="P794" s="32"/>
    </row>
    <row r="795" spans="1:16" x14ac:dyDescent="0.3">
      <c r="A795" s="38">
        <v>794</v>
      </c>
      <c r="B795" s="39" t="s">
        <v>564</v>
      </c>
      <c r="C795" s="30"/>
      <c r="D795" s="30" t="s">
        <v>1249</v>
      </c>
      <c r="E795" s="30"/>
      <c r="F795" s="38" t="s">
        <v>566</v>
      </c>
      <c r="G795" s="40" t="s">
        <v>570</v>
      </c>
      <c r="H795" s="38">
        <f t="shared" si="24"/>
        <v>1</v>
      </c>
      <c r="I795" s="41" t="str">
        <f t="shared" si="25"/>
        <v>Only RAKE</v>
      </c>
      <c r="K795" s="32"/>
      <c r="L795" s="32"/>
      <c r="M795" s="32"/>
      <c r="N795" s="32"/>
      <c r="O795" s="32"/>
      <c r="P795" s="32"/>
    </row>
    <row r="796" spans="1:16" x14ac:dyDescent="0.3">
      <c r="A796" s="38">
        <v>795</v>
      </c>
      <c r="B796" s="39" t="s">
        <v>564</v>
      </c>
      <c r="C796" s="30"/>
      <c r="D796" s="30" t="s">
        <v>1250</v>
      </c>
      <c r="E796" s="30"/>
      <c r="F796" s="38" t="s">
        <v>566</v>
      </c>
      <c r="G796" s="40" t="s">
        <v>570</v>
      </c>
      <c r="H796" s="38">
        <f t="shared" si="24"/>
        <v>1</v>
      </c>
      <c r="I796" s="41" t="str">
        <f t="shared" si="25"/>
        <v>Only RAKE</v>
      </c>
      <c r="K796" s="32"/>
      <c r="L796" s="32"/>
      <c r="M796" s="32"/>
      <c r="N796" s="32"/>
      <c r="O796" s="32"/>
      <c r="P796" s="32"/>
    </row>
    <row r="797" spans="1:16" x14ac:dyDescent="0.3">
      <c r="A797" s="38">
        <v>796</v>
      </c>
      <c r="B797" s="39" t="s">
        <v>564</v>
      </c>
      <c r="C797" s="30"/>
      <c r="D797" s="30" t="s">
        <v>1251</v>
      </c>
      <c r="E797" s="30"/>
      <c r="F797" s="38" t="s">
        <v>566</v>
      </c>
      <c r="G797" s="40" t="s">
        <v>570</v>
      </c>
      <c r="H797" s="38">
        <f t="shared" si="24"/>
        <v>1</v>
      </c>
      <c r="I797" s="41" t="str">
        <f t="shared" si="25"/>
        <v>Only RAKE</v>
      </c>
      <c r="K797" s="32"/>
      <c r="L797" s="32"/>
      <c r="M797" s="32"/>
      <c r="N797" s="32"/>
      <c r="O797" s="32"/>
      <c r="P797" s="32"/>
    </row>
    <row r="798" spans="1:16" x14ac:dyDescent="0.3">
      <c r="A798" s="38">
        <v>797</v>
      </c>
      <c r="B798" s="39" t="s">
        <v>564</v>
      </c>
      <c r="C798" s="30"/>
      <c r="D798" s="30" t="s">
        <v>1252</v>
      </c>
      <c r="E798" s="30"/>
      <c r="F798" s="38" t="s">
        <v>566</v>
      </c>
      <c r="G798" s="40" t="s">
        <v>570</v>
      </c>
      <c r="H798" s="38">
        <f t="shared" si="24"/>
        <v>1</v>
      </c>
      <c r="I798" s="41" t="str">
        <f t="shared" si="25"/>
        <v>Only RAKE</v>
      </c>
      <c r="K798" s="32"/>
      <c r="L798" s="32"/>
      <c r="M798" s="32"/>
      <c r="N798" s="32"/>
      <c r="O798" s="32"/>
      <c r="P798" s="32"/>
    </row>
    <row r="799" spans="1:16" x14ac:dyDescent="0.3">
      <c r="A799" s="38">
        <v>798</v>
      </c>
      <c r="B799" s="39" t="s">
        <v>564</v>
      </c>
      <c r="C799" s="30"/>
      <c r="D799" s="30"/>
      <c r="E799" s="30" t="s">
        <v>1253</v>
      </c>
      <c r="F799" s="38" t="s">
        <v>566</v>
      </c>
      <c r="G799" s="40" t="s">
        <v>570</v>
      </c>
      <c r="H799" s="38">
        <f t="shared" si="24"/>
        <v>1</v>
      </c>
      <c r="I799" s="41" t="str">
        <f t="shared" si="25"/>
        <v>Only YAKE</v>
      </c>
      <c r="K799" s="32"/>
      <c r="L799" s="32"/>
      <c r="M799" s="32"/>
      <c r="N799" s="32"/>
      <c r="O799" s="32"/>
      <c r="P799" s="32"/>
    </row>
    <row r="800" spans="1:16" x14ac:dyDescent="0.3">
      <c r="A800" s="38">
        <v>799</v>
      </c>
      <c r="B800" s="39" t="s">
        <v>564</v>
      </c>
      <c r="C800" s="30"/>
      <c r="D800" s="30" t="s">
        <v>1254</v>
      </c>
      <c r="E800" s="30"/>
      <c r="F800" s="38" t="s">
        <v>566</v>
      </c>
      <c r="G800" s="40" t="s">
        <v>570</v>
      </c>
      <c r="H800" s="38">
        <f t="shared" si="24"/>
        <v>1</v>
      </c>
      <c r="I800" s="41" t="str">
        <f t="shared" si="25"/>
        <v>Only RAKE</v>
      </c>
      <c r="K800" s="32"/>
      <c r="L800" s="32"/>
      <c r="M800" s="32"/>
      <c r="N800" s="32"/>
      <c r="O800" s="32"/>
      <c r="P800" s="32"/>
    </row>
    <row r="801" spans="1:16" x14ac:dyDescent="0.3">
      <c r="A801" s="38">
        <v>800</v>
      </c>
      <c r="B801" s="39" t="s">
        <v>564</v>
      </c>
      <c r="C801" s="30"/>
      <c r="D801" s="30"/>
      <c r="E801" s="30" t="s">
        <v>1255</v>
      </c>
      <c r="F801" s="38" t="s">
        <v>566</v>
      </c>
      <c r="G801" s="40" t="s">
        <v>593</v>
      </c>
      <c r="H801" s="38">
        <f t="shared" si="24"/>
        <v>1</v>
      </c>
      <c r="I801" s="41" t="str">
        <f t="shared" si="25"/>
        <v>Only YAKE</v>
      </c>
      <c r="K801" s="32"/>
      <c r="L801" s="32"/>
      <c r="M801" s="32"/>
      <c r="N801" s="32"/>
      <c r="O801" s="32"/>
      <c r="P801" s="32"/>
    </row>
    <row r="802" spans="1:16" x14ac:dyDescent="0.3">
      <c r="A802" s="38">
        <v>801</v>
      </c>
      <c r="B802" s="39" t="s">
        <v>564</v>
      </c>
      <c r="C802" s="30"/>
      <c r="D802" s="30" t="s">
        <v>1256</v>
      </c>
      <c r="E802" s="30"/>
      <c r="F802" s="38" t="s">
        <v>566</v>
      </c>
      <c r="G802" s="40" t="s">
        <v>570</v>
      </c>
      <c r="H802" s="38">
        <f t="shared" si="24"/>
        <v>1</v>
      </c>
      <c r="I802" s="41" t="str">
        <f t="shared" si="25"/>
        <v>Only RAKE</v>
      </c>
      <c r="K802" s="32"/>
      <c r="L802" s="32"/>
      <c r="M802" s="32"/>
      <c r="N802" s="32"/>
      <c r="O802" s="32"/>
      <c r="P802" s="32"/>
    </row>
    <row r="803" spans="1:16" x14ac:dyDescent="0.3">
      <c r="A803" s="38">
        <v>802</v>
      </c>
      <c r="B803" s="39" t="s">
        <v>564</v>
      </c>
      <c r="C803" s="30"/>
      <c r="D803" s="30" t="s">
        <v>1257</v>
      </c>
      <c r="E803" s="30"/>
      <c r="F803" s="38" t="s">
        <v>566</v>
      </c>
      <c r="G803" s="40" t="s">
        <v>570</v>
      </c>
      <c r="H803" s="38">
        <f t="shared" si="24"/>
        <v>1</v>
      </c>
      <c r="I803" s="41" t="str">
        <f t="shared" si="25"/>
        <v>Only RAKE</v>
      </c>
      <c r="K803" s="32"/>
      <c r="L803" s="32"/>
      <c r="M803" s="32"/>
      <c r="N803" s="32"/>
      <c r="O803" s="32"/>
      <c r="P803" s="32"/>
    </row>
    <row r="804" spans="1:16" x14ac:dyDescent="0.3">
      <c r="A804" s="38">
        <v>803</v>
      </c>
      <c r="B804" s="39" t="s">
        <v>564</v>
      </c>
      <c r="C804" s="30" t="s">
        <v>1258</v>
      </c>
      <c r="D804" s="30"/>
      <c r="E804" s="30"/>
      <c r="F804" s="38" t="s">
        <v>566</v>
      </c>
      <c r="G804" s="40" t="s">
        <v>570</v>
      </c>
      <c r="H804" s="38">
        <f t="shared" si="24"/>
        <v>1</v>
      </c>
      <c r="I804" s="41" t="str">
        <f t="shared" si="25"/>
        <v>Only Gemini</v>
      </c>
      <c r="K804" s="32"/>
      <c r="L804" s="32"/>
      <c r="M804" s="32"/>
      <c r="N804" s="32"/>
      <c r="O804" s="32"/>
      <c r="P804" s="32"/>
    </row>
    <row r="805" spans="1:16" x14ac:dyDescent="0.3">
      <c r="A805" s="38">
        <v>804</v>
      </c>
      <c r="B805" s="39" t="s">
        <v>564</v>
      </c>
      <c r="C805" s="30"/>
      <c r="D805" s="30" t="s">
        <v>1259</v>
      </c>
      <c r="E805" s="30"/>
      <c r="F805" s="38" t="s">
        <v>566</v>
      </c>
      <c r="G805" s="40" t="s">
        <v>570</v>
      </c>
      <c r="H805" s="38">
        <f t="shared" si="24"/>
        <v>1</v>
      </c>
      <c r="I805" s="41" t="str">
        <f t="shared" si="25"/>
        <v>Only RAKE</v>
      </c>
      <c r="K805" s="32"/>
      <c r="L805" s="32"/>
      <c r="M805" s="32"/>
      <c r="N805" s="32"/>
      <c r="O805" s="32"/>
      <c r="P805" s="32"/>
    </row>
    <row r="806" spans="1:16" x14ac:dyDescent="0.3">
      <c r="A806" s="38">
        <v>805</v>
      </c>
      <c r="B806" s="39" t="s">
        <v>564</v>
      </c>
      <c r="C806" s="30"/>
      <c r="D806" s="30"/>
      <c r="E806" s="30" t="s">
        <v>1260</v>
      </c>
      <c r="F806" s="38" t="s">
        <v>566</v>
      </c>
      <c r="G806" s="40" t="s">
        <v>570</v>
      </c>
      <c r="H806" s="38">
        <f t="shared" si="24"/>
        <v>1</v>
      </c>
      <c r="I806" s="41" t="str">
        <f t="shared" si="25"/>
        <v>Only YAKE</v>
      </c>
      <c r="K806" s="32"/>
      <c r="L806" s="32"/>
      <c r="M806" s="32"/>
      <c r="N806" s="32"/>
      <c r="O806" s="32"/>
      <c r="P806" s="32"/>
    </row>
    <row r="807" spans="1:16" x14ac:dyDescent="0.3">
      <c r="A807" s="38">
        <v>806</v>
      </c>
      <c r="B807" s="39" t="s">
        <v>564</v>
      </c>
      <c r="C807" s="30"/>
      <c r="D807" s="30" t="s">
        <v>1261</v>
      </c>
      <c r="E807" s="30"/>
      <c r="F807" s="38" t="s">
        <v>566</v>
      </c>
      <c r="G807" s="40" t="s">
        <v>570</v>
      </c>
      <c r="H807" s="38">
        <f t="shared" si="24"/>
        <v>1</v>
      </c>
      <c r="I807" s="41" t="str">
        <f t="shared" si="25"/>
        <v>Only RAKE</v>
      </c>
      <c r="K807" s="32"/>
      <c r="L807" s="32"/>
      <c r="M807" s="32"/>
      <c r="N807" s="32"/>
      <c r="O807" s="32"/>
      <c r="P807" s="32"/>
    </row>
    <row r="808" spans="1:16" x14ac:dyDescent="0.3">
      <c r="A808" s="38">
        <v>807</v>
      </c>
      <c r="B808" s="39" t="s">
        <v>564</v>
      </c>
      <c r="C808" s="30"/>
      <c r="D808" s="30"/>
      <c r="E808" s="30" t="s">
        <v>1262</v>
      </c>
      <c r="F808" s="38" t="s">
        <v>566</v>
      </c>
      <c r="G808" s="40" t="s">
        <v>570</v>
      </c>
      <c r="H808" s="38">
        <f t="shared" si="24"/>
        <v>1</v>
      </c>
      <c r="I808" s="41" t="str">
        <f t="shared" si="25"/>
        <v>Only YAKE</v>
      </c>
      <c r="K808" s="32"/>
      <c r="L808" s="32"/>
      <c r="M808" s="32"/>
      <c r="N808" s="32"/>
      <c r="O808" s="32"/>
      <c r="P808" s="32"/>
    </row>
    <row r="809" spans="1:16" x14ac:dyDescent="0.3">
      <c r="A809" s="38">
        <v>808</v>
      </c>
      <c r="B809" s="39" t="s">
        <v>564</v>
      </c>
      <c r="C809" s="30" t="s">
        <v>1263</v>
      </c>
      <c r="D809" s="30"/>
      <c r="E809" s="30"/>
      <c r="F809" s="38" t="s">
        <v>566</v>
      </c>
      <c r="G809" s="40" t="s">
        <v>570</v>
      </c>
      <c r="H809" s="38">
        <f t="shared" si="24"/>
        <v>1</v>
      </c>
      <c r="I809" s="41" t="str">
        <f t="shared" si="25"/>
        <v>Only Gemini</v>
      </c>
      <c r="K809" s="32"/>
      <c r="L809" s="32"/>
      <c r="M809" s="32"/>
      <c r="N809" s="32"/>
      <c r="O809" s="32"/>
      <c r="P809" s="32"/>
    </row>
    <row r="810" spans="1:16" x14ac:dyDescent="0.3">
      <c r="A810" s="38">
        <v>809</v>
      </c>
      <c r="B810" s="39" t="s">
        <v>564</v>
      </c>
      <c r="C810" s="30"/>
      <c r="D810" s="30" t="s">
        <v>1264</v>
      </c>
      <c r="E810" s="30"/>
      <c r="F810" s="38" t="s">
        <v>566</v>
      </c>
      <c r="G810" s="40" t="s">
        <v>570</v>
      </c>
      <c r="H810" s="38">
        <f t="shared" si="24"/>
        <v>1</v>
      </c>
      <c r="I810" s="41" t="str">
        <f t="shared" si="25"/>
        <v>Only RAKE</v>
      </c>
      <c r="K810" s="32"/>
      <c r="L810" s="32"/>
      <c r="M810" s="32"/>
      <c r="N810" s="32"/>
      <c r="O810" s="32"/>
      <c r="P810" s="32"/>
    </row>
    <row r="811" spans="1:16" x14ac:dyDescent="0.3">
      <c r="A811" s="38">
        <v>810</v>
      </c>
      <c r="B811" s="39" t="s">
        <v>564</v>
      </c>
      <c r="C811" s="30"/>
      <c r="D811" s="30" t="s">
        <v>1265</v>
      </c>
      <c r="E811" s="30"/>
      <c r="F811" s="38" t="s">
        <v>566</v>
      </c>
      <c r="G811" s="40" t="s">
        <v>570</v>
      </c>
      <c r="H811" s="38">
        <f t="shared" si="24"/>
        <v>1</v>
      </c>
      <c r="I811" s="41" t="str">
        <f t="shared" si="25"/>
        <v>Only RAKE</v>
      </c>
      <c r="K811" s="32"/>
      <c r="L811" s="32"/>
      <c r="M811" s="32"/>
      <c r="N811" s="32"/>
      <c r="O811" s="32"/>
      <c r="P811" s="32"/>
    </row>
    <row r="812" spans="1:16" x14ac:dyDescent="0.3">
      <c r="A812" s="38">
        <v>811</v>
      </c>
      <c r="B812" s="39" t="s">
        <v>564</v>
      </c>
      <c r="C812" s="30"/>
      <c r="D812" s="30"/>
      <c r="E812" s="30" t="s">
        <v>1266</v>
      </c>
      <c r="F812" s="38" t="s">
        <v>566</v>
      </c>
      <c r="G812" s="40" t="s">
        <v>570</v>
      </c>
      <c r="H812" s="38">
        <f t="shared" si="24"/>
        <v>1</v>
      </c>
      <c r="I812" s="41" t="str">
        <f t="shared" si="25"/>
        <v>Only YAKE</v>
      </c>
      <c r="K812" s="32"/>
      <c r="L812" s="32"/>
      <c r="M812" s="32"/>
      <c r="N812" s="32"/>
      <c r="O812" s="32"/>
      <c r="P812" s="32"/>
    </row>
    <row r="813" spans="1:16" x14ac:dyDescent="0.3">
      <c r="A813" s="38">
        <v>812</v>
      </c>
      <c r="B813" s="39" t="s">
        <v>564</v>
      </c>
      <c r="C813" s="30"/>
      <c r="D813" s="30" t="s">
        <v>1267</v>
      </c>
      <c r="E813" s="30"/>
      <c r="F813" s="38" t="s">
        <v>566</v>
      </c>
      <c r="G813" s="40" t="s">
        <v>570</v>
      </c>
      <c r="H813" s="38">
        <f t="shared" si="24"/>
        <v>1</v>
      </c>
      <c r="I813" s="41" t="str">
        <f t="shared" si="25"/>
        <v>Only RAKE</v>
      </c>
      <c r="K813" s="32"/>
      <c r="L813" s="32"/>
      <c r="M813" s="32"/>
      <c r="N813" s="32"/>
      <c r="O813" s="32"/>
      <c r="P813" s="32"/>
    </row>
    <row r="814" spans="1:16" x14ac:dyDescent="0.3">
      <c r="A814" s="38">
        <v>813</v>
      </c>
      <c r="B814" s="39" t="s">
        <v>564</v>
      </c>
      <c r="C814" s="30"/>
      <c r="D814" s="30" t="s">
        <v>1268</v>
      </c>
      <c r="E814" s="30"/>
      <c r="F814" s="38" t="s">
        <v>566</v>
      </c>
      <c r="G814" s="40" t="s">
        <v>570</v>
      </c>
      <c r="H814" s="38">
        <f t="shared" si="24"/>
        <v>1</v>
      </c>
      <c r="I814" s="41" t="str">
        <f t="shared" si="25"/>
        <v>Only RAKE</v>
      </c>
      <c r="K814" s="32"/>
      <c r="L814" s="32"/>
      <c r="M814" s="32"/>
      <c r="N814" s="32"/>
      <c r="O814" s="32"/>
      <c r="P814" s="32"/>
    </row>
    <row r="815" spans="1:16" x14ac:dyDescent="0.3">
      <c r="A815" s="38">
        <v>814</v>
      </c>
      <c r="B815" s="39" t="s">
        <v>564</v>
      </c>
      <c r="C815" s="30"/>
      <c r="D815" s="30" t="s">
        <v>1269</v>
      </c>
      <c r="E815" s="30"/>
      <c r="F815" s="38" t="s">
        <v>566</v>
      </c>
      <c r="G815" s="40" t="s">
        <v>570</v>
      </c>
      <c r="H815" s="38">
        <f t="shared" si="24"/>
        <v>1</v>
      </c>
      <c r="I815" s="41" t="str">
        <f t="shared" si="25"/>
        <v>Only RAKE</v>
      </c>
      <c r="K815" s="32"/>
      <c r="L815" s="32"/>
      <c r="M815" s="32"/>
      <c r="N815" s="32"/>
      <c r="O815" s="32"/>
      <c r="P815" s="32"/>
    </row>
    <row r="816" spans="1:16" x14ac:dyDescent="0.3">
      <c r="A816" s="38">
        <v>815</v>
      </c>
      <c r="B816" s="39" t="s">
        <v>564</v>
      </c>
      <c r="C816" s="30"/>
      <c r="D816" s="30"/>
      <c r="E816" s="30" t="s">
        <v>1270</v>
      </c>
      <c r="F816" s="38" t="s">
        <v>566</v>
      </c>
      <c r="G816" s="40" t="s">
        <v>570</v>
      </c>
      <c r="H816" s="38">
        <f t="shared" si="24"/>
        <v>1</v>
      </c>
      <c r="I816" s="41" t="str">
        <f t="shared" si="25"/>
        <v>Only YAKE</v>
      </c>
      <c r="K816" s="32"/>
      <c r="L816" s="32"/>
      <c r="M816" s="32"/>
      <c r="N816" s="32"/>
      <c r="O816" s="32"/>
      <c r="P816" s="32"/>
    </row>
    <row r="817" spans="1:16" x14ac:dyDescent="0.3">
      <c r="A817" s="38">
        <v>816</v>
      </c>
      <c r="B817" s="39" t="s">
        <v>564</v>
      </c>
      <c r="C817" s="30"/>
      <c r="D817" s="30"/>
      <c r="E817" s="30" t="s">
        <v>1271</v>
      </c>
      <c r="F817" s="38" t="s">
        <v>566</v>
      </c>
      <c r="G817" s="40" t="s">
        <v>570</v>
      </c>
      <c r="H817" s="38">
        <f t="shared" si="24"/>
        <v>1</v>
      </c>
      <c r="I817" s="41" t="str">
        <f t="shared" si="25"/>
        <v>Only YAKE</v>
      </c>
      <c r="K817" s="32"/>
      <c r="L817" s="32"/>
      <c r="M817" s="32"/>
      <c r="N817" s="32"/>
      <c r="O817" s="32"/>
      <c r="P817" s="32"/>
    </row>
    <row r="818" spans="1:16" x14ac:dyDescent="0.3">
      <c r="A818" s="38">
        <v>817</v>
      </c>
      <c r="B818" s="39" t="s">
        <v>564</v>
      </c>
      <c r="C818" s="30"/>
      <c r="D818" s="30" t="s">
        <v>1272</v>
      </c>
      <c r="E818" s="30"/>
      <c r="F818" s="38" t="s">
        <v>566</v>
      </c>
      <c r="G818" s="40" t="s">
        <v>570</v>
      </c>
      <c r="H818" s="38">
        <f t="shared" si="24"/>
        <v>1</v>
      </c>
      <c r="I818" s="41" t="str">
        <f t="shared" si="25"/>
        <v>Only RAKE</v>
      </c>
      <c r="K818" s="32"/>
      <c r="L818" s="32"/>
      <c r="M818" s="32"/>
      <c r="N818" s="32"/>
      <c r="O818" s="32"/>
      <c r="P818" s="32"/>
    </row>
    <row r="819" spans="1:16" ht="26.4" x14ac:dyDescent="0.3">
      <c r="A819" s="38">
        <v>818</v>
      </c>
      <c r="B819" s="39" t="s">
        <v>564</v>
      </c>
      <c r="C819" s="30"/>
      <c r="D819" s="30" t="s">
        <v>1273</v>
      </c>
      <c r="E819" s="30"/>
      <c r="F819" s="38" t="s">
        <v>566</v>
      </c>
      <c r="G819" s="40" t="s">
        <v>570</v>
      </c>
      <c r="H819" s="38">
        <f t="shared" si="24"/>
        <v>1</v>
      </c>
      <c r="I819" s="41" t="str">
        <f t="shared" si="25"/>
        <v>Only RAKE</v>
      </c>
      <c r="K819" s="32"/>
      <c r="L819" s="32"/>
      <c r="M819" s="32"/>
      <c r="N819" s="32"/>
      <c r="O819" s="32"/>
      <c r="P819" s="32"/>
    </row>
    <row r="820" spans="1:16" x14ac:dyDescent="0.3">
      <c r="A820" s="38">
        <v>819</v>
      </c>
      <c r="B820" s="39" t="s">
        <v>564</v>
      </c>
      <c r="C820" s="30"/>
      <c r="D820" s="30" t="s">
        <v>1274</v>
      </c>
      <c r="E820" s="30"/>
      <c r="F820" s="38" t="s">
        <v>566</v>
      </c>
      <c r="G820" s="40" t="s">
        <v>570</v>
      </c>
      <c r="H820" s="38">
        <f t="shared" si="24"/>
        <v>1</v>
      </c>
      <c r="I820" s="41" t="str">
        <f t="shared" si="25"/>
        <v>Only RAKE</v>
      </c>
      <c r="K820" s="32"/>
      <c r="L820" s="32"/>
      <c r="M820" s="32"/>
      <c r="N820" s="32"/>
      <c r="O820" s="32"/>
      <c r="P820" s="32"/>
    </row>
    <row r="821" spans="1:16" x14ac:dyDescent="0.3">
      <c r="A821" s="38">
        <v>820</v>
      </c>
      <c r="B821" s="39" t="s">
        <v>564</v>
      </c>
      <c r="C821" s="30"/>
      <c r="D821" s="30"/>
      <c r="E821" s="30" t="s">
        <v>1275</v>
      </c>
      <c r="F821" s="38" t="s">
        <v>566</v>
      </c>
      <c r="G821" s="40" t="s">
        <v>570</v>
      </c>
      <c r="H821" s="38">
        <f t="shared" si="24"/>
        <v>1</v>
      </c>
      <c r="I821" s="41" t="str">
        <f t="shared" si="25"/>
        <v>Only YAKE</v>
      </c>
      <c r="K821" s="32"/>
      <c r="L821" s="32"/>
      <c r="M821" s="32"/>
      <c r="N821" s="32"/>
      <c r="O821" s="32"/>
      <c r="P821" s="32"/>
    </row>
    <row r="822" spans="1:16" x14ac:dyDescent="0.3">
      <c r="A822" s="38">
        <v>821</v>
      </c>
      <c r="B822" s="39" t="s">
        <v>564</v>
      </c>
      <c r="C822" s="30"/>
      <c r="D822" s="30"/>
      <c r="E822" s="30" t="s">
        <v>1276</v>
      </c>
      <c r="F822" s="38" t="s">
        <v>566</v>
      </c>
      <c r="G822" s="40" t="s">
        <v>570</v>
      </c>
      <c r="H822" s="38">
        <f t="shared" si="24"/>
        <v>1</v>
      </c>
      <c r="I822" s="41" t="str">
        <f t="shared" si="25"/>
        <v>Only YAKE</v>
      </c>
      <c r="K822" s="32"/>
      <c r="L822" s="32"/>
      <c r="M822" s="32"/>
      <c r="N822" s="32"/>
      <c r="O822" s="32"/>
      <c r="P822" s="32"/>
    </row>
    <row r="823" spans="1:16" ht="26.4" x14ac:dyDescent="0.3">
      <c r="A823" s="38">
        <v>822</v>
      </c>
      <c r="B823" s="39" t="s">
        <v>564</v>
      </c>
      <c r="C823" s="30"/>
      <c r="D823" s="30"/>
      <c r="E823" s="30" t="s">
        <v>1277</v>
      </c>
      <c r="F823" s="38" t="s">
        <v>566</v>
      </c>
      <c r="G823" s="40" t="s">
        <v>570</v>
      </c>
      <c r="H823" s="38">
        <f t="shared" si="24"/>
        <v>1</v>
      </c>
      <c r="I823" s="41" t="str">
        <f t="shared" si="25"/>
        <v>Only YAKE</v>
      </c>
      <c r="K823" s="32"/>
      <c r="L823" s="32"/>
      <c r="M823" s="32"/>
      <c r="N823" s="32"/>
      <c r="O823" s="32"/>
      <c r="P823" s="32"/>
    </row>
    <row r="824" spans="1:16" x14ac:dyDescent="0.3">
      <c r="A824" s="38">
        <v>823</v>
      </c>
      <c r="B824" s="39" t="s">
        <v>564</v>
      </c>
      <c r="C824" s="30"/>
      <c r="D824" s="30" t="s">
        <v>1278</v>
      </c>
      <c r="E824" s="30"/>
      <c r="F824" s="38" t="s">
        <v>566</v>
      </c>
      <c r="G824" s="40" t="s">
        <v>570</v>
      </c>
      <c r="H824" s="38">
        <f t="shared" si="24"/>
        <v>1</v>
      </c>
      <c r="I824" s="41" t="str">
        <f t="shared" si="25"/>
        <v>Only RAKE</v>
      </c>
      <c r="K824" s="32"/>
      <c r="L824" s="32"/>
      <c r="M824" s="32"/>
      <c r="N824" s="32"/>
      <c r="O824" s="32"/>
      <c r="P824" s="32"/>
    </row>
    <row r="825" spans="1:16" x14ac:dyDescent="0.3">
      <c r="A825" s="38">
        <v>824</v>
      </c>
      <c r="B825" s="39" t="s">
        <v>564</v>
      </c>
      <c r="C825" s="30"/>
      <c r="D825" s="30"/>
      <c r="E825" s="30" t="s">
        <v>1279</v>
      </c>
      <c r="F825" s="38" t="s">
        <v>566</v>
      </c>
      <c r="G825" s="40" t="s">
        <v>570</v>
      </c>
      <c r="H825" s="38">
        <f t="shared" si="24"/>
        <v>1</v>
      </c>
      <c r="I825" s="41" t="str">
        <f t="shared" si="25"/>
        <v>Only YAKE</v>
      </c>
      <c r="K825" s="32"/>
      <c r="L825" s="32"/>
      <c r="M825" s="32"/>
      <c r="N825" s="32"/>
      <c r="O825" s="32"/>
      <c r="P825" s="32"/>
    </row>
    <row r="826" spans="1:16" x14ac:dyDescent="0.3">
      <c r="A826" s="38">
        <v>825</v>
      </c>
      <c r="B826" s="39" t="s">
        <v>564</v>
      </c>
      <c r="C826" s="30"/>
      <c r="D826" s="30" t="s">
        <v>1280</v>
      </c>
      <c r="E826" s="30"/>
      <c r="F826" s="38" t="s">
        <v>566</v>
      </c>
      <c r="G826" s="40" t="s">
        <v>570</v>
      </c>
      <c r="H826" s="38">
        <f t="shared" si="24"/>
        <v>1</v>
      </c>
      <c r="I826" s="41" t="str">
        <f t="shared" si="25"/>
        <v>Only RAKE</v>
      </c>
      <c r="K826" s="32"/>
      <c r="L826" s="32"/>
      <c r="M826" s="32"/>
      <c r="N826" s="32"/>
      <c r="O826" s="32"/>
      <c r="P826" s="32"/>
    </row>
    <row r="827" spans="1:16" x14ac:dyDescent="0.3">
      <c r="A827" s="38">
        <v>826</v>
      </c>
      <c r="B827" s="39" t="s">
        <v>564</v>
      </c>
      <c r="C827" s="30"/>
      <c r="D827" s="30" t="s">
        <v>1281</v>
      </c>
      <c r="E827" s="30"/>
      <c r="F827" s="38" t="s">
        <v>566</v>
      </c>
      <c r="G827" s="40" t="s">
        <v>570</v>
      </c>
      <c r="H827" s="38">
        <f t="shared" si="24"/>
        <v>1</v>
      </c>
      <c r="I827" s="41" t="str">
        <f t="shared" si="25"/>
        <v>Only RAKE</v>
      </c>
      <c r="K827" s="32"/>
      <c r="L827" s="32"/>
      <c r="M827" s="32"/>
      <c r="N827" s="32"/>
      <c r="O827" s="32"/>
      <c r="P827" s="32"/>
    </row>
    <row r="828" spans="1:16" x14ac:dyDescent="0.3">
      <c r="A828" s="38">
        <v>827</v>
      </c>
      <c r="B828" s="39" t="s">
        <v>564</v>
      </c>
      <c r="C828" s="30"/>
      <c r="D828" s="30" t="s">
        <v>1282</v>
      </c>
      <c r="E828" s="30"/>
      <c r="F828" s="38" t="s">
        <v>566</v>
      </c>
      <c r="G828" s="40" t="s">
        <v>570</v>
      </c>
      <c r="H828" s="38">
        <f t="shared" si="24"/>
        <v>1</v>
      </c>
      <c r="I828" s="41" t="str">
        <f t="shared" si="25"/>
        <v>Only RAKE</v>
      </c>
      <c r="K828" s="32"/>
      <c r="L828" s="32"/>
      <c r="M828" s="32"/>
      <c r="N828" s="32"/>
      <c r="O828" s="32"/>
      <c r="P828" s="32"/>
    </row>
    <row r="829" spans="1:16" x14ac:dyDescent="0.3">
      <c r="A829" s="38">
        <v>828</v>
      </c>
      <c r="B829" s="39" t="s">
        <v>564</v>
      </c>
      <c r="C829" s="30"/>
      <c r="D829" s="30" t="s">
        <v>1283</v>
      </c>
      <c r="E829" s="30"/>
      <c r="F829" s="38" t="s">
        <v>566</v>
      </c>
      <c r="G829" s="40" t="s">
        <v>570</v>
      </c>
      <c r="H829" s="38">
        <f t="shared" si="24"/>
        <v>1</v>
      </c>
      <c r="I829" s="41" t="str">
        <f t="shared" si="25"/>
        <v>Only RAKE</v>
      </c>
      <c r="K829" s="32"/>
      <c r="L829" s="32"/>
      <c r="M829" s="32"/>
      <c r="N829" s="32"/>
      <c r="O829" s="32"/>
      <c r="P829" s="32"/>
    </row>
    <row r="830" spans="1:16" x14ac:dyDescent="0.3">
      <c r="A830" s="38">
        <v>829</v>
      </c>
      <c r="B830" s="39" t="s">
        <v>564</v>
      </c>
      <c r="C830" s="30"/>
      <c r="D830" s="30"/>
      <c r="E830" s="30" t="s">
        <v>1284</v>
      </c>
      <c r="F830" s="38" t="s">
        <v>566</v>
      </c>
      <c r="G830" s="40" t="s">
        <v>570</v>
      </c>
      <c r="H830" s="38">
        <f t="shared" si="24"/>
        <v>1</v>
      </c>
      <c r="I830" s="41" t="str">
        <f t="shared" si="25"/>
        <v>Only YAKE</v>
      </c>
      <c r="K830" s="32"/>
      <c r="L830" s="32"/>
      <c r="M830" s="32"/>
      <c r="N830" s="32"/>
      <c r="O830" s="32"/>
      <c r="P830" s="32"/>
    </row>
    <row r="831" spans="1:16" x14ac:dyDescent="0.3">
      <c r="A831" s="38">
        <v>830</v>
      </c>
      <c r="B831" s="39" t="s">
        <v>564</v>
      </c>
      <c r="C831" s="30"/>
      <c r="D831" s="30"/>
      <c r="E831" s="30" t="s">
        <v>1285</v>
      </c>
      <c r="F831" s="38" t="s">
        <v>566</v>
      </c>
      <c r="G831" s="40" t="s">
        <v>570</v>
      </c>
      <c r="H831" s="38">
        <f t="shared" si="24"/>
        <v>1</v>
      </c>
      <c r="I831" s="41" t="str">
        <f t="shared" si="25"/>
        <v>Only YAKE</v>
      </c>
      <c r="K831" s="32"/>
      <c r="L831" s="32"/>
      <c r="M831" s="32"/>
      <c r="N831" s="32"/>
      <c r="O831" s="32"/>
      <c r="P831" s="32"/>
    </row>
    <row r="832" spans="1:16" x14ac:dyDescent="0.3">
      <c r="A832" s="38">
        <v>831</v>
      </c>
      <c r="B832" s="39" t="s">
        <v>564</v>
      </c>
      <c r="C832" s="30" t="s">
        <v>1286</v>
      </c>
      <c r="D832" s="30"/>
      <c r="E832" s="30"/>
      <c r="F832" s="38" t="s">
        <v>566</v>
      </c>
      <c r="G832" s="40" t="s">
        <v>570</v>
      </c>
      <c r="H832" s="38">
        <f t="shared" si="24"/>
        <v>1</v>
      </c>
      <c r="I832" s="41" t="str">
        <f t="shared" si="25"/>
        <v>Only Gemini</v>
      </c>
      <c r="K832" s="32"/>
      <c r="L832" s="32"/>
      <c r="M832" s="32"/>
      <c r="N832" s="32"/>
      <c r="O832" s="32"/>
      <c r="P832" s="32"/>
    </row>
    <row r="833" spans="1:16" x14ac:dyDescent="0.3">
      <c r="A833" s="38">
        <v>832</v>
      </c>
      <c r="B833" s="39" t="s">
        <v>564</v>
      </c>
      <c r="C833" s="30"/>
      <c r="D833" s="30"/>
      <c r="E833" s="30" t="s">
        <v>1287</v>
      </c>
      <c r="F833" s="38" t="s">
        <v>566</v>
      </c>
      <c r="G833" s="40" t="s">
        <v>570</v>
      </c>
      <c r="H833" s="38">
        <f t="shared" si="24"/>
        <v>1</v>
      </c>
      <c r="I833" s="41" t="str">
        <f t="shared" si="25"/>
        <v>Only YAKE</v>
      </c>
      <c r="K833" s="32"/>
      <c r="L833" s="32"/>
      <c r="M833" s="32"/>
      <c r="N833" s="32"/>
      <c r="O833" s="32"/>
      <c r="P833" s="32"/>
    </row>
    <row r="834" spans="1:16" x14ac:dyDescent="0.3">
      <c r="A834" s="38">
        <v>833</v>
      </c>
      <c r="B834" s="39" t="s">
        <v>564</v>
      </c>
      <c r="C834" s="30"/>
      <c r="D834" s="30" t="s">
        <v>1288</v>
      </c>
      <c r="E834" s="30"/>
      <c r="F834" s="38" t="s">
        <v>566</v>
      </c>
      <c r="G834" s="40" t="s">
        <v>570</v>
      </c>
      <c r="H834" s="38">
        <f t="shared" ref="H834:H897" si="26">COUNTIF(C834:E834,"?*")</f>
        <v>1</v>
      </c>
      <c r="I834" s="41" t="str">
        <f t="shared" ref="I834:I897" si="27">IF(H834=0,"None",IF(H834=3,"All three",IF(H834=1,"Only "&amp;TRIM(IF(C834&lt;&gt;"","Gemini ","")&amp;IF(D834&lt;&gt;"","RAKE ","")&amp;IF(E834&lt;&gt;"","YAKE","")),SUBSTITUTE(TRIM(IF(C834&lt;&gt;"","Gemini ","")&amp;IF(D834&lt;&gt;"","RAKE ","")&amp;IF(E834&lt;&gt;"","YAKE",""))," "," + "))))</f>
        <v>Only RAKE</v>
      </c>
      <c r="K834" s="32"/>
      <c r="L834" s="32"/>
      <c r="M834" s="32"/>
      <c r="N834" s="32"/>
      <c r="O834" s="32"/>
      <c r="P834" s="32"/>
    </row>
    <row r="835" spans="1:16" x14ac:dyDescent="0.3">
      <c r="A835" s="38">
        <v>834</v>
      </c>
      <c r="B835" s="39" t="s">
        <v>564</v>
      </c>
      <c r="C835" s="30"/>
      <c r="D835" s="30" t="s">
        <v>1289</v>
      </c>
      <c r="E835" s="30"/>
      <c r="F835" s="38" t="s">
        <v>566</v>
      </c>
      <c r="G835" s="40" t="s">
        <v>570</v>
      </c>
      <c r="H835" s="38">
        <f t="shared" si="26"/>
        <v>1</v>
      </c>
      <c r="I835" s="41" t="str">
        <f t="shared" si="27"/>
        <v>Only RAKE</v>
      </c>
      <c r="K835" s="32"/>
      <c r="L835" s="32"/>
      <c r="M835" s="32"/>
      <c r="N835" s="32"/>
      <c r="O835" s="32"/>
      <c r="P835" s="32"/>
    </row>
    <row r="836" spans="1:16" x14ac:dyDescent="0.3">
      <c r="A836" s="38">
        <v>835</v>
      </c>
      <c r="B836" s="39" t="s">
        <v>564</v>
      </c>
      <c r="C836" s="30"/>
      <c r="D836" s="30" t="s">
        <v>1290</v>
      </c>
      <c r="E836" s="30"/>
      <c r="F836" s="38" t="s">
        <v>566</v>
      </c>
      <c r="G836" s="40" t="s">
        <v>570</v>
      </c>
      <c r="H836" s="38">
        <f t="shared" si="26"/>
        <v>1</v>
      </c>
      <c r="I836" s="41" t="str">
        <f t="shared" si="27"/>
        <v>Only RAKE</v>
      </c>
      <c r="K836" s="32"/>
      <c r="L836" s="32"/>
      <c r="M836" s="32"/>
      <c r="N836" s="32"/>
      <c r="O836" s="32"/>
      <c r="P836" s="32"/>
    </row>
    <row r="837" spans="1:16" x14ac:dyDescent="0.3">
      <c r="A837" s="38">
        <v>836</v>
      </c>
      <c r="B837" s="39" t="s">
        <v>564</v>
      </c>
      <c r="C837" s="30" t="s">
        <v>1291</v>
      </c>
      <c r="D837" s="30"/>
      <c r="E837" s="30"/>
      <c r="F837" s="38" t="s">
        <v>566</v>
      </c>
      <c r="G837" s="40" t="s">
        <v>808</v>
      </c>
      <c r="H837" s="38">
        <f t="shared" si="26"/>
        <v>1</v>
      </c>
      <c r="I837" s="41" t="str">
        <f t="shared" si="27"/>
        <v>Only Gemini</v>
      </c>
      <c r="K837" s="32"/>
      <c r="L837" s="32"/>
      <c r="M837" s="32"/>
      <c r="N837" s="32"/>
      <c r="O837" s="32"/>
      <c r="P837" s="32"/>
    </row>
    <row r="838" spans="1:16" x14ac:dyDescent="0.3">
      <c r="A838" s="38">
        <v>837</v>
      </c>
      <c r="B838" s="39" t="s">
        <v>564</v>
      </c>
      <c r="C838" s="30" t="s">
        <v>1292</v>
      </c>
      <c r="D838" s="30"/>
      <c r="E838" s="30"/>
      <c r="F838" s="38" t="s">
        <v>566</v>
      </c>
      <c r="G838" s="40" t="s">
        <v>570</v>
      </c>
      <c r="H838" s="38">
        <f t="shared" si="26"/>
        <v>1</v>
      </c>
      <c r="I838" s="41" t="str">
        <f t="shared" si="27"/>
        <v>Only Gemini</v>
      </c>
      <c r="K838" s="32"/>
      <c r="L838" s="32"/>
      <c r="M838" s="32"/>
      <c r="N838" s="32"/>
      <c r="O838" s="32"/>
      <c r="P838" s="32"/>
    </row>
    <row r="839" spans="1:16" x14ac:dyDescent="0.3">
      <c r="A839" s="38">
        <v>838</v>
      </c>
      <c r="B839" s="39" t="s">
        <v>564</v>
      </c>
      <c r="C839" s="30" t="s">
        <v>1293</v>
      </c>
      <c r="D839" s="30"/>
      <c r="E839" s="30"/>
      <c r="F839" s="38" t="s">
        <v>566</v>
      </c>
      <c r="G839" s="40" t="s">
        <v>570</v>
      </c>
      <c r="H839" s="38">
        <f t="shared" si="26"/>
        <v>1</v>
      </c>
      <c r="I839" s="41" t="str">
        <f t="shared" si="27"/>
        <v>Only Gemini</v>
      </c>
      <c r="K839" s="32"/>
      <c r="L839" s="32"/>
      <c r="M839" s="32"/>
      <c r="N839" s="32"/>
      <c r="O839" s="32"/>
      <c r="P839" s="32"/>
    </row>
    <row r="840" spans="1:16" x14ac:dyDescent="0.3">
      <c r="A840" s="38">
        <v>839</v>
      </c>
      <c r="B840" s="39" t="s">
        <v>564</v>
      </c>
      <c r="C840" s="30" t="s">
        <v>1294</v>
      </c>
      <c r="D840" s="30"/>
      <c r="E840" s="30"/>
      <c r="F840" s="38" t="s">
        <v>566</v>
      </c>
      <c r="G840" s="40" t="s">
        <v>570</v>
      </c>
      <c r="H840" s="38">
        <f t="shared" si="26"/>
        <v>1</v>
      </c>
      <c r="I840" s="41" t="str">
        <f t="shared" si="27"/>
        <v>Only Gemini</v>
      </c>
      <c r="K840" s="32"/>
      <c r="L840" s="32"/>
      <c r="M840" s="32"/>
      <c r="N840" s="32"/>
      <c r="O840" s="32"/>
      <c r="P840" s="32"/>
    </row>
    <row r="841" spans="1:16" x14ac:dyDescent="0.3">
      <c r="A841" s="38">
        <v>840</v>
      </c>
      <c r="B841" s="39" t="s">
        <v>564</v>
      </c>
      <c r="C841" s="30" t="s">
        <v>1295</v>
      </c>
      <c r="D841" s="30"/>
      <c r="E841" s="30"/>
      <c r="F841" s="38" t="s">
        <v>566</v>
      </c>
      <c r="G841" s="40" t="s">
        <v>570</v>
      </c>
      <c r="H841" s="38">
        <f t="shared" si="26"/>
        <v>1</v>
      </c>
      <c r="I841" s="41" t="str">
        <f t="shared" si="27"/>
        <v>Only Gemini</v>
      </c>
      <c r="K841" s="32"/>
      <c r="L841" s="32"/>
      <c r="M841" s="32"/>
      <c r="N841" s="32"/>
      <c r="O841" s="32"/>
      <c r="P841" s="32"/>
    </row>
    <row r="842" spans="1:16" x14ac:dyDescent="0.3">
      <c r="A842" s="38">
        <v>841</v>
      </c>
      <c r="B842" s="39" t="s">
        <v>564</v>
      </c>
      <c r="C842" s="30"/>
      <c r="D842" s="30"/>
      <c r="E842" s="30" t="s">
        <v>1296</v>
      </c>
      <c r="F842" s="38" t="s">
        <v>566</v>
      </c>
      <c r="G842" s="40" t="s">
        <v>570</v>
      </c>
      <c r="H842" s="38">
        <f t="shared" si="26"/>
        <v>1</v>
      </c>
      <c r="I842" s="41" t="str">
        <f t="shared" si="27"/>
        <v>Only YAKE</v>
      </c>
      <c r="K842" s="32"/>
      <c r="L842" s="32"/>
      <c r="M842" s="32"/>
      <c r="N842" s="32"/>
      <c r="O842" s="32"/>
      <c r="P842" s="32"/>
    </row>
    <row r="843" spans="1:16" x14ac:dyDescent="0.3">
      <c r="A843" s="38">
        <v>842</v>
      </c>
      <c r="B843" s="39" t="s">
        <v>564</v>
      </c>
      <c r="C843" s="30"/>
      <c r="D843" s="30" t="s">
        <v>1297</v>
      </c>
      <c r="E843" s="30"/>
      <c r="F843" s="38" t="s">
        <v>566</v>
      </c>
      <c r="G843" s="40" t="s">
        <v>808</v>
      </c>
      <c r="H843" s="38">
        <f t="shared" si="26"/>
        <v>1</v>
      </c>
      <c r="I843" s="41" t="str">
        <f t="shared" si="27"/>
        <v>Only RAKE</v>
      </c>
      <c r="K843" s="32"/>
      <c r="L843" s="32"/>
      <c r="M843" s="32"/>
      <c r="N843" s="32"/>
      <c r="O843" s="32"/>
      <c r="P843" s="32"/>
    </row>
    <row r="844" spans="1:16" x14ac:dyDescent="0.3">
      <c r="A844" s="38">
        <v>843</v>
      </c>
      <c r="B844" s="39" t="s">
        <v>564</v>
      </c>
      <c r="C844" s="30" t="s">
        <v>1298</v>
      </c>
      <c r="D844" s="30"/>
      <c r="E844" s="30"/>
      <c r="F844" s="38" t="s">
        <v>566</v>
      </c>
      <c r="G844" s="40" t="s">
        <v>570</v>
      </c>
      <c r="H844" s="38">
        <f t="shared" si="26"/>
        <v>1</v>
      </c>
      <c r="I844" s="41" t="str">
        <f t="shared" si="27"/>
        <v>Only Gemini</v>
      </c>
      <c r="K844" s="32"/>
      <c r="L844" s="32"/>
      <c r="M844" s="32"/>
      <c r="N844" s="32"/>
      <c r="O844" s="32"/>
      <c r="P844" s="32"/>
    </row>
    <row r="845" spans="1:16" x14ac:dyDescent="0.3">
      <c r="A845" s="38">
        <v>844</v>
      </c>
      <c r="B845" s="39" t="s">
        <v>564</v>
      </c>
      <c r="C845" s="30" t="s">
        <v>1299</v>
      </c>
      <c r="D845" s="30"/>
      <c r="E845" s="30"/>
      <c r="F845" s="38" t="s">
        <v>566</v>
      </c>
      <c r="G845" s="40" t="s">
        <v>570</v>
      </c>
      <c r="H845" s="38">
        <f t="shared" si="26"/>
        <v>1</v>
      </c>
      <c r="I845" s="41" t="str">
        <f t="shared" si="27"/>
        <v>Only Gemini</v>
      </c>
      <c r="K845" s="32"/>
      <c r="L845" s="32"/>
      <c r="M845" s="32"/>
      <c r="N845" s="32"/>
      <c r="O845" s="32"/>
      <c r="P845" s="32"/>
    </row>
    <row r="846" spans="1:16" x14ac:dyDescent="0.3">
      <c r="A846" s="38">
        <v>845</v>
      </c>
      <c r="B846" s="39" t="s">
        <v>564</v>
      </c>
      <c r="C846" s="30" t="s">
        <v>1300</v>
      </c>
      <c r="D846" s="30"/>
      <c r="E846" s="30"/>
      <c r="F846" s="38" t="s">
        <v>566</v>
      </c>
      <c r="G846" s="40" t="s">
        <v>570</v>
      </c>
      <c r="H846" s="38">
        <f t="shared" si="26"/>
        <v>1</v>
      </c>
      <c r="I846" s="41" t="str">
        <f t="shared" si="27"/>
        <v>Only Gemini</v>
      </c>
      <c r="K846" s="32"/>
      <c r="L846" s="32"/>
      <c r="M846" s="32"/>
      <c r="N846" s="32"/>
      <c r="O846" s="32"/>
      <c r="P846" s="32"/>
    </row>
    <row r="847" spans="1:16" x14ac:dyDescent="0.3">
      <c r="A847" s="38">
        <v>846</v>
      </c>
      <c r="B847" s="39" t="s">
        <v>564</v>
      </c>
      <c r="C847" s="30"/>
      <c r="D847" s="30" t="s">
        <v>1301</v>
      </c>
      <c r="E847" s="30"/>
      <c r="F847" s="38" t="s">
        <v>566</v>
      </c>
      <c r="G847" s="40" t="s">
        <v>570</v>
      </c>
      <c r="H847" s="38">
        <f t="shared" si="26"/>
        <v>1</v>
      </c>
      <c r="I847" s="41" t="str">
        <f t="shared" si="27"/>
        <v>Only RAKE</v>
      </c>
      <c r="K847" s="32"/>
      <c r="L847" s="32"/>
      <c r="M847" s="32"/>
      <c r="N847" s="32"/>
      <c r="O847" s="32"/>
      <c r="P847" s="32"/>
    </row>
    <row r="848" spans="1:16" x14ac:dyDescent="0.3">
      <c r="A848" s="38">
        <v>847</v>
      </c>
      <c r="B848" s="39" t="s">
        <v>564</v>
      </c>
      <c r="C848" s="30"/>
      <c r="D848" s="30" t="s">
        <v>1302</v>
      </c>
      <c r="E848" s="30"/>
      <c r="F848" s="38" t="s">
        <v>566</v>
      </c>
      <c r="G848" s="40" t="s">
        <v>570</v>
      </c>
      <c r="H848" s="38">
        <f t="shared" si="26"/>
        <v>1</v>
      </c>
      <c r="I848" s="41" t="str">
        <f t="shared" si="27"/>
        <v>Only RAKE</v>
      </c>
      <c r="K848" s="32"/>
      <c r="L848" s="32"/>
      <c r="M848" s="32"/>
      <c r="N848" s="32"/>
      <c r="O848" s="32"/>
      <c r="P848" s="32"/>
    </row>
    <row r="849" spans="1:16" x14ac:dyDescent="0.3">
      <c r="A849" s="38">
        <v>848</v>
      </c>
      <c r="B849" s="39" t="s">
        <v>564</v>
      </c>
      <c r="C849" s="30"/>
      <c r="D849" s="30"/>
      <c r="E849" s="30" t="s">
        <v>1303</v>
      </c>
      <c r="F849" s="38" t="s">
        <v>566</v>
      </c>
      <c r="G849" s="40" t="s">
        <v>570</v>
      </c>
      <c r="H849" s="38">
        <f t="shared" si="26"/>
        <v>1</v>
      </c>
      <c r="I849" s="41" t="str">
        <f t="shared" si="27"/>
        <v>Only YAKE</v>
      </c>
      <c r="K849" s="32"/>
      <c r="L849" s="32"/>
      <c r="M849" s="32"/>
      <c r="N849" s="32"/>
      <c r="O849" s="32"/>
      <c r="P849" s="32"/>
    </row>
    <row r="850" spans="1:16" x14ac:dyDescent="0.3">
      <c r="A850" s="38">
        <v>849</v>
      </c>
      <c r="B850" s="39" t="s">
        <v>564</v>
      </c>
      <c r="C850" s="30"/>
      <c r="D850" s="30"/>
      <c r="E850" s="30" t="s">
        <v>1304</v>
      </c>
      <c r="F850" s="38" t="s">
        <v>566</v>
      </c>
      <c r="G850" s="40" t="s">
        <v>570</v>
      </c>
      <c r="H850" s="38">
        <f t="shared" si="26"/>
        <v>1</v>
      </c>
      <c r="I850" s="41" t="str">
        <f t="shared" si="27"/>
        <v>Only YAKE</v>
      </c>
      <c r="K850" s="32"/>
      <c r="L850" s="32"/>
      <c r="M850" s="32"/>
      <c r="N850" s="32"/>
      <c r="O850" s="32"/>
      <c r="P850" s="32"/>
    </row>
    <row r="851" spans="1:16" x14ac:dyDescent="0.3">
      <c r="A851" s="38">
        <v>850</v>
      </c>
      <c r="B851" s="39" t="s">
        <v>564</v>
      </c>
      <c r="C851" s="30"/>
      <c r="D851" s="30" t="s">
        <v>1305</v>
      </c>
      <c r="E851" s="30"/>
      <c r="F851" s="38" t="s">
        <v>566</v>
      </c>
      <c r="G851" s="40" t="s">
        <v>570</v>
      </c>
      <c r="H851" s="38">
        <f t="shared" si="26"/>
        <v>1</v>
      </c>
      <c r="I851" s="41" t="str">
        <f t="shared" si="27"/>
        <v>Only RAKE</v>
      </c>
      <c r="K851" s="32"/>
      <c r="L851" s="32"/>
      <c r="M851" s="32"/>
      <c r="N851" s="32"/>
      <c r="O851" s="32"/>
      <c r="P851" s="32"/>
    </row>
    <row r="852" spans="1:16" x14ac:dyDescent="0.3">
      <c r="A852" s="38">
        <v>851</v>
      </c>
      <c r="B852" s="39" t="s">
        <v>564</v>
      </c>
      <c r="C852" s="30"/>
      <c r="D852" s="30"/>
      <c r="E852" s="30" t="s">
        <v>1306</v>
      </c>
      <c r="F852" s="38" t="s">
        <v>566</v>
      </c>
      <c r="G852" s="40" t="s">
        <v>570</v>
      </c>
      <c r="H852" s="38">
        <f t="shared" si="26"/>
        <v>1</v>
      </c>
      <c r="I852" s="41" t="str">
        <f t="shared" si="27"/>
        <v>Only YAKE</v>
      </c>
      <c r="K852" s="32"/>
      <c r="L852" s="32"/>
      <c r="M852" s="32"/>
      <c r="N852" s="32"/>
      <c r="O852" s="32"/>
      <c r="P852" s="32"/>
    </row>
    <row r="853" spans="1:16" x14ac:dyDescent="0.3">
      <c r="A853" s="38">
        <v>852</v>
      </c>
      <c r="B853" s="39" t="s">
        <v>564</v>
      </c>
      <c r="C853" s="30"/>
      <c r="D853" s="30"/>
      <c r="E853" s="30" t="s">
        <v>1307</v>
      </c>
      <c r="F853" s="38" t="s">
        <v>566</v>
      </c>
      <c r="G853" s="40" t="s">
        <v>570</v>
      </c>
      <c r="H853" s="38">
        <f t="shared" si="26"/>
        <v>1</v>
      </c>
      <c r="I853" s="41" t="str">
        <f t="shared" si="27"/>
        <v>Only YAKE</v>
      </c>
      <c r="K853" s="32"/>
      <c r="L853" s="32"/>
      <c r="M853" s="32"/>
      <c r="N853" s="32"/>
      <c r="O853" s="32"/>
      <c r="P853" s="32"/>
    </row>
    <row r="854" spans="1:16" x14ac:dyDescent="0.3">
      <c r="A854" s="38">
        <v>853</v>
      </c>
      <c r="B854" s="39" t="s">
        <v>564</v>
      </c>
      <c r="C854" s="30"/>
      <c r="D854" s="30" t="s">
        <v>1308</v>
      </c>
      <c r="E854" s="30"/>
      <c r="F854" s="38" t="s">
        <v>566</v>
      </c>
      <c r="G854" s="40" t="s">
        <v>570</v>
      </c>
      <c r="H854" s="38">
        <f t="shared" si="26"/>
        <v>1</v>
      </c>
      <c r="I854" s="41" t="str">
        <f t="shared" si="27"/>
        <v>Only RAKE</v>
      </c>
      <c r="K854" s="32"/>
      <c r="L854" s="32"/>
      <c r="M854" s="32"/>
      <c r="N854" s="32"/>
      <c r="O854" s="32"/>
      <c r="P854" s="32"/>
    </row>
    <row r="855" spans="1:16" x14ac:dyDescent="0.3">
      <c r="A855" s="38">
        <v>854</v>
      </c>
      <c r="B855" s="39" t="s">
        <v>564</v>
      </c>
      <c r="C855" s="30"/>
      <c r="D855" s="30" t="s">
        <v>1309</v>
      </c>
      <c r="E855" s="30"/>
      <c r="F855" s="38" t="s">
        <v>566</v>
      </c>
      <c r="G855" s="40" t="s">
        <v>570</v>
      </c>
      <c r="H855" s="38">
        <f t="shared" si="26"/>
        <v>1</v>
      </c>
      <c r="I855" s="41" t="str">
        <f t="shared" si="27"/>
        <v>Only RAKE</v>
      </c>
      <c r="K855" s="32"/>
      <c r="L855" s="32"/>
      <c r="M855" s="32"/>
      <c r="N855" s="32"/>
      <c r="O855" s="32"/>
      <c r="P855" s="32"/>
    </row>
    <row r="856" spans="1:16" x14ac:dyDescent="0.3">
      <c r="A856" s="38">
        <v>855</v>
      </c>
      <c r="B856" s="39" t="s">
        <v>564</v>
      </c>
      <c r="C856" s="30"/>
      <c r="D856" s="30"/>
      <c r="E856" s="30" t="s">
        <v>1310</v>
      </c>
      <c r="F856" s="38" t="s">
        <v>566</v>
      </c>
      <c r="G856" s="40" t="s">
        <v>570</v>
      </c>
      <c r="H856" s="38">
        <f t="shared" si="26"/>
        <v>1</v>
      </c>
      <c r="I856" s="41" t="str">
        <f t="shared" si="27"/>
        <v>Only YAKE</v>
      </c>
      <c r="K856" s="32"/>
      <c r="L856" s="32"/>
      <c r="M856" s="32"/>
      <c r="N856" s="32"/>
      <c r="O856" s="32"/>
      <c r="P856" s="32"/>
    </row>
    <row r="857" spans="1:16" x14ac:dyDescent="0.3">
      <c r="A857" s="38">
        <v>856</v>
      </c>
      <c r="B857" s="39" t="s">
        <v>564</v>
      </c>
      <c r="C857" s="30"/>
      <c r="D857" s="30" t="s">
        <v>1311</v>
      </c>
      <c r="E857" s="30"/>
      <c r="F857" s="38" t="s">
        <v>566</v>
      </c>
      <c r="G857" s="40" t="s">
        <v>570</v>
      </c>
      <c r="H857" s="38">
        <f t="shared" si="26"/>
        <v>1</v>
      </c>
      <c r="I857" s="41" t="str">
        <f t="shared" si="27"/>
        <v>Only RAKE</v>
      </c>
      <c r="K857" s="32"/>
      <c r="L857" s="32"/>
      <c r="M857" s="32"/>
      <c r="N857" s="32"/>
      <c r="O857" s="32"/>
      <c r="P857" s="32"/>
    </row>
    <row r="858" spans="1:16" x14ac:dyDescent="0.3">
      <c r="A858" s="38">
        <v>857</v>
      </c>
      <c r="B858" s="39" t="s">
        <v>564</v>
      </c>
      <c r="C858" s="30"/>
      <c r="D858" s="30"/>
      <c r="E858" s="30" t="s">
        <v>1312</v>
      </c>
      <c r="F858" s="38" t="s">
        <v>566</v>
      </c>
      <c r="G858" s="40" t="s">
        <v>570</v>
      </c>
      <c r="H858" s="38">
        <f t="shared" si="26"/>
        <v>1</v>
      </c>
      <c r="I858" s="41" t="str">
        <f t="shared" si="27"/>
        <v>Only YAKE</v>
      </c>
      <c r="K858" s="32"/>
      <c r="L858" s="32"/>
      <c r="M858" s="32"/>
      <c r="N858" s="32"/>
      <c r="O858" s="32"/>
      <c r="P858" s="32"/>
    </row>
    <row r="859" spans="1:16" x14ac:dyDescent="0.3">
      <c r="A859" s="38">
        <v>858</v>
      </c>
      <c r="B859" s="39" t="s">
        <v>564</v>
      </c>
      <c r="C859" s="30"/>
      <c r="D859" s="30" t="s">
        <v>1313</v>
      </c>
      <c r="E859" s="30"/>
      <c r="F859" s="38" t="s">
        <v>566</v>
      </c>
      <c r="G859" s="40" t="s">
        <v>570</v>
      </c>
      <c r="H859" s="38">
        <f t="shared" si="26"/>
        <v>1</v>
      </c>
      <c r="I859" s="41" t="str">
        <f t="shared" si="27"/>
        <v>Only RAKE</v>
      </c>
      <c r="K859" s="32"/>
      <c r="L859" s="32"/>
      <c r="M859" s="32"/>
      <c r="N859" s="32"/>
      <c r="O859" s="32"/>
      <c r="P859" s="32"/>
    </row>
    <row r="860" spans="1:16" x14ac:dyDescent="0.3">
      <c r="A860" s="38">
        <v>859</v>
      </c>
      <c r="B860" s="39" t="s">
        <v>564</v>
      </c>
      <c r="C860" s="30"/>
      <c r="D860" s="30" t="s">
        <v>1314</v>
      </c>
      <c r="E860" s="30"/>
      <c r="F860" s="38" t="s">
        <v>566</v>
      </c>
      <c r="G860" s="40" t="s">
        <v>570</v>
      </c>
      <c r="H860" s="38">
        <f t="shared" si="26"/>
        <v>1</v>
      </c>
      <c r="I860" s="41" t="str">
        <f t="shared" si="27"/>
        <v>Only RAKE</v>
      </c>
      <c r="K860" s="32"/>
      <c r="L860" s="32"/>
      <c r="M860" s="32"/>
      <c r="N860" s="32"/>
      <c r="O860" s="32"/>
      <c r="P860" s="32"/>
    </row>
    <row r="861" spans="1:16" x14ac:dyDescent="0.3">
      <c r="A861" s="38">
        <v>860</v>
      </c>
      <c r="B861" s="39" t="s">
        <v>564</v>
      </c>
      <c r="C861" s="30"/>
      <c r="D861" s="30"/>
      <c r="E861" s="30" t="s">
        <v>1315</v>
      </c>
      <c r="F861" s="38" t="s">
        <v>566</v>
      </c>
      <c r="G861" s="40" t="s">
        <v>570</v>
      </c>
      <c r="H861" s="38">
        <f t="shared" si="26"/>
        <v>1</v>
      </c>
      <c r="I861" s="41" t="str">
        <f t="shared" si="27"/>
        <v>Only YAKE</v>
      </c>
      <c r="K861" s="32"/>
      <c r="L861" s="32"/>
      <c r="M861" s="32"/>
      <c r="N861" s="32"/>
      <c r="O861" s="32"/>
      <c r="P861" s="32"/>
    </row>
    <row r="862" spans="1:16" x14ac:dyDescent="0.3">
      <c r="A862" s="38">
        <v>861</v>
      </c>
      <c r="B862" s="39" t="s">
        <v>564</v>
      </c>
      <c r="C862" s="30"/>
      <c r="D862" s="30" t="s">
        <v>1316</v>
      </c>
      <c r="E862" s="30"/>
      <c r="F862" s="38" t="s">
        <v>566</v>
      </c>
      <c r="G862" s="40" t="s">
        <v>570</v>
      </c>
      <c r="H862" s="38">
        <f t="shared" si="26"/>
        <v>1</v>
      </c>
      <c r="I862" s="41" t="str">
        <f t="shared" si="27"/>
        <v>Only RAKE</v>
      </c>
      <c r="K862" s="32"/>
      <c r="L862" s="32"/>
      <c r="M862" s="32"/>
      <c r="N862" s="32"/>
      <c r="O862" s="32"/>
      <c r="P862" s="32"/>
    </row>
    <row r="863" spans="1:16" x14ac:dyDescent="0.3">
      <c r="A863" s="38">
        <v>862</v>
      </c>
      <c r="B863" s="39" t="s">
        <v>564</v>
      </c>
      <c r="C863" s="30"/>
      <c r="D863" s="30" t="s">
        <v>1317</v>
      </c>
      <c r="E863" s="30"/>
      <c r="F863" s="38" t="s">
        <v>566</v>
      </c>
      <c r="G863" s="40" t="s">
        <v>570</v>
      </c>
      <c r="H863" s="38">
        <f t="shared" si="26"/>
        <v>1</v>
      </c>
      <c r="I863" s="41" t="str">
        <f t="shared" si="27"/>
        <v>Only RAKE</v>
      </c>
      <c r="K863" s="32"/>
      <c r="L863" s="32"/>
      <c r="M863" s="32"/>
      <c r="N863" s="32"/>
      <c r="O863" s="32"/>
      <c r="P863" s="32"/>
    </row>
    <row r="864" spans="1:16" x14ac:dyDescent="0.3">
      <c r="A864" s="38">
        <v>863</v>
      </c>
      <c r="B864" s="39" t="s">
        <v>564</v>
      </c>
      <c r="C864" s="30"/>
      <c r="D864" s="30" t="s">
        <v>1318</v>
      </c>
      <c r="E864" s="30"/>
      <c r="F864" s="38" t="s">
        <v>566</v>
      </c>
      <c r="G864" s="40" t="s">
        <v>570</v>
      </c>
      <c r="H864" s="38">
        <f t="shared" si="26"/>
        <v>1</v>
      </c>
      <c r="I864" s="41" t="str">
        <f t="shared" si="27"/>
        <v>Only RAKE</v>
      </c>
      <c r="K864" s="32"/>
      <c r="L864" s="32"/>
      <c r="M864" s="32"/>
      <c r="N864" s="32"/>
      <c r="O864" s="32"/>
      <c r="P864" s="32"/>
    </row>
    <row r="865" spans="1:16" x14ac:dyDescent="0.3">
      <c r="A865" s="38">
        <v>864</v>
      </c>
      <c r="B865" s="39" t="s">
        <v>564</v>
      </c>
      <c r="C865" s="30"/>
      <c r="D865" s="30" t="s">
        <v>1319</v>
      </c>
      <c r="E865" s="30"/>
      <c r="F865" s="38" t="s">
        <v>566</v>
      </c>
      <c r="G865" s="40" t="s">
        <v>570</v>
      </c>
      <c r="H865" s="38">
        <f t="shared" si="26"/>
        <v>1</v>
      </c>
      <c r="I865" s="41" t="str">
        <f t="shared" si="27"/>
        <v>Only RAKE</v>
      </c>
      <c r="K865" s="32"/>
      <c r="L865" s="32"/>
      <c r="M865" s="32"/>
      <c r="N865" s="32"/>
      <c r="O865" s="32"/>
      <c r="P865" s="32"/>
    </row>
    <row r="866" spans="1:16" x14ac:dyDescent="0.3">
      <c r="A866" s="38">
        <v>865</v>
      </c>
      <c r="B866" s="39" t="s">
        <v>564</v>
      </c>
      <c r="C866" s="30"/>
      <c r="D866" s="30" t="s">
        <v>1320</v>
      </c>
      <c r="E866" s="30"/>
      <c r="F866" s="38" t="s">
        <v>566</v>
      </c>
      <c r="G866" s="40" t="s">
        <v>570</v>
      </c>
      <c r="H866" s="38">
        <f t="shared" si="26"/>
        <v>1</v>
      </c>
      <c r="I866" s="41" t="str">
        <f t="shared" si="27"/>
        <v>Only RAKE</v>
      </c>
      <c r="K866" s="32"/>
      <c r="L866" s="32"/>
      <c r="M866" s="32"/>
      <c r="N866" s="32"/>
      <c r="O866" s="32"/>
      <c r="P866" s="32"/>
    </row>
    <row r="867" spans="1:16" x14ac:dyDescent="0.3">
      <c r="A867" s="38">
        <v>866</v>
      </c>
      <c r="B867" s="39" t="s">
        <v>564</v>
      </c>
      <c r="C867" s="30"/>
      <c r="D867" s="30" t="s">
        <v>1321</v>
      </c>
      <c r="E867" s="30"/>
      <c r="F867" s="38" t="s">
        <v>566</v>
      </c>
      <c r="G867" s="40" t="s">
        <v>570</v>
      </c>
      <c r="H867" s="38">
        <f t="shared" si="26"/>
        <v>1</v>
      </c>
      <c r="I867" s="41" t="str">
        <f t="shared" si="27"/>
        <v>Only RAKE</v>
      </c>
      <c r="K867" s="32"/>
      <c r="L867" s="32"/>
      <c r="M867" s="32"/>
      <c r="N867" s="32"/>
      <c r="O867" s="32"/>
      <c r="P867" s="32"/>
    </row>
    <row r="868" spans="1:16" x14ac:dyDescent="0.3">
      <c r="A868" s="38">
        <v>867</v>
      </c>
      <c r="B868" s="39" t="s">
        <v>564</v>
      </c>
      <c r="C868" s="30"/>
      <c r="D868" s="30" t="s">
        <v>1322</v>
      </c>
      <c r="E868" s="30"/>
      <c r="F868" s="38" t="s">
        <v>566</v>
      </c>
      <c r="G868" s="40" t="s">
        <v>570</v>
      </c>
      <c r="H868" s="38">
        <f t="shared" si="26"/>
        <v>1</v>
      </c>
      <c r="I868" s="41" t="str">
        <f t="shared" si="27"/>
        <v>Only RAKE</v>
      </c>
      <c r="K868" s="32"/>
      <c r="L868" s="32"/>
      <c r="M868" s="32"/>
      <c r="N868" s="32"/>
      <c r="O868" s="32"/>
      <c r="P868" s="32"/>
    </row>
    <row r="869" spans="1:16" x14ac:dyDescent="0.3">
      <c r="A869" s="38">
        <v>868</v>
      </c>
      <c r="B869" s="39" t="s">
        <v>564</v>
      </c>
      <c r="C869" s="30"/>
      <c r="D869" s="30" t="s">
        <v>1323</v>
      </c>
      <c r="E869" s="30"/>
      <c r="F869" s="38" t="s">
        <v>566</v>
      </c>
      <c r="G869" s="40" t="s">
        <v>570</v>
      </c>
      <c r="H869" s="38">
        <f t="shared" si="26"/>
        <v>1</v>
      </c>
      <c r="I869" s="41" t="str">
        <f t="shared" si="27"/>
        <v>Only RAKE</v>
      </c>
      <c r="K869" s="32"/>
      <c r="L869" s="32"/>
      <c r="M869" s="32"/>
      <c r="N869" s="32"/>
      <c r="O869" s="32"/>
      <c r="P869" s="32"/>
    </row>
    <row r="870" spans="1:16" x14ac:dyDescent="0.3">
      <c r="A870" s="38">
        <v>869</v>
      </c>
      <c r="B870" s="39" t="s">
        <v>564</v>
      </c>
      <c r="C870" s="30"/>
      <c r="D870" s="30" t="s">
        <v>1324</v>
      </c>
      <c r="E870" s="30"/>
      <c r="F870" s="38" t="s">
        <v>566</v>
      </c>
      <c r="G870" s="40" t="s">
        <v>570</v>
      </c>
      <c r="H870" s="38">
        <f t="shared" si="26"/>
        <v>1</v>
      </c>
      <c r="I870" s="41" t="str">
        <f t="shared" si="27"/>
        <v>Only RAKE</v>
      </c>
      <c r="K870" s="32"/>
      <c r="L870" s="32"/>
      <c r="M870" s="32"/>
      <c r="N870" s="32"/>
      <c r="O870" s="32"/>
      <c r="P870" s="32"/>
    </row>
    <row r="871" spans="1:16" x14ac:dyDescent="0.3">
      <c r="A871" s="38">
        <v>870</v>
      </c>
      <c r="B871" s="39" t="s">
        <v>564</v>
      </c>
      <c r="C871" s="30"/>
      <c r="D871" s="30" t="s">
        <v>1325</v>
      </c>
      <c r="E871" s="30"/>
      <c r="F871" s="38" t="s">
        <v>566</v>
      </c>
      <c r="G871" s="40" t="s">
        <v>570</v>
      </c>
      <c r="H871" s="38">
        <f t="shared" si="26"/>
        <v>1</v>
      </c>
      <c r="I871" s="41" t="str">
        <f t="shared" si="27"/>
        <v>Only RAKE</v>
      </c>
      <c r="K871" s="32"/>
      <c r="L871" s="32"/>
      <c r="M871" s="32"/>
      <c r="N871" s="32"/>
      <c r="O871" s="32"/>
      <c r="P871" s="32"/>
    </row>
    <row r="872" spans="1:16" x14ac:dyDescent="0.3">
      <c r="A872" s="38">
        <v>871</v>
      </c>
      <c r="B872" s="39" t="s">
        <v>564</v>
      </c>
      <c r="C872" s="30"/>
      <c r="D872" s="30"/>
      <c r="E872" s="30" t="s">
        <v>1326</v>
      </c>
      <c r="F872" s="38" t="s">
        <v>566</v>
      </c>
      <c r="G872" s="40" t="s">
        <v>570</v>
      </c>
      <c r="H872" s="38">
        <f t="shared" si="26"/>
        <v>1</v>
      </c>
      <c r="I872" s="41" t="str">
        <f t="shared" si="27"/>
        <v>Only YAKE</v>
      </c>
      <c r="K872" s="32"/>
      <c r="L872" s="32"/>
      <c r="M872" s="32"/>
      <c r="N872" s="32"/>
      <c r="O872" s="32"/>
      <c r="P872" s="32"/>
    </row>
    <row r="873" spans="1:16" x14ac:dyDescent="0.3">
      <c r="A873" s="38">
        <v>872</v>
      </c>
      <c r="B873" s="39" t="s">
        <v>564</v>
      </c>
      <c r="C873" s="30"/>
      <c r="D873" s="30" t="s">
        <v>1327</v>
      </c>
      <c r="E873" s="30"/>
      <c r="F873" s="38" t="s">
        <v>566</v>
      </c>
      <c r="G873" s="40" t="s">
        <v>570</v>
      </c>
      <c r="H873" s="38">
        <f t="shared" si="26"/>
        <v>1</v>
      </c>
      <c r="I873" s="41" t="str">
        <f t="shared" si="27"/>
        <v>Only RAKE</v>
      </c>
      <c r="K873" s="32"/>
      <c r="L873" s="32"/>
      <c r="M873" s="32"/>
      <c r="N873" s="32"/>
      <c r="O873" s="32"/>
      <c r="P873" s="32"/>
    </row>
    <row r="874" spans="1:16" x14ac:dyDescent="0.3">
      <c r="A874" s="38">
        <v>873</v>
      </c>
      <c r="B874" s="39" t="s">
        <v>564</v>
      </c>
      <c r="C874" s="30" t="s">
        <v>1328</v>
      </c>
      <c r="D874" s="30"/>
      <c r="E874" s="30"/>
      <c r="F874" s="38" t="s">
        <v>566</v>
      </c>
      <c r="G874" s="40" t="s">
        <v>570</v>
      </c>
      <c r="H874" s="38">
        <f t="shared" si="26"/>
        <v>1</v>
      </c>
      <c r="I874" s="41" t="str">
        <f t="shared" si="27"/>
        <v>Only Gemini</v>
      </c>
      <c r="K874" s="32"/>
      <c r="L874" s="32"/>
      <c r="M874" s="32"/>
      <c r="N874" s="32"/>
      <c r="O874" s="32"/>
      <c r="P874" s="32"/>
    </row>
    <row r="875" spans="1:16" x14ac:dyDescent="0.3">
      <c r="A875" s="38">
        <v>874</v>
      </c>
      <c r="B875" s="39" t="s">
        <v>564</v>
      </c>
      <c r="C875" s="30"/>
      <c r="D875" s="30"/>
      <c r="E875" s="30" t="s">
        <v>1329</v>
      </c>
      <c r="F875" s="38" t="s">
        <v>566</v>
      </c>
      <c r="G875" s="40" t="s">
        <v>570</v>
      </c>
      <c r="H875" s="38">
        <f t="shared" si="26"/>
        <v>1</v>
      </c>
      <c r="I875" s="41" t="str">
        <f t="shared" si="27"/>
        <v>Only YAKE</v>
      </c>
      <c r="K875" s="32"/>
      <c r="L875" s="32"/>
      <c r="M875" s="32"/>
      <c r="N875" s="32"/>
      <c r="O875" s="32"/>
      <c r="P875" s="32"/>
    </row>
    <row r="876" spans="1:16" x14ac:dyDescent="0.3">
      <c r="A876" s="38">
        <v>875</v>
      </c>
      <c r="B876" s="39" t="s">
        <v>564</v>
      </c>
      <c r="C876" s="30"/>
      <c r="D876" s="30" t="s">
        <v>1330</v>
      </c>
      <c r="E876" s="30"/>
      <c r="F876" s="38" t="s">
        <v>566</v>
      </c>
      <c r="G876" s="40" t="s">
        <v>570</v>
      </c>
      <c r="H876" s="38">
        <f t="shared" si="26"/>
        <v>1</v>
      </c>
      <c r="I876" s="41" t="str">
        <f t="shared" si="27"/>
        <v>Only RAKE</v>
      </c>
      <c r="K876" s="32"/>
      <c r="L876" s="32"/>
      <c r="M876" s="32"/>
      <c r="N876" s="32"/>
      <c r="O876" s="32"/>
      <c r="P876" s="32"/>
    </row>
    <row r="877" spans="1:16" x14ac:dyDescent="0.3">
      <c r="A877" s="38">
        <v>876</v>
      </c>
      <c r="B877" s="39" t="s">
        <v>564</v>
      </c>
      <c r="C877" s="30"/>
      <c r="D877" s="30" t="s">
        <v>1331</v>
      </c>
      <c r="E877" s="30"/>
      <c r="F877" s="38" t="s">
        <v>566</v>
      </c>
      <c r="G877" s="40" t="s">
        <v>570</v>
      </c>
      <c r="H877" s="38">
        <f t="shared" si="26"/>
        <v>1</v>
      </c>
      <c r="I877" s="41" t="str">
        <f t="shared" si="27"/>
        <v>Only RAKE</v>
      </c>
      <c r="K877" s="32"/>
      <c r="L877" s="32"/>
      <c r="M877" s="32"/>
      <c r="N877" s="32"/>
      <c r="O877" s="32"/>
      <c r="P877" s="32"/>
    </row>
    <row r="878" spans="1:16" x14ac:dyDescent="0.3">
      <c r="A878" s="38">
        <v>877</v>
      </c>
      <c r="B878" s="39" t="s">
        <v>564</v>
      </c>
      <c r="C878" s="30"/>
      <c r="D878" s="30" t="s">
        <v>1332</v>
      </c>
      <c r="E878" s="30"/>
      <c r="F878" s="38" t="s">
        <v>566</v>
      </c>
      <c r="G878" s="40" t="s">
        <v>570</v>
      </c>
      <c r="H878" s="38">
        <f t="shared" si="26"/>
        <v>1</v>
      </c>
      <c r="I878" s="41" t="str">
        <f t="shared" si="27"/>
        <v>Only RAKE</v>
      </c>
      <c r="K878" s="32"/>
      <c r="L878" s="32"/>
      <c r="M878" s="32"/>
      <c r="N878" s="32"/>
      <c r="O878" s="32"/>
      <c r="P878" s="32"/>
    </row>
    <row r="879" spans="1:16" x14ac:dyDescent="0.3">
      <c r="A879" s="38">
        <v>878</v>
      </c>
      <c r="B879" s="39" t="s">
        <v>564</v>
      </c>
      <c r="C879" s="30"/>
      <c r="D879" s="30" t="s">
        <v>1333</v>
      </c>
      <c r="E879" s="30"/>
      <c r="F879" s="38" t="s">
        <v>566</v>
      </c>
      <c r="G879" s="40" t="s">
        <v>570</v>
      </c>
      <c r="H879" s="38">
        <f t="shared" si="26"/>
        <v>1</v>
      </c>
      <c r="I879" s="41" t="str">
        <f t="shared" si="27"/>
        <v>Only RAKE</v>
      </c>
      <c r="K879" s="32"/>
      <c r="L879" s="32"/>
      <c r="M879" s="32"/>
      <c r="N879" s="32"/>
      <c r="O879" s="32"/>
      <c r="P879" s="32"/>
    </row>
    <row r="880" spans="1:16" x14ac:dyDescent="0.3">
      <c r="A880" s="38">
        <v>879</v>
      </c>
      <c r="B880" s="39" t="s">
        <v>564</v>
      </c>
      <c r="C880" s="30"/>
      <c r="D880" s="30" t="s">
        <v>1334</v>
      </c>
      <c r="E880" s="30"/>
      <c r="F880" s="38" t="s">
        <v>566</v>
      </c>
      <c r="G880" s="40" t="s">
        <v>570</v>
      </c>
      <c r="H880" s="38">
        <f t="shared" si="26"/>
        <v>1</v>
      </c>
      <c r="I880" s="41" t="str">
        <f t="shared" si="27"/>
        <v>Only RAKE</v>
      </c>
      <c r="K880" s="32"/>
      <c r="L880" s="32"/>
      <c r="M880" s="32"/>
      <c r="N880" s="32"/>
      <c r="O880" s="32"/>
      <c r="P880" s="32"/>
    </row>
    <row r="881" spans="1:16" x14ac:dyDescent="0.3">
      <c r="A881" s="38">
        <v>880</v>
      </c>
      <c r="B881" s="39" t="s">
        <v>564</v>
      </c>
      <c r="C881" s="30"/>
      <c r="D881" s="30"/>
      <c r="E881" s="30" t="s">
        <v>1335</v>
      </c>
      <c r="F881" s="38" t="s">
        <v>566</v>
      </c>
      <c r="G881" s="40" t="s">
        <v>570</v>
      </c>
      <c r="H881" s="38">
        <f t="shared" si="26"/>
        <v>1</v>
      </c>
      <c r="I881" s="41" t="str">
        <f t="shared" si="27"/>
        <v>Only YAKE</v>
      </c>
      <c r="K881" s="32"/>
      <c r="L881" s="32"/>
      <c r="M881" s="32"/>
      <c r="N881" s="32"/>
      <c r="O881" s="32"/>
      <c r="P881" s="32"/>
    </row>
    <row r="882" spans="1:16" x14ac:dyDescent="0.3">
      <c r="A882" s="38">
        <v>881</v>
      </c>
      <c r="B882" s="39" t="s">
        <v>564</v>
      </c>
      <c r="C882" s="30"/>
      <c r="D882" s="30" t="s">
        <v>1336</v>
      </c>
      <c r="E882" s="30"/>
      <c r="F882" s="38" t="s">
        <v>566</v>
      </c>
      <c r="G882" s="40" t="s">
        <v>570</v>
      </c>
      <c r="H882" s="38">
        <f t="shared" si="26"/>
        <v>1</v>
      </c>
      <c r="I882" s="41" t="str">
        <f t="shared" si="27"/>
        <v>Only RAKE</v>
      </c>
      <c r="K882" s="32"/>
      <c r="L882" s="32"/>
      <c r="M882" s="32"/>
      <c r="N882" s="32"/>
      <c r="O882" s="32"/>
      <c r="P882" s="32"/>
    </row>
    <row r="883" spans="1:16" x14ac:dyDescent="0.3">
      <c r="A883" s="38">
        <v>882</v>
      </c>
      <c r="B883" s="39" t="s">
        <v>564</v>
      </c>
      <c r="C883" s="30"/>
      <c r="D883" s="30" t="s">
        <v>1337</v>
      </c>
      <c r="E883" s="30"/>
      <c r="F883" s="38" t="s">
        <v>566</v>
      </c>
      <c r="G883" s="40" t="s">
        <v>570</v>
      </c>
      <c r="H883" s="38">
        <f t="shared" si="26"/>
        <v>1</v>
      </c>
      <c r="I883" s="41" t="str">
        <f t="shared" si="27"/>
        <v>Only RAKE</v>
      </c>
      <c r="K883" s="32"/>
      <c r="L883" s="32"/>
      <c r="M883" s="32"/>
      <c r="N883" s="32"/>
      <c r="O883" s="32"/>
      <c r="P883" s="32"/>
    </row>
    <row r="884" spans="1:16" x14ac:dyDescent="0.3">
      <c r="A884" s="38">
        <v>883</v>
      </c>
      <c r="B884" s="39" t="s">
        <v>564</v>
      </c>
      <c r="C884" s="30"/>
      <c r="D884" s="30" t="s">
        <v>1338</v>
      </c>
      <c r="E884" s="30"/>
      <c r="F884" s="38" t="s">
        <v>566</v>
      </c>
      <c r="G884" s="40" t="s">
        <v>570</v>
      </c>
      <c r="H884" s="38">
        <f t="shared" si="26"/>
        <v>1</v>
      </c>
      <c r="I884" s="41" t="str">
        <f t="shared" si="27"/>
        <v>Only RAKE</v>
      </c>
      <c r="K884" s="32"/>
      <c r="L884" s="32"/>
      <c r="M884" s="32"/>
      <c r="N884" s="32"/>
      <c r="O884" s="32"/>
      <c r="P884" s="32"/>
    </row>
    <row r="885" spans="1:16" x14ac:dyDescent="0.3">
      <c r="A885" s="38">
        <v>884</v>
      </c>
      <c r="B885" s="39" t="s">
        <v>564</v>
      </c>
      <c r="C885" s="30"/>
      <c r="D885" s="30" t="s">
        <v>1339</v>
      </c>
      <c r="E885" s="30"/>
      <c r="F885" s="38" t="s">
        <v>566</v>
      </c>
      <c r="G885" s="40" t="s">
        <v>570</v>
      </c>
      <c r="H885" s="38">
        <f t="shared" si="26"/>
        <v>1</v>
      </c>
      <c r="I885" s="41" t="str">
        <f t="shared" si="27"/>
        <v>Only RAKE</v>
      </c>
      <c r="K885" s="32"/>
      <c r="L885" s="32"/>
      <c r="M885" s="32"/>
      <c r="N885" s="32"/>
      <c r="O885" s="32"/>
      <c r="P885" s="32"/>
    </row>
    <row r="886" spans="1:16" x14ac:dyDescent="0.3">
      <c r="A886" s="38">
        <v>885</v>
      </c>
      <c r="B886" s="39" t="s">
        <v>564</v>
      </c>
      <c r="C886" s="30"/>
      <c r="D886" s="30" t="s">
        <v>1340</v>
      </c>
      <c r="E886" s="30"/>
      <c r="F886" s="38" t="s">
        <v>566</v>
      </c>
      <c r="G886" s="40" t="s">
        <v>570</v>
      </c>
      <c r="H886" s="38">
        <f t="shared" si="26"/>
        <v>1</v>
      </c>
      <c r="I886" s="41" t="str">
        <f t="shared" si="27"/>
        <v>Only RAKE</v>
      </c>
      <c r="K886" s="32"/>
      <c r="L886" s="32"/>
      <c r="M886" s="32"/>
      <c r="N886" s="32"/>
      <c r="O886" s="32"/>
      <c r="P886" s="32"/>
    </row>
    <row r="887" spans="1:16" x14ac:dyDescent="0.3">
      <c r="A887" s="38">
        <v>886</v>
      </c>
      <c r="B887" s="39" t="s">
        <v>564</v>
      </c>
      <c r="C887" s="30"/>
      <c r="D887" s="30" t="s">
        <v>1341</v>
      </c>
      <c r="E887" s="30"/>
      <c r="F887" s="38" t="s">
        <v>566</v>
      </c>
      <c r="G887" s="40" t="s">
        <v>570</v>
      </c>
      <c r="H887" s="38">
        <f t="shared" si="26"/>
        <v>1</v>
      </c>
      <c r="I887" s="41" t="str">
        <f t="shared" si="27"/>
        <v>Only RAKE</v>
      </c>
      <c r="K887" s="32"/>
      <c r="L887" s="32"/>
      <c r="M887" s="32"/>
      <c r="N887" s="32"/>
      <c r="O887" s="32"/>
      <c r="P887" s="32"/>
    </row>
    <row r="888" spans="1:16" x14ac:dyDescent="0.3">
      <c r="A888" s="38">
        <v>887</v>
      </c>
      <c r="B888" s="39" t="s">
        <v>564</v>
      </c>
      <c r="C888" s="30"/>
      <c r="D888" s="30" t="s">
        <v>1342</v>
      </c>
      <c r="E888" s="30"/>
      <c r="F888" s="38" t="s">
        <v>566</v>
      </c>
      <c r="G888" s="40" t="s">
        <v>570</v>
      </c>
      <c r="H888" s="38">
        <f t="shared" si="26"/>
        <v>1</v>
      </c>
      <c r="I888" s="41" t="str">
        <f t="shared" si="27"/>
        <v>Only RAKE</v>
      </c>
      <c r="K888" s="32"/>
      <c r="L888" s="32"/>
      <c r="M888" s="32"/>
      <c r="N888" s="32"/>
      <c r="O888" s="32"/>
      <c r="P888" s="32"/>
    </row>
    <row r="889" spans="1:16" x14ac:dyDescent="0.3">
      <c r="A889" s="38">
        <v>888</v>
      </c>
      <c r="B889" s="39" t="s">
        <v>564</v>
      </c>
      <c r="C889" s="30"/>
      <c r="D889" s="30"/>
      <c r="E889" s="30" t="s">
        <v>1343</v>
      </c>
      <c r="F889" s="38" t="s">
        <v>566</v>
      </c>
      <c r="G889" s="40" t="s">
        <v>570</v>
      </c>
      <c r="H889" s="38">
        <f t="shared" si="26"/>
        <v>1</v>
      </c>
      <c r="I889" s="41" t="str">
        <f t="shared" si="27"/>
        <v>Only YAKE</v>
      </c>
      <c r="K889" s="32"/>
      <c r="L889" s="32"/>
      <c r="M889" s="32"/>
      <c r="N889" s="32"/>
      <c r="O889" s="32"/>
      <c r="P889" s="32"/>
    </row>
    <row r="890" spans="1:16" x14ac:dyDescent="0.3">
      <c r="A890" s="38">
        <v>889</v>
      </c>
      <c r="B890" s="39" t="s">
        <v>564</v>
      </c>
      <c r="C890" s="30"/>
      <c r="D890" s="30"/>
      <c r="E890" s="30" t="s">
        <v>1344</v>
      </c>
      <c r="F890" s="38" t="s">
        <v>566</v>
      </c>
      <c r="G890" s="40" t="s">
        <v>570</v>
      </c>
      <c r="H890" s="38">
        <f t="shared" si="26"/>
        <v>1</v>
      </c>
      <c r="I890" s="41" t="str">
        <f t="shared" si="27"/>
        <v>Only YAKE</v>
      </c>
      <c r="K890" s="32"/>
      <c r="L890" s="32"/>
      <c r="M890" s="32"/>
      <c r="N890" s="32"/>
      <c r="O890" s="32"/>
      <c r="P890" s="32"/>
    </row>
    <row r="891" spans="1:16" x14ac:dyDescent="0.3">
      <c r="A891" s="38">
        <v>890</v>
      </c>
      <c r="B891" s="39" t="s">
        <v>564</v>
      </c>
      <c r="C891" s="30"/>
      <c r="D891" s="30" t="s">
        <v>1345</v>
      </c>
      <c r="E891" s="30"/>
      <c r="F891" s="38" t="s">
        <v>566</v>
      </c>
      <c r="G891" s="40" t="s">
        <v>570</v>
      </c>
      <c r="H891" s="38">
        <f t="shared" si="26"/>
        <v>1</v>
      </c>
      <c r="I891" s="41" t="str">
        <f t="shared" si="27"/>
        <v>Only RAKE</v>
      </c>
      <c r="K891" s="32"/>
      <c r="L891" s="32"/>
      <c r="M891" s="32"/>
      <c r="N891" s="32"/>
      <c r="O891" s="32"/>
      <c r="P891" s="32"/>
    </row>
    <row r="892" spans="1:16" x14ac:dyDescent="0.3">
      <c r="A892" s="38">
        <v>891</v>
      </c>
      <c r="B892" s="39" t="s">
        <v>564</v>
      </c>
      <c r="C892" s="30" t="s">
        <v>1346</v>
      </c>
      <c r="D892" s="30"/>
      <c r="E892" s="30"/>
      <c r="F892" s="38" t="s">
        <v>566</v>
      </c>
      <c r="G892" s="40" t="s">
        <v>570</v>
      </c>
      <c r="H892" s="38">
        <f t="shared" si="26"/>
        <v>1</v>
      </c>
      <c r="I892" s="41" t="str">
        <f t="shared" si="27"/>
        <v>Only Gemini</v>
      </c>
      <c r="K892" s="32"/>
      <c r="L892" s="32"/>
      <c r="M892" s="32"/>
      <c r="N892" s="32"/>
      <c r="O892" s="32"/>
      <c r="P892" s="32"/>
    </row>
    <row r="893" spans="1:16" x14ac:dyDescent="0.3">
      <c r="A893" s="38">
        <v>892</v>
      </c>
      <c r="B893" s="39" t="s">
        <v>564</v>
      </c>
      <c r="C893" s="30"/>
      <c r="D893" s="30" t="s">
        <v>1347</v>
      </c>
      <c r="E893" s="30"/>
      <c r="F893" s="38" t="s">
        <v>566</v>
      </c>
      <c r="G893" s="40" t="s">
        <v>570</v>
      </c>
      <c r="H893" s="38">
        <f t="shared" si="26"/>
        <v>1</v>
      </c>
      <c r="I893" s="41" t="str">
        <f t="shared" si="27"/>
        <v>Only RAKE</v>
      </c>
      <c r="K893" s="32"/>
      <c r="L893" s="32"/>
      <c r="M893" s="32"/>
      <c r="N893" s="32"/>
      <c r="O893" s="32"/>
      <c r="P893" s="32"/>
    </row>
    <row r="894" spans="1:16" x14ac:dyDescent="0.3">
      <c r="A894" s="38">
        <v>893</v>
      </c>
      <c r="B894" s="39" t="s">
        <v>564</v>
      </c>
      <c r="C894" s="30"/>
      <c r="D894" s="30" t="s">
        <v>1348</v>
      </c>
      <c r="E894" s="30"/>
      <c r="F894" s="38" t="s">
        <v>566</v>
      </c>
      <c r="G894" s="40" t="s">
        <v>570</v>
      </c>
      <c r="H894" s="38">
        <f t="shared" si="26"/>
        <v>1</v>
      </c>
      <c r="I894" s="41" t="str">
        <f t="shared" si="27"/>
        <v>Only RAKE</v>
      </c>
      <c r="K894" s="32"/>
      <c r="L894" s="32"/>
      <c r="M894" s="32"/>
      <c r="N894" s="32"/>
      <c r="O894" s="32"/>
      <c r="P894" s="32"/>
    </row>
    <row r="895" spans="1:16" x14ac:dyDescent="0.3">
      <c r="A895" s="38">
        <v>894</v>
      </c>
      <c r="B895" s="39" t="s">
        <v>564</v>
      </c>
      <c r="C895" s="30"/>
      <c r="D895" s="30" t="s">
        <v>1349</v>
      </c>
      <c r="E895" s="30"/>
      <c r="F895" s="38" t="s">
        <v>566</v>
      </c>
      <c r="G895" s="40" t="s">
        <v>570</v>
      </c>
      <c r="H895" s="38">
        <f t="shared" si="26"/>
        <v>1</v>
      </c>
      <c r="I895" s="41" t="str">
        <f t="shared" si="27"/>
        <v>Only RAKE</v>
      </c>
      <c r="K895" s="32"/>
      <c r="L895" s="32"/>
      <c r="M895" s="32"/>
      <c r="N895" s="32"/>
      <c r="O895" s="32"/>
      <c r="P895" s="32"/>
    </row>
    <row r="896" spans="1:16" x14ac:dyDescent="0.3">
      <c r="A896" s="38">
        <v>895</v>
      </c>
      <c r="B896" s="39" t="s">
        <v>564</v>
      </c>
      <c r="C896" s="30"/>
      <c r="D896" s="30" t="s">
        <v>1350</v>
      </c>
      <c r="E896" s="30"/>
      <c r="F896" s="38" t="s">
        <v>566</v>
      </c>
      <c r="G896" s="40" t="s">
        <v>570</v>
      </c>
      <c r="H896" s="38">
        <f t="shared" si="26"/>
        <v>1</v>
      </c>
      <c r="I896" s="41" t="str">
        <f t="shared" si="27"/>
        <v>Only RAKE</v>
      </c>
      <c r="K896" s="32"/>
      <c r="L896" s="32"/>
      <c r="M896" s="32"/>
      <c r="N896" s="32"/>
      <c r="O896" s="32"/>
      <c r="P896" s="32"/>
    </row>
    <row r="897" spans="1:16" x14ac:dyDescent="0.3">
      <c r="A897" s="38">
        <v>896</v>
      </c>
      <c r="B897" s="39" t="s">
        <v>564</v>
      </c>
      <c r="C897" s="30"/>
      <c r="D897" s="30" t="s">
        <v>1351</v>
      </c>
      <c r="E897" s="30"/>
      <c r="F897" s="38" t="s">
        <v>566</v>
      </c>
      <c r="G897" s="40" t="s">
        <v>570</v>
      </c>
      <c r="H897" s="38">
        <f t="shared" si="26"/>
        <v>1</v>
      </c>
      <c r="I897" s="41" t="str">
        <f t="shared" si="27"/>
        <v>Only RAKE</v>
      </c>
      <c r="K897" s="32"/>
      <c r="L897" s="32"/>
      <c r="M897" s="32"/>
      <c r="N897" s="32"/>
      <c r="O897" s="32"/>
      <c r="P897" s="32"/>
    </row>
    <row r="898" spans="1:16" x14ac:dyDescent="0.3">
      <c r="A898" s="38">
        <v>897</v>
      </c>
      <c r="B898" s="39" t="s">
        <v>564</v>
      </c>
      <c r="C898" s="30"/>
      <c r="D898" s="30"/>
      <c r="E898" s="30" t="s">
        <v>1352</v>
      </c>
      <c r="F898" s="38" t="s">
        <v>566</v>
      </c>
      <c r="G898" s="40" t="s">
        <v>570</v>
      </c>
      <c r="H898" s="38">
        <f t="shared" ref="H898:H914" si="28">COUNTIF(C898:E898,"?*")</f>
        <v>1</v>
      </c>
      <c r="I898" s="41" t="str">
        <f t="shared" ref="I898:I961" si="29">IF(H898=0,"None",IF(H898=3,"All three",IF(H898=1,"Only "&amp;TRIM(IF(C898&lt;&gt;"","Gemini ","")&amp;IF(D898&lt;&gt;"","RAKE ","")&amp;IF(E898&lt;&gt;"","YAKE","")),SUBSTITUTE(TRIM(IF(C898&lt;&gt;"","Gemini ","")&amp;IF(D898&lt;&gt;"","RAKE ","")&amp;IF(E898&lt;&gt;"","YAKE",""))," "," + "))))</f>
        <v>Only YAKE</v>
      </c>
      <c r="K898" s="32"/>
      <c r="L898" s="32"/>
      <c r="M898" s="32"/>
      <c r="N898" s="32"/>
      <c r="O898" s="32"/>
      <c r="P898" s="32"/>
    </row>
    <row r="899" spans="1:16" x14ac:dyDescent="0.3">
      <c r="A899" s="38">
        <v>898</v>
      </c>
      <c r="B899" s="39" t="s">
        <v>564</v>
      </c>
      <c r="C899" s="30"/>
      <c r="D899" s="30"/>
      <c r="E899" s="30" t="s">
        <v>1353</v>
      </c>
      <c r="F899" s="38" t="s">
        <v>566</v>
      </c>
      <c r="G899" s="40" t="s">
        <v>570</v>
      </c>
      <c r="H899" s="38">
        <f t="shared" si="28"/>
        <v>1</v>
      </c>
      <c r="I899" s="41" t="str">
        <f t="shared" si="29"/>
        <v>Only YAKE</v>
      </c>
      <c r="K899" s="32"/>
      <c r="L899" s="32"/>
      <c r="M899" s="32"/>
      <c r="N899" s="32"/>
      <c r="O899" s="32"/>
      <c r="P899" s="32"/>
    </row>
    <row r="900" spans="1:16" x14ac:dyDescent="0.3">
      <c r="A900" s="38">
        <v>899</v>
      </c>
      <c r="B900" s="39" t="s">
        <v>564</v>
      </c>
      <c r="C900" s="30"/>
      <c r="D900" s="30" t="s">
        <v>1354</v>
      </c>
      <c r="E900" s="30"/>
      <c r="F900" s="38" t="s">
        <v>566</v>
      </c>
      <c r="G900" s="40" t="s">
        <v>570</v>
      </c>
      <c r="H900" s="38">
        <f t="shared" si="28"/>
        <v>1</v>
      </c>
      <c r="I900" s="41" t="str">
        <f t="shared" si="29"/>
        <v>Only RAKE</v>
      </c>
      <c r="K900" s="32"/>
      <c r="L900" s="32"/>
      <c r="M900" s="32"/>
      <c r="N900" s="32"/>
      <c r="O900" s="32"/>
      <c r="P900" s="32"/>
    </row>
    <row r="901" spans="1:16" x14ac:dyDescent="0.3">
      <c r="A901" s="38">
        <v>900</v>
      </c>
      <c r="B901" s="39" t="s">
        <v>564</v>
      </c>
      <c r="C901" s="30"/>
      <c r="D901" s="30"/>
      <c r="E901" s="30" t="s">
        <v>1355</v>
      </c>
      <c r="F901" s="38" t="s">
        <v>566</v>
      </c>
      <c r="G901" s="40" t="s">
        <v>570</v>
      </c>
      <c r="H901" s="38">
        <f t="shared" si="28"/>
        <v>1</v>
      </c>
      <c r="I901" s="41" t="str">
        <f t="shared" si="29"/>
        <v>Only YAKE</v>
      </c>
      <c r="K901" s="32"/>
      <c r="L901" s="32"/>
      <c r="M901" s="32"/>
      <c r="N901" s="32"/>
      <c r="O901" s="32"/>
      <c r="P901" s="32"/>
    </row>
    <row r="902" spans="1:16" x14ac:dyDescent="0.3">
      <c r="A902" s="38">
        <v>901</v>
      </c>
      <c r="B902" s="39" t="s">
        <v>564</v>
      </c>
      <c r="C902" s="30"/>
      <c r="D902" s="30" t="s">
        <v>1356</v>
      </c>
      <c r="E902" s="30"/>
      <c r="F902" s="38" t="s">
        <v>566</v>
      </c>
      <c r="G902" s="40" t="s">
        <v>570</v>
      </c>
      <c r="H902" s="38">
        <f t="shared" si="28"/>
        <v>1</v>
      </c>
      <c r="I902" s="41" t="str">
        <f t="shared" si="29"/>
        <v>Only RAKE</v>
      </c>
      <c r="K902" s="32"/>
      <c r="L902" s="32"/>
      <c r="M902" s="32"/>
      <c r="N902" s="32"/>
      <c r="O902" s="32"/>
      <c r="P902" s="32"/>
    </row>
    <row r="903" spans="1:16" x14ac:dyDescent="0.3">
      <c r="A903" s="38">
        <v>902</v>
      </c>
      <c r="B903" s="39" t="s">
        <v>564</v>
      </c>
      <c r="C903" s="30"/>
      <c r="D903" s="30"/>
      <c r="E903" s="30" t="s">
        <v>1357</v>
      </c>
      <c r="F903" s="38" t="s">
        <v>566</v>
      </c>
      <c r="G903" s="40" t="s">
        <v>570</v>
      </c>
      <c r="H903" s="38">
        <f t="shared" si="28"/>
        <v>1</v>
      </c>
      <c r="I903" s="41" t="str">
        <f t="shared" si="29"/>
        <v>Only YAKE</v>
      </c>
      <c r="K903" s="32"/>
      <c r="L903" s="32"/>
      <c r="M903" s="32"/>
      <c r="N903" s="32"/>
      <c r="O903" s="32"/>
      <c r="P903" s="32"/>
    </row>
    <row r="904" spans="1:16" x14ac:dyDescent="0.3">
      <c r="A904" s="38">
        <v>903</v>
      </c>
      <c r="B904" s="39" t="s">
        <v>564</v>
      </c>
      <c r="C904" s="30"/>
      <c r="D904" s="30"/>
      <c r="E904" s="30" t="s">
        <v>1358</v>
      </c>
      <c r="F904" s="38" t="s">
        <v>566</v>
      </c>
      <c r="G904" s="40" t="s">
        <v>570</v>
      </c>
      <c r="H904" s="38">
        <f t="shared" si="28"/>
        <v>1</v>
      </c>
      <c r="I904" s="41" t="str">
        <f t="shared" si="29"/>
        <v>Only YAKE</v>
      </c>
      <c r="K904" s="32"/>
      <c r="L904" s="32"/>
      <c r="M904" s="32"/>
      <c r="N904" s="32"/>
      <c r="O904" s="32"/>
      <c r="P904" s="32"/>
    </row>
    <row r="905" spans="1:16" x14ac:dyDescent="0.3">
      <c r="A905" s="38">
        <v>904</v>
      </c>
      <c r="B905" s="39" t="s">
        <v>564</v>
      </c>
      <c r="C905" s="30"/>
      <c r="D905" s="30" t="s">
        <v>1359</v>
      </c>
      <c r="E905" s="30"/>
      <c r="F905" s="38" t="s">
        <v>566</v>
      </c>
      <c r="G905" s="40" t="s">
        <v>570</v>
      </c>
      <c r="H905" s="38">
        <f t="shared" si="28"/>
        <v>1</v>
      </c>
      <c r="I905" s="41" t="str">
        <f t="shared" si="29"/>
        <v>Only RAKE</v>
      </c>
      <c r="K905" s="32"/>
      <c r="L905" s="32"/>
      <c r="M905" s="32"/>
      <c r="N905" s="32"/>
      <c r="O905" s="32"/>
      <c r="P905" s="32"/>
    </row>
    <row r="906" spans="1:16" x14ac:dyDescent="0.3">
      <c r="A906" s="38">
        <v>905</v>
      </c>
      <c r="B906" s="39" t="s">
        <v>564</v>
      </c>
      <c r="C906" s="30"/>
      <c r="D906" s="30" t="s">
        <v>1360</v>
      </c>
      <c r="E906" s="30"/>
      <c r="F906" s="38" t="s">
        <v>566</v>
      </c>
      <c r="G906" s="40" t="s">
        <v>570</v>
      </c>
      <c r="H906" s="38">
        <f t="shared" si="28"/>
        <v>1</v>
      </c>
      <c r="I906" s="41" t="str">
        <f t="shared" si="29"/>
        <v>Only RAKE</v>
      </c>
      <c r="K906" s="32"/>
      <c r="L906" s="32"/>
      <c r="M906" s="32"/>
      <c r="N906" s="32"/>
      <c r="O906" s="32"/>
      <c r="P906" s="32"/>
    </row>
    <row r="907" spans="1:16" x14ac:dyDescent="0.3">
      <c r="A907" s="38">
        <v>906</v>
      </c>
      <c r="B907" s="39" t="s">
        <v>564</v>
      </c>
      <c r="C907" s="30"/>
      <c r="D907" s="30" t="s">
        <v>1361</v>
      </c>
      <c r="E907" s="30"/>
      <c r="F907" s="38" t="s">
        <v>566</v>
      </c>
      <c r="G907" s="40" t="s">
        <v>570</v>
      </c>
      <c r="H907" s="38">
        <f t="shared" si="28"/>
        <v>1</v>
      </c>
      <c r="I907" s="41" t="str">
        <f t="shared" si="29"/>
        <v>Only RAKE</v>
      </c>
      <c r="K907" s="32"/>
      <c r="L907" s="32"/>
      <c r="M907" s="32"/>
      <c r="N907" s="32"/>
      <c r="O907" s="32"/>
      <c r="P907" s="32"/>
    </row>
    <row r="908" spans="1:16" x14ac:dyDescent="0.3">
      <c r="A908" s="38">
        <v>907</v>
      </c>
      <c r="B908" s="39" t="s">
        <v>564</v>
      </c>
      <c r="C908" s="30"/>
      <c r="D908" s="30" t="s">
        <v>1362</v>
      </c>
      <c r="E908" s="30"/>
      <c r="F908" s="38" t="s">
        <v>566</v>
      </c>
      <c r="G908" s="40" t="s">
        <v>570</v>
      </c>
      <c r="H908" s="38">
        <f t="shared" si="28"/>
        <v>1</v>
      </c>
      <c r="I908" s="41" t="str">
        <f t="shared" si="29"/>
        <v>Only RAKE</v>
      </c>
      <c r="K908" s="32"/>
      <c r="L908" s="32"/>
      <c r="M908" s="32"/>
      <c r="N908" s="32"/>
      <c r="O908" s="32"/>
      <c r="P908" s="32"/>
    </row>
    <row r="909" spans="1:16" x14ac:dyDescent="0.3">
      <c r="A909" s="38">
        <v>908</v>
      </c>
      <c r="B909" s="39" t="s">
        <v>564</v>
      </c>
      <c r="C909" s="30"/>
      <c r="D909" s="30" t="s">
        <v>1363</v>
      </c>
      <c r="E909" s="30"/>
      <c r="F909" s="38" t="s">
        <v>566</v>
      </c>
      <c r="G909" s="40" t="s">
        <v>570</v>
      </c>
      <c r="H909" s="38">
        <f t="shared" si="28"/>
        <v>1</v>
      </c>
      <c r="I909" s="41" t="str">
        <f t="shared" si="29"/>
        <v>Only RAKE</v>
      </c>
      <c r="K909" s="32"/>
      <c r="L909" s="32"/>
      <c r="M909" s="32"/>
      <c r="N909" s="32"/>
      <c r="O909" s="32"/>
      <c r="P909" s="32"/>
    </row>
    <row r="910" spans="1:16" x14ac:dyDescent="0.3">
      <c r="A910" s="38">
        <v>909</v>
      </c>
      <c r="B910" s="39" t="s">
        <v>564</v>
      </c>
      <c r="C910" s="30"/>
      <c r="D910" s="30" t="s">
        <v>1364</v>
      </c>
      <c r="E910" s="30"/>
      <c r="F910" s="38" t="s">
        <v>566</v>
      </c>
      <c r="G910" s="40" t="s">
        <v>570</v>
      </c>
      <c r="H910" s="38">
        <f t="shared" si="28"/>
        <v>1</v>
      </c>
      <c r="I910" s="41" t="str">
        <f t="shared" si="29"/>
        <v>Only RAKE</v>
      </c>
      <c r="K910" s="32"/>
      <c r="L910" s="32"/>
      <c r="M910" s="32"/>
      <c r="N910" s="32"/>
      <c r="O910" s="32"/>
      <c r="P910" s="32"/>
    </row>
    <row r="911" spans="1:16" x14ac:dyDescent="0.3">
      <c r="A911" s="38">
        <v>910</v>
      </c>
      <c r="B911" s="39" t="s">
        <v>564</v>
      </c>
      <c r="C911" s="30"/>
      <c r="D911" s="30" t="s">
        <v>1365</v>
      </c>
      <c r="E911" s="30"/>
      <c r="F911" s="38" t="s">
        <v>566</v>
      </c>
      <c r="G911" s="40" t="s">
        <v>570</v>
      </c>
      <c r="H911" s="38">
        <f t="shared" si="28"/>
        <v>1</v>
      </c>
      <c r="I911" s="41" t="str">
        <f t="shared" si="29"/>
        <v>Only RAKE</v>
      </c>
      <c r="K911" s="32"/>
      <c r="L911" s="32"/>
      <c r="M911" s="32"/>
      <c r="N911" s="32"/>
      <c r="O911" s="32"/>
      <c r="P911" s="32"/>
    </row>
    <row r="912" spans="1:16" x14ac:dyDescent="0.3">
      <c r="A912" s="38">
        <v>911</v>
      </c>
      <c r="B912" s="39" t="s">
        <v>564</v>
      </c>
      <c r="C912" s="30"/>
      <c r="D912" s="30" t="s">
        <v>1366</v>
      </c>
      <c r="E912" s="30"/>
      <c r="F912" s="38" t="s">
        <v>566</v>
      </c>
      <c r="G912" s="40" t="s">
        <v>570</v>
      </c>
      <c r="H912" s="38">
        <f t="shared" si="28"/>
        <v>1</v>
      </c>
      <c r="I912" s="41" t="str">
        <f t="shared" si="29"/>
        <v>Only RAKE</v>
      </c>
      <c r="K912" s="32"/>
      <c r="L912" s="32"/>
      <c r="M912" s="32"/>
      <c r="N912" s="32"/>
      <c r="O912" s="32"/>
      <c r="P912" s="32"/>
    </row>
    <row r="913" spans="1:16" x14ac:dyDescent="0.3">
      <c r="A913" s="38">
        <v>912</v>
      </c>
      <c r="B913" s="39" t="s">
        <v>564</v>
      </c>
      <c r="C913" s="30"/>
      <c r="D913" s="30" t="s">
        <v>1367</v>
      </c>
      <c r="E913" s="30"/>
      <c r="F913" s="38" t="s">
        <v>566</v>
      </c>
      <c r="G913" s="40" t="s">
        <v>570</v>
      </c>
      <c r="H913" s="38">
        <f t="shared" si="28"/>
        <v>1</v>
      </c>
      <c r="I913" s="41" t="str">
        <f t="shared" si="29"/>
        <v>Only RAKE</v>
      </c>
      <c r="K913" s="32"/>
      <c r="L913" s="32"/>
      <c r="M913" s="32"/>
      <c r="N913" s="32"/>
      <c r="O913" s="32"/>
      <c r="P913" s="32"/>
    </row>
    <row r="914" spans="1:16" x14ac:dyDescent="0.3">
      <c r="A914" s="38">
        <v>913</v>
      </c>
      <c r="B914" s="39" t="s">
        <v>564</v>
      </c>
      <c r="C914" s="30"/>
      <c r="D914" s="30" t="s">
        <v>1368</v>
      </c>
      <c r="E914" s="30"/>
      <c r="F914" s="38" t="s">
        <v>566</v>
      </c>
      <c r="G914" s="40" t="s">
        <v>570</v>
      </c>
      <c r="H914" s="38">
        <f t="shared" si="28"/>
        <v>1</v>
      </c>
      <c r="I914" s="41" t="str">
        <f t="shared" si="29"/>
        <v>Only RAKE</v>
      </c>
      <c r="K914" s="32"/>
      <c r="L914" s="32"/>
      <c r="M914" s="32"/>
      <c r="N914" s="32"/>
      <c r="O914" s="32"/>
      <c r="P914" s="32"/>
    </row>
  </sheetData>
  <autoFilter ref="A1:I914" xr:uid="{00000000-0009-0000-0000-000000000000}"/>
  <conditionalFormatting sqref="A2:I139">
    <cfRule type="expression" dxfId="10" priority="3">
      <formula>$H2=0</formula>
    </cfRule>
    <cfRule type="expression" dxfId="9" priority="4">
      <formula>$H2=3</formula>
    </cfRule>
    <cfRule type="expression" dxfId="8" priority="5">
      <formula>$H2=2</formula>
    </cfRule>
  </conditionalFormatting>
  <conditionalFormatting sqref="C2:E914">
    <cfRule type="expression" dxfId="7" priority="2">
      <formula>C2&lt;&gt;""</formula>
    </cfRule>
  </conditionalFormatting>
  <pageMargins left="0.75" right="0.75" top="1" bottom="1" header="0.511811023622047" footer="0.511811023622047"/>
  <pageSetup paperSize="9"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8"/>
  <sheetViews>
    <sheetView zoomScaleNormal="100" workbookViewId="0"/>
  </sheetViews>
  <sheetFormatPr defaultColWidth="8.6640625" defaultRowHeight="14.4" x14ac:dyDescent="0.3"/>
  <cols>
    <col min="1" max="1" width="46" customWidth="1"/>
    <col min="2" max="8" width="19" customWidth="1"/>
  </cols>
  <sheetData>
    <row r="1" spans="1:8" ht="17.399999999999999" x14ac:dyDescent="0.3">
      <c r="A1" s="10" t="s">
        <v>1369</v>
      </c>
    </row>
    <row r="2" spans="1:8" x14ac:dyDescent="0.3">
      <c r="A2" s="11" t="s">
        <v>1370</v>
      </c>
    </row>
    <row r="4" spans="1:8" ht="15.6" x14ac:dyDescent="0.3">
      <c r="A4" s="12" t="s">
        <v>1371</v>
      </c>
    </row>
    <row r="5" spans="1:8" ht="25.5" customHeight="1" x14ac:dyDescent="0.3">
      <c r="A5" s="3" t="str">
        <f>"Best match with Claude's concepts: "&amp;INDEX(A7:A9,MATCH(MAX(G7:G9),G7:G9,0))&amp;" (F1 score "&amp;TEXT(MAX(G7:G9),"0%")&amp;")"</f>
        <v>Best match with Claude's concepts: Gemini (F1 score 42%)</v>
      </c>
      <c r="B5" s="3"/>
      <c r="C5" s="3"/>
      <c r="D5" s="3"/>
      <c r="E5" s="3"/>
      <c r="F5" s="3"/>
      <c r="G5" s="3"/>
      <c r="H5" s="3"/>
    </row>
    <row r="6" spans="1:8" ht="48" customHeight="1" x14ac:dyDescent="0.3">
      <c r="A6" s="4" t="s">
        <v>1372</v>
      </c>
      <c r="B6" s="4" t="s">
        <v>1373</v>
      </c>
      <c r="C6" s="4" t="s">
        <v>1374</v>
      </c>
      <c r="D6" s="4" t="s">
        <v>1375</v>
      </c>
      <c r="E6" s="4" t="s">
        <v>1376</v>
      </c>
      <c r="F6" s="4" t="s">
        <v>1377</v>
      </c>
      <c r="G6" s="4" t="s">
        <v>1378</v>
      </c>
      <c r="H6" s="4" t="s">
        <v>1379</v>
      </c>
    </row>
    <row r="7" spans="1:8" x14ac:dyDescent="0.3">
      <c r="A7" s="13" t="s">
        <v>1380</v>
      </c>
      <c r="B7" s="14">
        <f>COUNTA('Raw lists'!A2:A192)</f>
        <v>191</v>
      </c>
      <c r="C7" s="14">
        <f>SUM('Raw lists'!E2:E192)</f>
        <v>80</v>
      </c>
      <c r="D7" s="15">
        <f>IF(B7=0,0,C7/B7)</f>
        <v>0.41884816753926701</v>
      </c>
      <c r="E7" s="14">
        <f>COUNTIF('Claude vs tools'!C2:C139,"?*")</f>
        <v>57</v>
      </c>
      <c r="F7" s="15">
        <f>E7/COUNTA('Claude vs tools'!B2:B139)</f>
        <v>0.41304347826086957</v>
      </c>
      <c r="G7" s="15">
        <f>IF(D7+F7=0,0,2*D7*F7/(D7+F7))</f>
        <v>0.41592557121357226</v>
      </c>
      <c r="H7" s="15">
        <f>COUNTIFS('Claude vs tools'!F2:F139,"Core",'Claude vs tools'!C2:C139,"?*")/COUNTIF('Claude vs tools'!F2:F139,"Core")</f>
        <v>0.39130434782608697</v>
      </c>
    </row>
    <row r="8" spans="1:8" x14ac:dyDescent="0.3">
      <c r="A8" s="13" t="s">
        <v>1381</v>
      </c>
      <c r="B8" s="14">
        <f>COUNTA('Raw lists'!B2:B627)</f>
        <v>626</v>
      </c>
      <c r="C8" s="14">
        <f>SUM('Raw lists'!F2:F627)</f>
        <v>152</v>
      </c>
      <c r="D8" s="15">
        <f>IF(B8=0,0,C8/B8)</f>
        <v>0.24281150159744408</v>
      </c>
      <c r="E8" s="14">
        <f>COUNTIF('Claude vs tools'!D2:D139,"?*")</f>
        <v>96</v>
      </c>
      <c r="F8" s="15">
        <f>E8/COUNTA('Claude vs tools'!B2:B139)</f>
        <v>0.69565217391304346</v>
      </c>
      <c r="G8" s="15">
        <f>IF(D8+F8=0,0,2*D8*F8/(D8+F8))</f>
        <v>0.35997631734754293</v>
      </c>
      <c r="H8" s="15">
        <f>COUNTIFS('Claude vs tools'!F2:F139,"Core",'Claude vs tools'!D2:D139,"?*")/COUNTIF('Claude vs tools'!F2:F139,"Core")</f>
        <v>0.70434782608695656</v>
      </c>
    </row>
    <row r="9" spans="1:8" x14ac:dyDescent="0.3">
      <c r="A9" s="13" t="s">
        <v>1382</v>
      </c>
      <c r="B9" s="14">
        <f>COUNTA('Raw lists'!C2:C616)</f>
        <v>615</v>
      </c>
      <c r="C9" s="14">
        <f>SUM('Raw lists'!G2:G616)</f>
        <v>163</v>
      </c>
      <c r="D9" s="15">
        <f>IF(B9=0,0,C9/B9)</f>
        <v>0.26504065040650404</v>
      </c>
      <c r="E9" s="14">
        <f>COUNTIF('Claude vs tools'!E2:E139,"?*")</f>
        <v>98</v>
      </c>
      <c r="F9" s="15">
        <f>E9/COUNTA('Claude vs tools'!B2:B139)</f>
        <v>0.71014492753623193</v>
      </c>
      <c r="G9" s="15">
        <f>IF(D9+F9=0,0,2*D9*F9/(D9+F9))</f>
        <v>0.38601324247257257</v>
      </c>
      <c r="H9" s="15">
        <f>COUNTIFS('Claude vs tools'!F2:F139,"Core",'Claude vs tools'!E2:E139,"?*")/COUNTIF('Claude vs tools'!F2:F139,"Core")</f>
        <v>0.73913043478260865</v>
      </c>
    </row>
    <row r="10" spans="1:8" ht="30" customHeight="1" x14ac:dyDescent="0.3">
      <c r="A10" s="2" t="str">
        <f>"Claude's list has "&amp;COUNTA('Claude vs tools'!B2:B139)&amp;" concepts ("&amp;COUNTIF('Claude vs tools'!F2:F139,"Core")&amp;" core, "&amp;COUNTIF('Claude vs tools'!F2:F139,"Example")&amp;" named examples and applications). Precision = share of a tool's items that are in Claude's list. Recall = share of Claude's concepts the tool found."</f>
        <v>Claude's list has 138 concepts (115 core, 23 named examples and applications). Precision = share of a tool's items that are in Claude's list. Recall = share of Claude's concepts the tool found.</v>
      </c>
      <c r="B10" s="2"/>
      <c r="C10" s="2"/>
      <c r="D10" s="2"/>
      <c r="E10" s="2"/>
      <c r="F10" s="2"/>
      <c r="G10" s="2"/>
      <c r="H10" s="2"/>
    </row>
    <row r="12" spans="1:8" ht="15.6" x14ac:dyDescent="0.3">
      <c r="A12" s="12" t="s">
        <v>1383</v>
      </c>
    </row>
    <row r="13" spans="1:8" ht="48" customHeight="1" x14ac:dyDescent="0.3">
      <c r="A13" s="4" t="s">
        <v>1372</v>
      </c>
      <c r="B13" s="4" t="s">
        <v>1384</v>
      </c>
      <c r="C13" s="4" t="s">
        <v>1385</v>
      </c>
      <c r="D13" s="4" t="s">
        <v>1386</v>
      </c>
      <c r="E13" s="4" t="s">
        <v>1387</v>
      </c>
    </row>
    <row r="14" spans="1:8" x14ac:dyDescent="0.3">
      <c r="A14" s="13" t="s">
        <v>1380</v>
      </c>
      <c r="B14" s="14">
        <f>COUNTA('Tools matrix'!B2:B992)</f>
        <v>189</v>
      </c>
      <c r="C14" s="14">
        <f>SUMPRODUCT(('Tools matrix'!B2:B992&lt;&gt;"")*('Tools matrix'!E2:E992&gt;=2))</f>
        <v>143</v>
      </c>
      <c r="D14" s="14">
        <f>SUMPRODUCT(('Tools matrix'!B2:B992&lt;&gt;"")*('Tools matrix'!E2:E992=1))</f>
        <v>46</v>
      </c>
      <c r="E14" s="15">
        <f>IF(B14=0,0,C14/B14)</f>
        <v>0.75661375661375663</v>
      </c>
    </row>
    <row r="15" spans="1:8" x14ac:dyDescent="0.3">
      <c r="A15" s="13" t="s">
        <v>1381</v>
      </c>
      <c r="B15" s="14">
        <f>COUNTA('Tools matrix'!C2:C992)</f>
        <v>609</v>
      </c>
      <c r="C15" s="14">
        <f>SUMPRODUCT(('Tools matrix'!C2:C992&lt;&gt;"")*('Tools matrix'!E2:E992&gt;=2))</f>
        <v>252</v>
      </c>
      <c r="D15" s="14">
        <f>SUMPRODUCT(('Tools matrix'!C2:C992&lt;&gt;"")*('Tools matrix'!E2:E992=1))</f>
        <v>357</v>
      </c>
      <c r="E15" s="15">
        <f>IF(B15=0,0,C15/B15)</f>
        <v>0.41379310344827586</v>
      </c>
    </row>
    <row r="16" spans="1:8" x14ac:dyDescent="0.3">
      <c r="A16" s="13" t="s">
        <v>1382</v>
      </c>
      <c r="B16" s="14">
        <f>COUNTA('Tools matrix'!D2:D992)</f>
        <v>585</v>
      </c>
      <c r="C16" s="14">
        <f>SUMPRODUCT(('Tools matrix'!D2:D992&lt;&gt;"")*('Tools matrix'!E2:E992&gt;=2))</f>
        <v>316</v>
      </c>
      <c r="D16" s="14">
        <f>SUMPRODUCT(('Tools matrix'!D2:D992&lt;&gt;"")*('Tools matrix'!E2:E992=1))</f>
        <v>269</v>
      </c>
      <c r="E16" s="15">
        <f>IF(B16=0,0,C16/B16)</f>
        <v>0.54017094017094014</v>
      </c>
    </row>
    <row r="18" spans="1:8" ht="15.6" x14ac:dyDescent="0.3">
      <c r="A18" s="12" t="s">
        <v>1388</v>
      </c>
    </row>
    <row r="19" spans="1:8" x14ac:dyDescent="0.3">
      <c r="A19" s="16" t="s">
        <v>1389</v>
      </c>
      <c r="B19" s="17">
        <f>COUNTA('Tools matrix'!A2:A992)</f>
        <v>991</v>
      </c>
    </row>
    <row r="20" spans="1:8" x14ac:dyDescent="0.3">
      <c r="A20" s="16" t="s">
        <v>19</v>
      </c>
      <c r="B20" s="17">
        <f>COUNTIF('Tools matrix'!E2:E992,3)</f>
        <v>73</v>
      </c>
    </row>
    <row r="21" spans="1:8" x14ac:dyDescent="0.3">
      <c r="A21" s="16" t="s">
        <v>1390</v>
      </c>
      <c r="B21" s="17">
        <f>COUNTIF('Tools matrix'!E2:E992,2)</f>
        <v>246</v>
      </c>
    </row>
    <row r="22" spans="1:8" x14ac:dyDescent="0.3">
      <c r="A22" s="16" t="s">
        <v>1391</v>
      </c>
      <c r="B22" s="17">
        <f>COUNTIF('Tools matrix'!E2:E992,1)</f>
        <v>672</v>
      </c>
    </row>
    <row r="23" spans="1:8" x14ac:dyDescent="0.3">
      <c r="A23" s="16" t="s">
        <v>1392</v>
      </c>
      <c r="B23" s="17">
        <f>SUMPRODUCT(('Tools matrix'!B2:B992&lt;&gt;"")*('Tools matrix'!C2:C992&lt;&gt;""))</f>
        <v>76</v>
      </c>
    </row>
    <row r="24" spans="1:8" x14ac:dyDescent="0.3">
      <c r="A24" s="16" t="s">
        <v>1393</v>
      </c>
      <c r="B24" s="17">
        <f>SUMPRODUCT(('Tools matrix'!B2:B992&lt;&gt;"")*('Tools matrix'!D2:D992&lt;&gt;""))</f>
        <v>140</v>
      </c>
    </row>
    <row r="25" spans="1:8" x14ac:dyDescent="0.3">
      <c r="A25" s="16" t="s">
        <v>1394</v>
      </c>
      <c r="B25" s="17">
        <f>SUMPRODUCT(('Tools matrix'!C2:C992&lt;&gt;"")*('Tools matrix'!D2:D992&lt;&gt;""))</f>
        <v>249</v>
      </c>
    </row>
    <row r="27" spans="1:8" ht="15.6" x14ac:dyDescent="0.3">
      <c r="A27" s="12" t="s">
        <v>1395</v>
      </c>
    </row>
    <row r="28" spans="1:8" ht="48" customHeight="1" x14ac:dyDescent="0.3">
      <c r="A28" s="1" t="s">
        <v>1396</v>
      </c>
      <c r="B28" s="1"/>
      <c r="C28" s="1"/>
      <c r="D28" s="1"/>
      <c r="E28" s="1"/>
      <c r="F28" s="1"/>
      <c r="G28" s="1"/>
      <c r="H28" s="1"/>
    </row>
    <row r="29" spans="1:8" ht="48" customHeight="1" x14ac:dyDescent="0.3">
      <c r="A29" s="1" t="s">
        <v>1397</v>
      </c>
      <c r="B29" s="1"/>
      <c r="C29" s="1"/>
      <c r="D29" s="1"/>
      <c r="E29" s="1"/>
      <c r="F29" s="1"/>
      <c r="G29" s="1"/>
      <c r="H29" s="1"/>
    </row>
    <row r="30" spans="1:8" ht="48" customHeight="1" x14ac:dyDescent="0.3">
      <c r="A30" s="1" t="s">
        <v>1398</v>
      </c>
      <c r="B30" s="1"/>
      <c r="C30" s="1"/>
      <c r="D30" s="1"/>
      <c r="E30" s="1"/>
      <c r="F30" s="1"/>
      <c r="G30" s="1"/>
      <c r="H30" s="1"/>
    </row>
    <row r="31" spans="1:8" ht="61.5" customHeight="1" x14ac:dyDescent="0.3">
      <c r="A31" s="1" t="s">
        <v>1399</v>
      </c>
      <c r="B31" s="1"/>
      <c r="C31" s="1"/>
      <c r="D31" s="1"/>
      <c r="E31" s="1"/>
      <c r="F31" s="1"/>
      <c r="G31" s="1"/>
      <c r="H31" s="1"/>
    </row>
    <row r="32" spans="1:8" ht="48" customHeight="1" x14ac:dyDescent="0.3">
      <c r="A32" s="1" t="s">
        <v>1400</v>
      </c>
      <c r="B32" s="1"/>
      <c r="C32" s="1"/>
      <c r="D32" s="1"/>
      <c r="E32" s="1"/>
      <c r="F32" s="1"/>
      <c r="G32" s="1"/>
      <c r="H32" s="1"/>
    </row>
    <row r="33" spans="1:8" ht="48" customHeight="1" x14ac:dyDescent="0.3">
      <c r="A33" s="1" t="s">
        <v>1401</v>
      </c>
      <c r="B33" s="1"/>
      <c r="C33" s="1"/>
      <c r="D33" s="1"/>
      <c r="E33" s="1"/>
      <c r="F33" s="1"/>
      <c r="G33" s="1"/>
      <c r="H33" s="1"/>
    </row>
    <row r="34" spans="1:8" ht="48" customHeight="1" x14ac:dyDescent="0.3">
      <c r="A34" s="1" t="s">
        <v>1402</v>
      </c>
      <c r="B34" s="1"/>
      <c r="C34" s="1"/>
      <c r="D34" s="1"/>
      <c r="E34" s="1"/>
      <c r="F34" s="1"/>
      <c r="G34" s="1"/>
      <c r="H34" s="1"/>
    </row>
    <row r="36" spans="1:8" ht="15.6" x14ac:dyDescent="0.3">
      <c r="A36" s="12" t="s">
        <v>1403</v>
      </c>
    </row>
    <row r="37" spans="1:8" ht="45.75" customHeight="1" x14ac:dyDescent="0.3">
      <c r="A37" s="1" t="s">
        <v>1404</v>
      </c>
      <c r="B37" s="1"/>
      <c r="C37" s="1"/>
      <c r="D37" s="1"/>
      <c r="E37" s="1"/>
      <c r="F37" s="1"/>
      <c r="G37" s="1"/>
      <c r="H37" s="1"/>
    </row>
    <row r="38" spans="1:8" ht="45.75" customHeight="1" x14ac:dyDescent="0.3">
      <c r="A38" s="1" t="s">
        <v>1405</v>
      </c>
      <c r="B38" s="1"/>
      <c r="C38" s="1"/>
      <c r="D38" s="1"/>
      <c r="E38" s="1"/>
      <c r="F38" s="1"/>
      <c r="G38" s="1"/>
      <c r="H38" s="1"/>
    </row>
  </sheetData>
  <mergeCells count="11">
    <mergeCell ref="A38:H38"/>
    <mergeCell ref="A31:H31"/>
    <mergeCell ref="A32:H32"/>
    <mergeCell ref="A33:H33"/>
    <mergeCell ref="A34:H34"/>
    <mergeCell ref="A37:H37"/>
    <mergeCell ref="A5:H5"/>
    <mergeCell ref="A10:H10"/>
    <mergeCell ref="A28:H28"/>
    <mergeCell ref="A29:H29"/>
    <mergeCell ref="A30:H30"/>
  </mergeCells>
  <conditionalFormatting sqref="A7:H9">
    <cfRule type="expression" dxfId="6" priority="2">
      <formula>$G7=MAX($G$7:$G$9)</formula>
    </cfRule>
  </conditionalFormatting>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992"/>
  <sheetViews>
    <sheetView zoomScaleNormal="100" workbookViewId="0">
      <pane xSplit="1" ySplit="1" topLeftCell="B2" activePane="bottomRight" state="frozen"/>
      <selection pane="topRight" activeCell="B1" sqref="B1"/>
      <selection pane="bottomLeft" activeCell="A2" sqref="A2"/>
      <selection pane="bottomRight"/>
    </sheetView>
  </sheetViews>
  <sheetFormatPr defaultColWidth="8.6640625" defaultRowHeight="14.4" x14ac:dyDescent="0.3"/>
  <cols>
    <col min="1" max="1" width="30" customWidth="1"/>
    <col min="2" max="4" width="28" customWidth="1"/>
    <col min="5" max="5" width="11" customWidth="1"/>
    <col min="6" max="6" width="18" customWidth="1"/>
    <col min="7" max="7" width="44" customWidth="1"/>
    <col min="8" max="8" width="50" customWidth="1"/>
    <col min="9" max="9" width="14" customWidth="1"/>
    <col min="10" max="10" width="40" customWidth="1"/>
  </cols>
  <sheetData>
    <row r="1" spans="1:10" ht="31.5" customHeight="1" x14ac:dyDescent="0.3">
      <c r="A1" s="4" t="s">
        <v>1406</v>
      </c>
      <c r="B1" s="4" t="s">
        <v>1380</v>
      </c>
      <c r="C1" s="4" t="s">
        <v>1381</v>
      </c>
      <c r="D1" s="4" t="s">
        <v>1382</v>
      </c>
      <c r="E1" s="4" t="s">
        <v>1407</v>
      </c>
      <c r="F1" s="4" t="s">
        <v>8</v>
      </c>
      <c r="G1" s="4" t="s">
        <v>1408</v>
      </c>
      <c r="H1" s="4" t="s">
        <v>1409</v>
      </c>
      <c r="I1" s="4" t="s">
        <v>1410</v>
      </c>
      <c r="J1" s="5" t="s">
        <v>15</v>
      </c>
    </row>
    <row r="2" spans="1:10" ht="26.4" x14ac:dyDescent="0.3">
      <c r="A2" s="18" t="s">
        <v>470</v>
      </c>
      <c r="B2" s="7" t="s">
        <v>470</v>
      </c>
      <c r="C2" s="7" t="s">
        <v>470</v>
      </c>
      <c r="D2" s="7" t="s">
        <v>1411</v>
      </c>
      <c r="E2" s="6">
        <f t="shared" ref="E2:E65" si="0">COUNTA(B2:D2)</f>
        <v>3</v>
      </c>
      <c r="F2" s="6" t="str">
        <f t="shared" ref="F2:F65" si="1">IF(E2=3,"All three",IF(E2=2,SUBSTITUTE(TRIM(IF(B2&lt;&gt;"","Gemini ","")&amp;IF(C2&lt;&gt;"","RAKE ","")&amp;IF(D2&lt;&gt;"","YAKE",""))," "," + "),"Only "&amp;TRIM(IF(B2&lt;&gt;"","Gemini","")&amp;IF(C2&lt;&gt;"","RAKE","")&amp;IF(D2&lt;&gt;"","YAKE",""))))</f>
        <v>All three</v>
      </c>
      <c r="G2" s="7" t="s">
        <v>1412</v>
      </c>
      <c r="H2" s="7"/>
      <c r="I2" s="19" t="str">
        <f>IF(COUNTIF('Claude vs tools'!$K$2:$P$139,A2)&gt;0,"★ Yes","")</f>
        <v>★ Yes</v>
      </c>
      <c r="J2" s="8" t="s">
        <v>19</v>
      </c>
    </row>
    <row r="3" spans="1:10" ht="26.4" x14ac:dyDescent="0.3">
      <c r="A3" s="18" t="s">
        <v>476</v>
      </c>
      <c r="B3" s="7" t="s">
        <v>476</v>
      </c>
      <c r="C3" s="7" t="s">
        <v>476</v>
      </c>
      <c r="D3" s="7" t="s">
        <v>476</v>
      </c>
      <c r="E3" s="6">
        <f t="shared" si="0"/>
        <v>3</v>
      </c>
      <c r="F3" s="6" t="str">
        <f t="shared" si="1"/>
        <v>All three</v>
      </c>
      <c r="G3" s="7" t="s">
        <v>1413</v>
      </c>
      <c r="H3" s="7"/>
      <c r="I3" s="19" t="str">
        <f>IF(COUNTIF('Claude vs tools'!$K$2:$P$139,A3)&gt;0,"★ Yes","")</f>
        <v>★ Yes</v>
      </c>
      <c r="J3" s="9" t="s">
        <v>23</v>
      </c>
    </row>
    <row r="4" spans="1:10" x14ac:dyDescent="0.3">
      <c r="A4" s="18" t="s">
        <v>229</v>
      </c>
      <c r="B4" s="7" t="s">
        <v>229</v>
      </c>
      <c r="C4" s="7" t="s">
        <v>229</v>
      </c>
      <c r="D4" s="7" t="s">
        <v>229</v>
      </c>
      <c r="E4" s="6">
        <f t="shared" si="0"/>
        <v>3</v>
      </c>
      <c r="F4" s="6" t="str">
        <f t="shared" si="1"/>
        <v>All three</v>
      </c>
      <c r="G4" s="7" t="s">
        <v>1414</v>
      </c>
      <c r="H4" s="7"/>
      <c r="I4" s="19" t="str">
        <f>IF(COUNTIF('Claude vs tools'!$K$2:$P$139,A4)&gt;0,"★ Yes","")</f>
        <v>★ Yes</v>
      </c>
      <c r="J4" s="20" t="s">
        <v>1415</v>
      </c>
    </row>
    <row r="5" spans="1:10" ht="27" x14ac:dyDescent="0.3">
      <c r="A5" s="18" t="s">
        <v>565</v>
      </c>
      <c r="B5" s="7" t="s">
        <v>565</v>
      </c>
      <c r="C5" s="7" t="s">
        <v>565</v>
      </c>
      <c r="D5" s="7" t="s">
        <v>565</v>
      </c>
      <c r="E5" s="6">
        <f t="shared" si="0"/>
        <v>3</v>
      </c>
      <c r="F5" s="6" t="str">
        <f t="shared" si="1"/>
        <v>All three</v>
      </c>
      <c r="G5" s="7" t="s">
        <v>1416</v>
      </c>
      <c r="H5" s="7" t="s">
        <v>567</v>
      </c>
      <c r="I5" s="19" t="str">
        <f>IF(COUNTIF('Claude vs tools'!$K$2:$P$139,A5)&gt;0,"★ Yes","")</f>
        <v/>
      </c>
      <c r="J5" s="21" t="s">
        <v>1417</v>
      </c>
    </row>
    <row r="6" spans="1:10" ht="39.6" x14ac:dyDescent="0.3">
      <c r="A6" s="18" t="s">
        <v>568</v>
      </c>
      <c r="B6" s="7" t="s">
        <v>568</v>
      </c>
      <c r="C6" s="7" t="s">
        <v>568</v>
      </c>
      <c r="D6" s="7" t="s">
        <v>1418</v>
      </c>
      <c r="E6" s="6">
        <f t="shared" si="0"/>
        <v>3</v>
      </c>
      <c r="F6" s="6" t="str">
        <f t="shared" si="1"/>
        <v>All three</v>
      </c>
      <c r="G6" s="7" t="s">
        <v>1419</v>
      </c>
      <c r="H6" s="7"/>
      <c r="I6" s="19" t="str">
        <f>IF(COUNTIF('Claude vs tools'!$K$2:$P$139,A6)&gt;0,"★ Yes","")</f>
        <v/>
      </c>
      <c r="J6" s="11" t="s">
        <v>1420</v>
      </c>
    </row>
    <row r="7" spans="1:10" ht="39.6" x14ac:dyDescent="0.3">
      <c r="A7" s="18" t="s">
        <v>571</v>
      </c>
      <c r="B7" s="7" t="s">
        <v>571</v>
      </c>
      <c r="C7" s="7" t="s">
        <v>571</v>
      </c>
      <c r="D7" s="7" t="s">
        <v>1421</v>
      </c>
      <c r="E7" s="6">
        <f t="shared" si="0"/>
        <v>3</v>
      </c>
      <c r="F7" s="6" t="str">
        <f t="shared" si="1"/>
        <v>All three</v>
      </c>
      <c r="G7" s="7" t="s">
        <v>1422</v>
      </c>
      <c r="H7" s="7" t="s">
        <v>567</v>
      </c>
      <c r="I7" s="19" t="str">
        <f>IF(COUNTIF('Claude vs tools'!$K$2:$P$139,A7)&gt;0,"★ Yes","")</f>
        <v/>
      </c>
    </row>
    <row r="8" spans="1:10" x14ac:dyDescent="0.3">
      <c r="A8" s="18" t="s">
        <v>573</v>
      </c>
      <c r="B8" s="7" t="s">
        <v>573</v>
      </c>
      <c r="C8" s="7" t="s">
        <v>573</v>
      </c>
      <c r="D8" s="7" t="s">
        <v>573</v>
      </c>
      <c r="E8" s="6">
        <f t="shared" si="0"/>
        <v>3</v>
      </c>
      <c r="F8" s="6" t="str">
        <f t="shared" si="1"/>
        <v>All three</v>
      </c>
      <c r="G8" s="7" t="s">
        <v>1423</v>
      </c>
      <c r="H8" s="7"/>
      <c r="I8" s="19" t="str">
        <f>IF(COUNTIF('Claude vs tools'!$K$2:$P$139,A8)&gt;0,"★ Yes","")</f>
        <v/>
      </c>
    </row>
    <row r="9" spans="1:10" x14ac:dyDescent="0.3">
      <c r="A9" s="18" t="s">
        <v>360</v>
      </c>
      <c r="B9" s="7" t="s">
        <v>360</v>
      </c>
      <c r="C9" s="7" t="s">
        <v>360</v>
      </c>
      <c r="D9" s="7" t="s">
        <v>360</v>
      </c>
      <c r="E9" s="6">
        <f t="shared" si="0"/>
        <v>3</v>
      </c>
      <c r="F9" s="6" t="str">
        <f t="shared" si="1"/>
        <v>All three</v>
      </c>
      <c r="G9" s="7" t="s">
        <v>1424</v>
      </c>
      <c r="H9" s="7"/>
      <c r="I9" s="19" t="str">
        <f>IF(COUNTIF('Claude vs tools'!$K$2:$P$139,A9)&gt;0,"★ Yes","")</f>
        <v>★ Yes</v>
      </c>
    </row>
    <row r="10" spans="1:10" x14ac:dyDescent="0.3">
      <c r="A10" s="18" t="s">
        <v>425</v>
      </c>
      <c r="B10" s="7" t="s">
        <v>425</v>
      </c>
      <c r="C10" s="7" t="s">
        <v>425</v>
      </c>
      <c r="D10" s="7" t="s">
        <v>425</v>
      </c>
      <c r="E10" s="6">
        <f t="shared" si="0"/>
        <v>3</v>
      </c>
      <c r="F10" s="6" t="str">
        <f t="shared" si="1"/>
        <v>All three</v>
      </c>
      <c r="G10" s="7" t="s">
        <v>1425</v>
      </c>
      <c r="H10" s="7"/>
      <c r="I10" s="19" t="str">
        <f>IF(COUNTIF('Claude vs tools'!$K$2:$P$139,A10)&gt;0,"★ Yes","")</f>
        <v>★ Yes</v>
      </c>
    </row>
    <row r="11" spans="1:10" ht="26.4" x14ac:dyDescent="0.3">
      <c r="A11" s="18" t="s">
        <v>136</v>
      </c>
      <c r="B11" s="7" t="s">
        <v>136</v>
      </c>
      <c r="C11" s="7" t="s">
        <v>136</v>
      </c>
      <c r="D11" s="7" t="s">
        <v>136</v>
      </c>
      <c r="E11" s="6">
        <f t="shared" si="0"/>
        <v>3</v>
      </c>
      <c r="F11" s="6" t="str">
        <f t="shared" si="1"/>
        <v>All three</v>
      </c>
      <c r="G11" s="7" t="s">
        <v>1426</v>
      </c>
      <c r="H11" s="7"/>
      <c r="I11" s="19" t="str">
        <f>IF(COUNTIF('Claude vs tools'!$K$2:$P$139,A11)&gt;0,"★ Yes","")</f>
        <v>★ Yes</v>
      </c>
    </row>
    <row r="12" spans="1:10" x14ac:dyDescent="0.3">
      <c r="A12" s="18" t="s">
        <v>137</v>
      </c>
      <c r="B12" s="7" t="s">
        <v>137</v>
      </c>
      <c r="C12" s="7" t="s">
        <v>137</v>
      </c>
      <c r="D12" s="7" t="s">
        <v>137</v>
      </c>
      <c r="E12" s="6">
        <f t="shared" si="0"/>
        <v>3</v>
      </c>
      <c r="F12" s="6" t="str">
        <f t="shared" si="1"/>
        <v>All three</v>
      </c>
      <c r="G12" s="7" t="s">
        <v>1427</v>
      </c>
      <c r="H12" s="7"/>
      <c r="I12" s="19" t="str">
        <f>IF(COUNTIF('Claude vs tools'!$K$2:$P$139,A12)&gt;0,"★ Yes","")</f>
        <v>★ Yes</v>
      </c>
    </row>
    <row r="13" spans="1:10" ht="26.4" x14ac:dyDescent="0.3">
      <c r="A13" s="18" t="s">
        <v>574</v>
      </c>
      <c r="B13" s="7" t="s">
        <v>574</v>
      </c>
      <c r="C13" s="7" t="s">
        <v>574</v>
      </c>
      <c r="D13" s="7" t="s">
        <v>574</v>
      </c>
      <c r="E13" s="6">
        <f t="shared" si="0"/>
        <v>3</v>
      </c>
      <c r="F13" s="6" t="str">
        <f t="shared" si="1"/>
        <v>All three</v>
      </c>
      <c r="G13" s="7" t="s">
        <v>1428</v>
      </c>
      <c r="H13" s="7"/>
      <c r="I13" s="19" t="str">
        <f>IF(COUNTIF('Claude vs tools'!$K$2:$P$139,A13)&gt;0,"★ Yes","")</f>
        <v/>
      </c>
    </row>
    <row r="14" spans="1:10" x14ac:dyDescent="0.3">
      <c r="A14" s="18" t="s">
        <v>141</v>
      </c>
      <c r="B14" s="7" t="s">
        <v>141</v>
      </c>
      <c r="C14" s="7" t="s">
        <v>141</v>
      </c>
      <c r="D14" s="7" t="s">
        <v>141</v>
      </c>
      <c r="E14" s="6">
        <f t="shared" si="0"/>
        <v>3</v>
      </c>
      <c r="F14" s="6" t="str">
        <f t="shared" si="1"/>
        <v>All three</v>
      </c>
      <c r="G14" s="7" t="s">
        <v>1429</v>
      </c>
      <c r="H14" s="7"/>
      <c r="I14" s="19" t="str">
        <f>IF(COUNTIF('Claude vs tools'!$K$2:$P$139,A14)&gt;0,"★ Yes","")</f>
        <v>★ Yes</v>
      </c>
    </row>
    <row r="15" spans="1:10" x14ac:dyDescent="0.3">
      <c r="A15" s="18" t="s">
        <v>404</v>
      </c>
      <c r="B15" s="7" t="s">
        <v>404</v>
      </c>
      <c r="C15" s="7" t="s">
        <v>404</v>
      </c>
      <c r="D15" s="7" t="s">
        <v>404</v>
      </c>
      <c r="E15" s="6">
        <f t="shared" si="0"/>
        <v>3</v>
      </c>
      <c r="F15" s="6" t="str">
        <f t="shared" si="1"/>
        <v>All three</v>
      </c>
      <c r="G15" s="7" t="s">
        <v>1430</v>
      </c>
      <c r="H15" s="7"/>
      <c r="I15" s="19" t="str">
        <f>IF(COUNTIF('Claude vs tools'!$K$2:$P$139,A15)&gt;0,"★ Yes","")</f>
        <v>★ Yes</v>
      </c>
    </row>
    <row r="16" spans="1:10" x14ac:dyDescent="0.3">
      <c r="A16" s="18" t="s">
        <v>575</v>
      </c>
      <c r="B16" s="7" t="s">
        <v>575</v>
      </c>
      <c r="C16" s="7" t="s">
        <v>575</v>
      </c>
      <c r="D16" s="7" t="s">
        <v>575</v>
      </c>
      <c r="E16" s="6">
        <f t="shared" si="0"/>
        <v>3</v>
      </c>
      <c r="F16" s="6" t="str">
        <f t="shared" si="1"/>
        <v>All three</v>
      </c>
      <c r="G16" s="7" t="s">
        <v>795</v>
      </c>
      <c r="H16" s="7"/>
      <c r="I16" s="19" t="str">
        <f>IF(COUNTIF('Claude vs tools'!$K$2:$P$139,A16)&gt;0,"★ Yes","")</f>
        <v/>
      </c>
    </row>
    <row r="17" spans="1:9" x14ac:dyDescent="0.3">
      <c r="A17" s="18" t="s">
        <v>172</v>
      </c>
      <c r="B17" s="7" t="s">
        <v>172</v>
      </c>
      <c r="C17" s="7" t="s">
        <v>172</v>
      </c>
      <c r="D17" s="7" t="s">
        <v>172</v>
      </c>
      <c r="E17" s="6">
        <f t="shared" si="0"/>
        <v>3</v>
      </c>
      <c r="F17" s="6" t="str">
        <f t="shared" si="1"/>
        <v>All three</v>
      </c>
      <c r="G17" s="7" t="s">
        <v>1431</v>
      </c>
      <c r="H17" s="7"/>
      <c r="I17" s="19" t="str">
        <f>IF(COUNTIF('Claude vs tools'!$K$2:$P$139,A17)&gt;0,"★ Yes","")</f>
        <v>★ Yes</v>
      </c>
    </row>
    <row r="18" spans="1:9" ht="26.4" x14ac:dyDescent="0.3">
      <c r="A18" s="18" t="s">
        <v>75</v>
      </c>
      <c r="B18" s="7" t="s">
        <v>75</v>
      </c>
      <c r="C18" s="7" t="s">
        <v>75</v>
      </c>
      <c r="D18" s="7" t="s">
        <v>75</v>
      </c>
      <c r="E18" s="6">
        <f t="shared" si="0"/>
        <v>3</v>
      </c>
      <c r="F18" s="6" t="str">
        <f t="shared" si="1"/>
        <v>All three</v>
      </c>
      <c r="G18" s="7" t="s">
        <v>1432</v>
      </c>
      <c r="H18" s="7"/>
      <c r="I18" s="19" t="str">
        <f>IF(COUNTIF('Claude vs tools'!$K$2:$P$139,A18)&gt;0,"★ Yes","")</f>
        <v>★ Yes</v>
      </c>
    </row>
    <row r="19" spans="1:9" ht="39.6" x14ac:dyDescent="0.3">
      <c r="A19" s="18" t="s">
        <v>576</v>
      </c>
      <c r="B19" s="7" t="s">
        <v>576</v>
      </c>
      <c r="C19" s="7" t="s">
        <v>576</v>
      </c>
      <c r="D19" s="7" t="s">
        <v>576</v>
      </c>
      <c r="E19" s="6">
        <f t="shared" si="0"/>
        <v>3</v>
      </c>
      <c r="F19" s="6" t="str">
        <f t="shared" si="1"/>
        <v>All three</v>
      </c>
      <c r="G19" s="7" t="s">
        <v>1433</v>
      </c>
      <c r="H19" s="7"/>
      <c r="I19" s="19" t="str">
        <f>IF(COUNTIF('Claude vs tools'!$K$2:$P$139,A19)&gt;0,"★ Yes","")</f>
        <v/>
      </c>
    </row>
    <row r="20" spans="1:9" ht="26.4" x14ac:dyDescent="0.3">
      <c r="A20" s="18" t="s">
        <v>577</v>
      </c>
      <c r="B20" s="7" t="s">
        <v>577</v>
      </c>
      <c r="C20" s="7" t="s">
        <v>577</v>
      </c>
      <c r="D20" s="7" t="s">
        <v>577</v>
      </c>
      <c r="E20" s="6">
        <f t="shared" si="0"/>
        <v>3</v>
      </c>
      <c r="F20" s="6" t="str">
        <f t="shared" si="1"/>
        <v>All three</v>
      </c>
      <c r="G20" s="7" t="s">
        <v>1434</v>
      </c>
      <c r="H20" s="7"/>
      <c r="I20" s="19" t="str">
        <f>IF(COUNTIF('Claude vs tools'!$K$2:$P$139,A20)&gt;0,"★ Yes","")</f>
        <v/>
      </c>
    </row>
    <row r="21" spans="1:9" ht="26.4" x14ac:dyDescent="0.3">
      <c r="A21" s="18" t="s">
        <v>219</v>
      </c>
      <c r="B21" s="7" t="s">
        <v>219</v>
      </c>
      <c r="C21" s="7" t="s">
        <v>219</v>
      </c>
      <c r="D21" s="7" t="s">
        <v>219</v>
      </c>
      <c r="E21" s="6">
        <f t="shared" si="0"/>
        <v>3</v>
      </c>
      <c r="F21" s="6" t="str">
        <f t="shared" si="1"/>
        <v>All three</v>
      </c>
      <c r="G21" s="7" t="s">
        <v>1435</v>
      </c>
      <c r="H21" s="7"/>
      <c r="I21" s="19" t="str">
        <f>IF(COUNTIF('Claude vs tools'!$K$2:$P$139,A21)&gt;0,"★ Yes","")</f>
        <v>★ Yes</v>
      </c>
    </row>
    <row r="22" spans="1:9" ht="26.4" x14ac:dyDescent="0.3">
      <c r="A22" s="18" t="s">
        <v>211</v>
      </c>
      <c r="B22" s="7" t="s">
        <v>211</v>
      </c>
      <c r="C22" s="7" t="s">
        <v>211</v>
      </c>
      <c r="D22" s="7" t="s">
        <v>1436</v>
      </c>
      <c r="E22" s="6">
        <f t="shared" si="0"/>
        <v>3</v>
      </c>
      <c r="F22" s="6" t="str">
        <f t="shared" si="1"/>
        <v>All three</v>
      </c>
      <c r="G22" s="7" t="s">
        <v>1437</v>
      </c>
      <c r="H22" s="7"/>
      <c r="I22" s="19" t="str">
        <f>IF(COUNTIF('Claude vs tools'!$K$2:$P$139,A22)&gt;0,"★ Yes","")</f>
        <v>★ Yes</v>
      </c>
    </row>
    <row r="23" spans="1:9" ht="26.4" x14ac:dyDescent="0.3">
      <c r="A23" s="18" t="s">
        <v>205</v>
      </c>
      <c r="B23" s="7" t="s">
        <v>205</v>
      </c>
      <c r="C23" s="7" t="s">
        <v>205</v>
      </c>
      <c r="D23" s="7" t="s">
        <v>205</v>
      </c>
      <c r="E23" s="6">
        <f t="shared" si="0"/>
        <v>3</v>
      </c>
      <c r="F23" s="6" t="str">
        <f t="shared" si="1"/>
        <v>All three</v>
      </c>
      <c r="G23" s="7" t="s">
        <v>1438</v>
      </c>
      <c r="H23" s="7"/>
      <c r="I23" s="19" t="str">
        <f>IF(COUNTIF('Claude vs tools'!$K$2:$P$139,A23)&gt;0,"★ Yes","")</f>
        <v>★ Yes</v>
      </c>
    </row>
    <row r="24" spans="1:9" ht="26.4" x14ac:dyDescent="0.3">
      <c r="A24" s="18" t="s">
        <v>203</v>
      </c>
      <c r="B24" s="7" t="s">
        <v>1439</v>
      </c>
      <c r="C24" s="7" t="s">
        <v>1439</v>
      </c>
      <c r="D24" s="7" t="s">
        <v>1439</v>
      </c>
      <c r="E24" s="6">
        <f t="shared" si="0"/>
        <v>3</v>
      </c>
      <c r="F24" s="6" t="str">
        <f t="shared" si="1"/>
        <v>All three</v>
      </c>
      <c r="G24" s="7" t="s">
        <v>1440</v>
      </c>
      <c r="H24" s="7"/>
      <c r="I24" s="19" t="str">
        <f>IF(COUNTIF('Claude vs tools'!$K$2:$P$139,A24)&gt;0,"★ Yes","")</f>
        <v>★ Yes</v>
      </c>
    </row>
    <row r="25" spans="1:9" x14ac:dyDescent="0.3">
      <c r="A25" s="18" t="s">
        <v>91</v>
      </c>
      <c r="B25" s="7" t="s">
        <v>91</v>
      </c>
      <c r="C25" s="7" t="s">
        <v>91</v>
      </c>
      <c r="D25" s="7" t="s">
        <v>91</v>
      </c>
      <c r="E25" s="6">
        <f t="shared" si="0"/>
        <v>3</v>
      </c>
      <c r="F25" s="6" t="str">
        <f t="shared" si="1"/>
        <v>All three</v>
      </c>
      <c r="G25" s="7" t="s">
        <v>1441</v>
      </c>
      <c r="H25" s="7"/>
      <c r="I25" s="19" t="str">
        <f>IF(COUNTIF('Claude vs tools'!$K$2:$P$139,A25)&gt;0,"★ Yes","")</f>
        <v>★ Yes</v>
      </c>
    </row>
    <row r="26" spans="1:9" x14ac:dyDescent="0.3">
      <c r="A26" s="18" t="s">
        <v>578</v>
      </c>
      <c r="B26" s="7" t="s">
        <v>578</v>
      </c>
      <c r="C26" s="7" t="s">
        <v>578</v>
      </c>
      <c r="D26" s="7" t="s">
        <v>578</v>
      </c>
      <c r="E26" s="6">
        <f t="shared" si="0"/>
        <v>3</v>
      </c>
      <c r="F26" s="6" t="str">
        <f t="shared" si="1"/>
        <v>All three</v>
      </c>
      <c r="G26" s="7" t="s">
        <v>1442</v>
      </c>
      <c r="H26" s="7"/>
      <c r="I26" s="19" t="str">
        <f>IF(COUNTIF('Claude vs tools'!$K$2:$P$139,A26)&gt;0,"★ Yes","")</f>
        <v/>
      </c>
    </row>
    <row r="27" spans="1:9" x14ac:dyDescent="0.3">
      <c r="A27" s="18" t="s">
        <v>451</v>
      </c>
      <c r="B27" s="7" t="s">
        <v>451</v>
      </c>
      <c r="C27" s="7" t="s">
        <v>451</v>
      </c>
      <c r="D27" s="7" t="s">
        <v>451</v>
      </c>
      <c r="E27" s="6">
        <f t="shared" si="0"/>
        <v>3</v>
      </c>
      <c r="F27" s="6" t="str">
        <f t="shared" si="1"/>
        <v>All three</v>
      </c>
      <c r="G27" s="7" t="s">
        <v>1443</v>
      </c>
      <c r="H27" s="7"/>
      <c r="I27" s="19" t="str">
        <f>IF(COUNTIF('Claude vs tools'!$K$2:$P$139,A27)&gt;0,"★ Yes","")</f>
        <v>★ Yes</v>
      </c>
    </row>
    <row r="28" spans="1:9" x14ac:dyDescent="0.3">
      <c r="A28" s="18" t="s">
        <v>579</v>
      </c>
      <c r="B28" s="7" t="s">
        <v>579</v>
      </c>
      <c r="C28" s="7" t="s">
        <v>579</v>
      </c>
      <c r="D28" s="7" t="s">
        <v>579</v>
      </c>
      <c r="E28" s="6">
        <f t="shared" si="0"/>
        <v>3</v>
      </c>
      <c r="F28" s="6" t="str">
        <f t="shared" si="1"/>
        <v>All three</v>
      </c>
      <c r="G28" s="7" t="s">
        <v>1444</v>
      </c>
      <c r="H28" s="7"/>
      <c r="I28" s="19" t="str">
        <f>IF(COUNTIF('Claude vs tools'!$K$2:$P$139,A28)&gt;0,"★ Yes","")</f>
        <v/>
      </c>
    </row>
    <row r="29" spans="1:9" x14ac:dyDescent="0.3">
      <c r="A29" s="18" t="s">
        <v>168</v>
      </c>
      <c r="B29" s="7" t="s">
        <v>168</v>
      </c>
      <c r="C29" s="7" t="s">
        <v>168</v>
      </c>
      <c r="D29" s="7" t="s">
        <v>168</v>
      </c>
      <c r="E29" s="6">
        <f t="shared" si="0"/>
        <v>3</v>
      </c>
      <c r="F29" s="6" t="str">
        <f t="shared" si="1"/>
        <v>All three</v>
      </c>
      <c r="G29" s="7" t="s">
        <v>1445</v>
      </c>
      <c r="H29" s="7"/>
      <c r="I29" s="19" t="str">
        <f>IF(COUNTIF('Claude vs tools'!$K$2:$P$139,A29)&gt;0,"★ Yes","")</f>
        <v>★ Yes</v>
      </c>
    </row>
    <row r="30" spans="1:9" ht="39.6" x14ac:dyDescent="0.3">
      <c r="A30" s="18" t="s">
        <v>580</v>
      </c>
      <c r="B30" s="7" t="s">
        <v>580</v>
      </c>
      <c r="C30" s="7" t="s">
        <v>580</v>
      </c>
      <c r="D30" s="7" t="s">
        <v>580</v>
      </c>
      <c r="E30" s="6">
        <f t="shared" si="0"/>
        <v>3</v>
      </c>
      <c r="F30" s="6" t="str">
        <f t="shared" si="1"/>
        <v>All three</v>
      </c>
      <c r="G30" s="7" t="s">
        <v>1446</v>
      </c>
      <c r="H30" s="7"/>
      <c r="I30" s="19" t="str">
        <f>IF(COUNTIF('Claude vs tools'!$K$2:$P$139,A30)&gt;0,"★ Yes","")</f>
        <v/>
      </c>
    </row>
    <row r="31" spans="1:9" ht="26.4" x14ac:dyDescent="0.3">
      <c r="A31" s="18" t="s">
        <v>581</v>
      </c>
      <c r="B31" s="7" t="s">
        <v>581</v>
      </c>
      <c r="C31" s="7" t="s">
        <v>581</v>
      </c>
      <c r="D31" s="7" t="s">
        <v>581</v>
      </c>
      <c r="E31" s="6">
        <f t="shared" si="0"/>
        <v>3</v>
      </c>
      <c r="F31" s="6" t="str">
        <f t="shared" si="1"/>
        <v>All three</v>
      </c>
      <c r="G31" s="7" t="s">
        <v>1447</v>
      </c>
      <c r="H31" s="7"/>
      <c r="I31" s="19" t="str">
        <f>IF(COUNTIF('Claude vs tools'!$K$2:$P$139,A31)&gt;0,"★ Yes","")</f>
        <v/>
      </c>
    </row>
    <row r="32" spans="1:9" ht="26.4" x14ac:dyDescent="0.3">
      <c r="A32" s="18" t="s">
        <v>582</v>
      </c>
      <c r="B32" s="7" t="s">
        <v>582</v>
      </c>
      <c r="C32" s="7" t="s">
        <v>582</v>
      </c>
      <c r="D32" s="7" t="s">
        <v>582</v>
      </c>
      <c r="E32" s="6">
        <f t="shared" si="0"/>
        <v>3</v>
      </c>
      <c r="F32" s="6" t="str">
        <f t="shared" si="1"/>
        <v>All three</v>
      </c>
      <c r="G32" s="7" t="s">
        <v>1448</v>
      </c>
      <c r="H32" s="7"/>
      <c r="I32" s="19" t="str">
        <f>IF(COUNTIF('Claude vs tools'!$K$2:$P$139,A32)&gt;0,"★ Yes","")</f>
        <v/>
      </c>
    </row>
    <row r="33" spans="1:9" x14ac:dyDescent="0.3">
      <c r="A33" s="18" t="s">
        <v>583</v>
      </c>
      <c r="B33" s="7" t="s">
        <v>583</v>
      </c>
      <c r="C33" s="7" t="s">
        <v>583</v>
      </c>
      <c r="D33" s="7" t="s">
        <v>583</v>
      </c>
      <c r="E33" s="6">
        <f t="shared" si="0"/>
        <v>3</v>
      </c>
      <c r="F33" s="6" t="str">
        <f t="shared" si="1"/>
        <v>All three</v>
      </c>
      <c r="G33" s="7" t="s">
        <v>1449</v>
      </c>
      <c r="H33" s="7"/>
      <c r="I33" s="19" t="str">
        <f>IF(COUNTIF('Claude vs tools'!$K$2:$P$139,A33)&gt;0,"★ Yes","")</f>
        <v/>
      </c>
    </row>
    <row r="34" spans="1:9" ht="39.6" x14ac:dyDescent="0.3">
      <c r="A34" s="18" t="s">
        <v>158</v>
      </c>
      <c r="B34" s="7" t="s">
        <v>158</v>
      </c>
      <c r="C34" s="7" t="s">
        <v>1450</v>
      </c>
      <c r="D34" s="7" t="s">
        <v>1450</v>
      </c>
      <c r="E34" s="6">
        <f t="shared" si="0"/>
        <v>3</v>
      </c>
      <c r="F34" s="6" t="str">
        <f t="shared" si="1"/>
        <v>All three</v>
      </c>
      <c r="G34" s="7" t="s">
        <v>1451</v>
      </c>
      <c r="H34" s="7"/>
      <c r="I34" s="19" t="str">
        <f>IF(COUNTIF('Claude vs tools'!$K$2:$P$139,A34)&gt;0,"★ Yes","")</f>
        <v>★ Yes</v>
      </c>
    </row>
    <row r="35" spans="1:9" ht="26.4" x14ac:dyDescent="0.3">
      <c r="A35" s="18" t="s">
        <v>253</v>
      </c>
      <c r="B35" s="7" t="s">
        <v>253</v>
      </c>
      <c r="C35" s="7" t="s">
        <v>1452</v>
      </c>
      <c r="D35" s="7" t="s">
        <v>1452</v>
      </c>
      <c r="E35" s="6">
        <f t="shared" si="0"/>
        <v>3</v>
      </c>
      <c r="F35" s="6" t="str">
        <f t="shared" si="1"/>
        <v>All three</v>
      </c>
      <c r="G35" s="7" t="s">
        <v>1453</v>
      </c>
      <c r="H35" s="7"/>
      <c r="I35" s="19" t="str">
        <f>IF(COUNTIF('Claude vs tools'!$K$2:$P$139,A35)&gt;0,"★ Yes","")</f>
        <v>★ Yes</v>
      </c>
    </row>
    <row r="36" spans="1:9" x14ac:dyDescent="0.3">
      <c r="A36" s="18" t="s">
        <v>444</v>
      </c>
      <c r="B36" s="7" t="s">
        <v>444</v>
      </c>
      <c r="C36" s="7" t="s">
        <v>444</v>
      </c>
      <c r="D36" s="7" t="s">
        <v>444</v>
      </c>
      <c r="E36" s="6">
        <f t="shared" si="0"/>
        <v>3</v>
      </c>
      <c r="F36" s="6" t="str">
        <f t="shared" si="1"/>
        <v>All three</v>
      </c>
      <c r="G36" s="7" t="s">
        <v>1454</v>
      </c>
      <c r="H36" s="7"/>
      <c r="I36" s="19" t="str">
        <f>IF(COUNTIF('Claude vs tools'!$K$2:$P$139,A36)&gt;0,"★ Yes","")</f>
        <v>★ Yes</v>
      </c>
    </row>
    <row r="37" spans="1:9" ht="26.4" x14ac:dyDescent="0.3">
      <c r="A37" s="18" t="s">
        <v>584</v>
      </c>
      <c r="B37" s="7" t="s">
        <v>584</v>
      </c>
      <c r="C37" s="7" t="s">
        <v>1455</v>
      </c>
      <c r="D37" s="7" t="s">
        <v>1455</v>
      </c>
      <c r="E37" s="6">
        <f t="shared" si="0"/>
        <v>3</v>
      </c>
      <c r="F37" s="6" t="str">
        <f t="shared" si="1"/>
        <v>All three</v>
      </c>
      <c r="G37" s="7" t="s">
        <v>1456</v>
      </c>
      <c r="H37" s="7"/>
      <c r="I37" s="19" t="str">
        <f>IF(COUNTIF('Claude vs tools'!$K$2:$P$139,A37)&gt;0,"★ Yes","")</f>
        <v/>
      </c>
    </row>
    <row r="38" spans="1:9" x14ac:dyDescent="0.3">
      <c r="A38" s="18" t="s">
        <v>586</v>
      </c>
      <c r="B38" s="7" t="s">
        <v>586</v>
      </c>
      <c r="C38" s="7" t="s">
        <v>586</v>
      </c>
      <c r="D38" s="7" t="s">
        <v>586</v>
      </c>
      <c r="E38" s="6">
        <f t="shared" si="0"/>
        <v>3</v>
      </c>
      <c r="F38" s="6" t="str">
        <f t="shared" si="1"/>
        <v>All three</v>
      </c>
      <c r="G38" s="7" t="s">
        <v>1457</v>
      </c>
      <c r="H38" s="7"/>
      <c r="I38" s="19" t="str">
        <f>IF(COUNTIF('Claude vs tools'!$K$2:$P$139,A38)&gt;0,"★ Yes","")</f>
        <v/>
      </c>
    </row>
    <row r="39" spans="1:9" ht="26.4" x14ac:dyDescent="0.3">
      <c r="A39" s="18" t="s">
        <v>213</v>
      </c>
      <c r="B39" s="7" t="s">
        <v>213</v>
      </c>
      <c r="C39" s="7" t="s">
        <v>1458</v>
      </c>
      <c r="D39" s="7" t="s">
        <v>1458</v>
      </c>
      <c r="E39" s="6">
        <f t="shared" si="0"/>
        <v>3</v>
      </c>
      <c r="F39" s="6" t="str">
        <f t="shared" si="1"/>
        <v>All three</v>
      </c>
      <c r="G39" s="7" t="s">
        <v>1459</v>
      </c>
      <c r="H39" s="7"/>
      <c r="I39" s="19" t="str">
        <f>IF(COUNTIF('Claude vs tools'!$K$2:$P$139,A39)&gt;0,"★ Yes","")</f>
        <v>★ Yes</v>
      </c>
    </row>
    <row r="40" spans="1:9" ht="26.4" x14ac:dyDescent="0.3">
      <c r="A40" s="18" t="s">
        <v>195</v>
      </c>
      <c r="B40" s="7" t="s">
        <v>195</v>
      </c>
      <c r="C40" s="7" t="s">
        <v>1460</v>
      </c>
      <c r="D40" s="7" t="s">
        <v>1460</v>
      </c>
      <c r="E40" s="6">
        <f t="shared" si="0"/>
        <v>3</v>
      </c>
      <c r="F40" s="6" t="str">
        <f t="shared" si="1"/>
        <v>All three</v>
      </c>
      <c r="G40" s="7" t="s">
        <v>1461</v>
      </c>
      <c r="H40" s="7"/>
      <c r="I40" s="19" t="str">
        <f>IF(COUNTIF('Claude vs tools'!$K$2:$P$139,A40)&gt;0,"★ Yes","")</f>
        <v>★ Yes</v>
      </c>
    </row>
    <row r="41" spans="1:9" ht="26.4" x14ac:dyDescent="0.3">
      <c r="A41" s="18" t="s">
        <v>126</v>
      </c>
      <c r="B41" s="7" t="s">
        <v>126</v>
      </c>
      <c r="C41" s="7" t="s">
        <v>126</v>
      </c>
      <c r="D41" s="7" t="s">
        <v>126</v>
      </c>
      <c r="E41" s="6">
        <f t="shared" si="0"/>
        <v>3</v>
      </c>
      <c r="F41" s="6" t="str">
        <f t="shared" si="1"/>
        <v>All three</v>
      </c>
      <c r="G41" s="7" t="s">
        <v>1462</v>
      </c>
      <c r="H41" s="7"/>
      <c r="I41" s="19" t="str">
        <f>IF(COUNTIF('Claude vs tools'!$K$2:$P$139,A41)&gt;0,"★ Yes","")</f>
        <v>★ Yes</v>
      </c>
    </row>
    <row r="42" spans="1:9" ht="39.6" x14ac:dyDescent="0.3">
      <c r="A42" s="18" t="s">
        <v>306</v>
      </c>
      <c r="B42" s="7" t="s">
        <v>306</v>
      </c>
      <c r="C42" s="7" t="s">
        <v>306</v>
      </c>
      <c r="D42" s="7" t="s">
        <v>306</v>
      </c>
      <c r="E42" s="6">
        <f t="shared" si="0"/>
        <v>3</v>
      </c>
      <c r="F42" s="6" t="str">
        <f t="shared" si="1"/>
        <v>All three</v>
      </c>
      <c r="G42" s="7" t="s">
        <v>1463</v>
      </c>
      <c r="H42" s="7"/>
      <c r="I42" s="19" t="str">
        <f>IF(COUNTIF('Claude vs tools'!$K$2:$P$139,A42)&gt;0,"★ Yes","")</f>
        <v>★ Yes</v>
      </c>
    </row>
    <row r="43" spans="1:9" ht="26.4" x14ac:dyDescent="0.3">
      <c r="A43" s="18" t="s">
        <v>132</v>
      </c>
      <c r="B43" s="7" t="s">
        <v>132</v>
      </c>
      <c r="C43" s="7" t="s">
        <v>132</v>
      </c>
      <c r="D43" s="7" t="s">
        <v>132</v>
      </c>
      <c r="E43" s="6">
        <f t="shared" si="0"/>
        <v>3</v>
      </c>
      <c r="F43" s="6" t="str">
        <f t="shared" si="1"/>
        <v>All three</v>
      </c>
      <c r="G43" s="7" t="s">
        <v>1464</v>
      </c>
      <c r="H43" s="7"/>
      <c r="I43" s="19" t="str">
        <f>IF(COUNTIF('Claude vs tools'!$K$2:$P$139,A43)&gt;0,"★ Yes","")</f>
        <v>★ Yes</v>
      </c>
    </row>
    <row r="44" spans="1:9" x14ac:dyDescent="0.3">
      <c r="A44" s="18" t="s">
        <v>479</v>
      </c>
      <c r="B44" s="7" t="s">
        <v>479</v>
      </c>
      <c r="C44" s="7" t="s">
        <v>479</v>
      </c>
      <c r="D44" s="7" t="s">
        <v>479</v>
      </c>
      <c r="E44" s="6">
        <f t="shared" si="0"/>
        <v>3</v>
      </c>
      <c r="F44" s="6" t="str">
        <f t="shared" si="1"/>
        <v>All three</v>
      </c>
      <c r="G44" s="7" t="s">
        <v>1465</v>
      </c>
      <c r="H44" s="7"/>
      <c r="I44" s="19" t="str">
        <f>IF(COUNTIF('Claude vs tools'!$K$2:$P$139,A44)&gt;0,"★ Yes","")</f>
        <v>★ Yes</v>
      </c>
    </row>
    <row r="45" spans="1:9" x14ac:dyDescent="0.3">
      <c r="A45" s="18" t="s">
        <v>447</v>
      </c>
      <c r="B45" s="7" t="s">
        <v>447</v>
      </c>
      <c r="C45" s="7" t="s">
        <v>447</v>
      </c>
      <c r="D45" s="7" t="s">
        <v>447</v>
      </c>
      <c r="E45" s="6">
        <f t="shared" si="0"/>
        <v>3</v>
      </c>
      <c r="F45" s="6" t="str">
        <f t="shared" si="1"/>
        <v>All three</v>
      </c>
      <c r="G45" s="7" t="s">
        <v>1466</v>
      </c>
      <c r="H45" s="7"/>
      <c r="I45" s="19" t="str">
        <f>IF(COUNTIF('Claude vs tools'!$K$2:$P$139,A45)&gt;0,"★ Yes","")</f>
        <v>★ Yes</v>
      </c>
    </row>
    <row r="46" spans="1:9" ht="26.4" x14ac:dyDescent="0.3">
      <c r="A46" s="18" t="s">
        <v>86</v>
      </c>
      <c r="B46" s="7" t="s">
        <v>86</v>
      </c>
      <c r="C46" s="7" t="s">
        <v>86</v>
      </c>
      <c r="D46" s="7" t="s">
        <v>86</v>
      </c>
      <c r="E46" s="6">
        <f t="shared" si="0"/>
        <v>3</v>
      </c>
      <c r="F46" s="6" t="str">
        <f t="shared" si="1"/>
        <v>All three</v>
      </c>
      <c r="G46" s="7" t="s">
        <v>1467</v>
      </c>
      <c r="H46" s="7"/>
      <c r="I46" s="19" t="str">
        <f>IF(COUNTIF('Claude vs tools'!$K$2:$P$139,A46)&gt;0,"★ Yes","")</f>
        <v>★ Yes</v>
      </c>
    </row>
    <row r="47" spans="1:9" x14ac:dyDescent="0.3">
      <c r="A47" s="18" t="s">
        <v>587</v>
      </c>
      <c r="B47" s="7" t="s">
        <v>587</v>
      </c>
      <c r="C47" s="7" t="s">
        <v>587</v>
      </c>
      <c r="D47" s="7" t="s">
        <v>587</v>
      </c>
      <c r="E47" s="6">
        <f t="shared" si="0"/>
        <v>3</v>
      </c>
      <c r="F47" s="6" t="str">
        <f t="shared" si="1"/>
        <v>All three</v>
      </c>
      <c r="G47" s="7" t="s">
        <v>795</v>
      </c>
      <c r="H47" s="7"/>
      <c r="I47" s="19" t="str">
        <f>IF(COUNTIF('Claude vs tools'!$K$2:$P$139,A47)&gt;0,"★ Yes","")</f>
        <v/>
      </c>
    </row>
    <row r="48" spans="1:9" ht="26.4" x14ac:dyDescent="0.3">
      <c r="A48" s="18" t="s">
        <v>32</v>
      </c>
      <c r="B48" s="7" t="s">
        <v>32</v>
      </c>
      <c r="C48" s="7" t="s">
        <v>32</v>
      </c>
      <c r="D48" s="7" t="s">
        <v>32</v>
      </c>
      <c r="E48" s="6">
        <f t="shared" si="0"/>
        <v>3</v>
      </c>
      <c r="F48" s="6" t="str">
        <f t="shared" si="1"/>
        <v>All three</v>
      </c>
      <c r="G48" s="7" t="s">
        <v>1468</v>
      </c>
      <c r="H48" s="7"/>
      <c r="I48" s="19" t="str">
        <f>IF(COUNTIF('Claude vs tools'!$K$2:$P$139,A48)&gt;0,"★ Yes","")</f>
        <v>★ Yes</v>
      </c>
    </row>
    <row r="49" spans="1:9" ht="39.6" x14ac:dyDescent="0.3">
      <c r="A49" s="18" t="s">
        <v>16</v>
      </c>
      <c r="B49" s="7" t="s">
        <v>16</v>
      </c>
      <c r="C49" s="7" t="s">
        <v>16</v>
      </c>
      <c r="D49" s="7" t="s">
        <v>16</v>
      </c>
      <c r="E49" s="6">
        <f t="shared" si="0"/>
        <v>3</v>
      </c>
      <c r="F49" s="6" t="str">
        <f t="shared" si="1"/>
        <v>All three</v>
      </c>
      <c r="G49" s="7" t="s">
        <v>1469</v>
      </c>
      <c r="H49" s="7"/>
      <c r="I49" s="19" t="str">
        <f>IF(COUNTIF('Claude vs tools'!$K$2:$P$139,A49)&gt;0,"★ Yes","")</f>
        <v>★ Yes</v>
      </c>
    </row>
    <row r="50" spans="1:9" ht="39.6" x14ac:dyDescent="0.3">
      <c r="A50" s="18" t="s">
        <v>31</v>
      </c>
      <c r="B50" s="7" t="s">
        <v>31</v>
      </c>
      <c r="C50" s="7" t="s">
        <v>31</v>
      </c>
      <c r="D50" s="7" t="s">
        <v>31</v>
      </c>
      <c r="E50" s="6">
        <f t="shared" si="0"/>
        <v>3</v>
      </c>
      <c r="F50" s="6" t="str">
        <f t="shared" si="1"/>
        <v>All three</v>
      </c>
      <c r="G50" s="7" t="s">
        <v>1470</v>
      </c>
      <c r="H50" s="7"/>
      <c r="I50" s="19" t="str">
        <f>IF(COUNTIF('Claude vs tools'!$K$2:$P$139,A50)&gt;0,"★ Yes","")</f>
        <v>★ Yes</v>
      </c>
    </row>
    <row r="51" spans="1:9" ht="39.6" x14ac:dyDescent="0.3">
      <c r="A51" s="18" t="s">
        <v>189</v>
      </c>
      <c r="B51" s="7" t="s">
        <v>189</v>
      </c>
      <c r="C51" s="7" t="s">
        <v>189</v>
      </c>
      <c r="D51" s="7" t="s">
        <v>189</v>
      </c>
      <c r="E51" s="6">
        <f t="shared" si="0"/>
        <v>3</v>
      </c>
      <c r="F51" s="6" t="str">
        <f t="shared" si="1"/>
        <v>All three</v>
      </c>
      <c r="G51" s="7" t="s">
        <v>1471</v>
      </c>
      <c r="H51" s="7"/>
      <c r="I51" s="19" t="str">
        <f>IF(COUNTIF('Claude vs tools'!$K$2:$P$139,A51)&gt;0,"★ Yes","")</f>
        <v>★ Yes</v>
      </c>
    </row>
    <row r="52" spans="1:9" ht="26.4" x14ac:dyDescent="0.3">
      <c r="A52" s="18" t="s">
        <v>123</v>
      </c>
      <c r="B52" s="7" t="s">
        <v>123</v>
      </c>
      <c r="C52" s="7" t="s">
        <v>123</v>
      </c>
      <c r="D52" s="7" t="s">
        <v>123</v>
      </c>
      <c r="E52" s="6">
        <f t="shared" si="0"/>
        <v>3</v>
      </c>
      <c r="F52" s="6" t="str">
        <f t="shared" si="1"/>
        <v>All three</v>
      </c>
      <c r="G52" s="7" t="s">
        <v>1472</v>
      </c>
      <c r="H52" s="7"/>
      <c r="I52" s="19" t="str">
        <f>IF(COUNTIF('Claude vs tools'!$K$2:$P$139,A52)&gt;0,"★ Yes","")</f>
        <v>★ Yes</v>
      </c>
    </row>
    <row r="53" spans="1:9" ht="26.4" x14ac:dyDescent="0.3">
      <c r="A53" s="18" t="s">
        <v>60</v>
      </c>
      <c r="B53" s="7" t="s">
        <v>60</v>
      </c>
      <c r="C53" s="7" t="s">
        <v>60</v>
      </c>
      <c r="D53" s="7" t="s">
        <v>60</v>
      </c>
      <c r="E53" s="6">
        <f t="shared" si="0"/>
        <v>3</v>
      </c>
      <c r="F53" s="6" t="str">
        <f t="shared" si="1"/>
        <v>All three</v>
      </c>
      <c r="G53" s="7" t="s">
        <v>1473</v>
      </c>
      <c r="H53" s="7"/>
      <c r="I53" s="19" t="str">
        <f>IF(COUNTIF('Claude vs tools'!$K$2:$P$139,A53)&gt;0,"★ Yes","")</f>
        <v>★ Yes</v>
      </c>
    </row>
    <row r="54" spans="1:9" ht="26.4" x14ac:dyDescent="0.3">
      <c r="A54" s="18" t="s">
        <v>588</v>
      </c>
      <c r="B54" s="7" t="s">
        <v>588</v>
      </c>
      <c r="C54" s="7" t="s">
        <v>588</v>
      </c>
      <c r="D54" s="7" t="s">
        <v>588</v>
      </c>
      <c r="E54" s="6">
        <f t="shared" si="0"/>
        <v>3</v>
      </c>
      <c r="F54" s="6" t="str">
        <f t="shared" si="1"/>
        <v>All three</v>
      </c>
      <c r="G54" s="7" t="s">
        <v>1474</v>
      </c>
      <c r="H54" s="7"/>
      <c r="I54" s="19" t="str">
        <f>IF(COUNTIF('Claude vs tools'!$K$2:$P$139,A54)&gt;0,"★ Yes","")</f>
        <v/>
      </c>
    </row>
    <row r="55" spans="1:9" x14ac:dyDescent="0.3">
      <c r="A55" s="18" t="s">
        <v>589</v>
      </c>
      <c r="B55" s="7" t="s">
        <v>589</v>
      </c>
      <c r="C55" s="7" t="s">
        <v>589</v>
      </c>
      <c r="D55" s="7" t="s">
        <v>589</v>
      </c>
      <c r="E55" s="6">
        <f t="shared" si="0"/>
        <v>3</v>
      </c>
      <c r="F55" s="6" t="str">
        <f t="shared" si="1"/>
        <v>All three</v>
      </c>
      <c r="G55" s="7" t="s">
        <v>1475</v>
      </c>
      <c r="H55" s="7"/>
      <c r="I55" s="19" t="str">
        <f>IF(COUNTIF('Claude vs tools'!$K$2:$P$139,A55)&gt;0,"★ Yes","")</f>
        <v/>
      </c>
    </row>
    <row r="56" spans="1:9" x14ac:dyDescent="0.3">
      <c r="A56" s="18" t="s">
        <v>322</v>
      </c>
      <c r="B56" s="7" t="s">
        <v>322</v>
      </c>
      <c r="C56" s="7" t="s">
        <v>322</v>
      </c>
      <c r="D56" s="7" t="s">
        <v>322</v>
      </c>
      <c r="E56" s="6">
        <f t="shared" si="0"/>
        <v>3</v>
      </c>
      <c r="F56" s="6" t="str">
        <f t="shared" si="1"/>
        <v>All three</v>
      </c>
      <c r="G56" s="7" t="s">
        <v>1476</v>
      </c>
      <c r="H56" s="7"/>
      <c r="I56" s="19" t="str">
        <f>IF(COUNTIF('Claude vs tools'!$K$2:$P$139,A56)&gt;0,"★ Yes","")</f>
        <v>★ Yes</v>
      </c>
    </row>
    <row r="57" spans="1:9" x14ac:dyDescent="0.3">
      <c r="A57" s="18" t="s">
        <v>590</v>
      </c>
      <c r="B57" s="7" t="s">
        <v>590</v>
      </c>
      <c r="C57" s="7" t="s">
        <v>590</v>
      </c>
      <c r="D57" s="7" t="s">
        <v>590</v>
      </c>
      <c r="E57" s="6">
        <f t="shared" si="0"/>
        <v>3</v>
      </c>
      <c r="F57" s="6" t="str">
        <f t="shared" si="1"/>
        <v>All three</v>
      </c>
      <c r="G57" s="7" t="s">
        <v>1477</v>
      </c>
      <c r="H57" s="7"/>
      <c r="I57" s="19" t="str">
        <f>IF(COUNTIF('Claude vs tools'!$K$2:$P$139,A57)&gt;0,"★ Yes","")</f>
        <v/>
      </c>
    </row>
    <row r="58" spans="1:9" x14ac:dyDescent="0.3">
      <c r="A58" s="18" t="s">
        <v>242</v>
      </c>
      <c r="B58" s="7" t="s">
        <v>242</v>
      </c>
      <c r="C58" s="7" t="s">
        <v>242</v>
      </c>
      <c r="D58" s="7" t="s">
        <v>242</v>
      </c>
      <c r="E58" s="6">
        <f t="shared" si="0"/>
        <v>3</v>
      </c>
      <c r="F58" s="6" t="str">
        <f t="shared" si="1"/>
        <v>All three</v>
      </c>
      <c r="G58" s="7" t="s">
        <v>1478</v>
      </c>
      <c r="H58" s="7"/>
      <c r="I58" s="19" t="str">
        <f>IF(COUNTIF('Claude vs tools'!$K$2:$P$139,A58)&gt;0,"★ Yes","")</f>
        <v>★ Yes</v>
      </c>
    </row>
    <row r="59" spans="1:9" x14ac:dyDescent="0.3">
      <c r="A59" s="18" t="s">
        <v>297</v>
      </c>
      <c r="B59" s="7" t="s">
        <v>297</v>
      </c>
      <c r="C59" s="7" t="s">
        <v>297</v>
      </c>
      <c r="D59" s="7" t="s">
        <v>297</v>
      </c>
      <c r="E59" s="6">
        <f t="shared" si="0"/>
        <v>3</v>
      </c>
      <c r="F59" s="6" t="str">
        <f t="shared" si="1"/>
        <v>All three</v>
      </c>
      <c r="G59" s="7" t="s">
        <v>1454</v>
      </c>
      <c r="H59" s="7"/>
      <c r="I59" s="19" t="str">
        <f>IF(COUNTIF('Claude vs tools'!$K$2:$P$139,A59)&gt;0,"★ Yes","")</f>
        <v>★ Yes</v>
      </c>
    </row>
    <row r="60" spans="1:9" ht="26.4" x14ac:dyDescent="0.3">
      <c r="A60" s="18" t="s">
        <v>342</v>
      </c>
      <c r="B60" s="7" t="s">
        <v>342</v>
      </c>
      <c r="C60" s="7" t="s">
        <v>342</v>
      </c>
      <c r="D60" s="7" t="s">
        <v>342</v>
      </c>
      <c r="E60" s="6">
        <f t="shared" si="0"/>
        <v>3</v>
      </c>
      <c r="F60" s="6" t="str">
        <f t="shared" si="1"/>
        <v>All three</v>
      </c>
      <c r="G60" s="7" t="s">
        <v>1479</v>
      </c>
      <c r="H60" s="7"/>
      <c r="I60" s="19" t="str">
        <f>IF(COUNTIF('Claude vs tools'!$K$2:$P$139,A60)&gt;0,"★ Yes","")</f>
        <v>★ Yes</v>
      </c>
    </row>
    <row r="61" spans="1:9" ht="39.6" x14ac:dyDescent="0.3">
      <c r="A61" s="18" t="s">
        <v>341</v>
      </c>
      <c r="B61" s="7" t="s">
        <v>341</v>
      </c>
      <c r="C61" s="7" t="s">
        <v>341</v>
      </c>
      <c r="D61" s="7" t="s">
        <v>341</v>
      </c>
      <c r="E61" s="6">
        <f t="shared" si="0"/>
        <v>3</v>
      </c>
      <c r="F61" s="6" t="str">
        <f t="shared" si="1"/>
        <v>All three</v>
      </c>
      <c r="G61" s="7" t="s">
        <v>1480</v>
      </c>
      <c r="H61" s="7"/>
      <c r="I61" s="19" t="str">
        <f>IF(COUNTIF('Claude vs tools'!$K$2:$P$139,A61)&gt;0,"★ Yes","")</f>
        <v>★ Yes</v>
      </c>
    </row>
    <row r="62" spans="1:9" ht="26.4" x14ac:dyDescent="0.3">
      <c r="A62" s="18" t="s">
        <v>591</v>
      </c>
      <c r="B62" s="7" t="s">
        <v>591</v>
      </c>
      <c r="C62" s="7" t="s">
        <v>591</v>
      </c>
      <c r="D62" s="7" t="s">
        <v>591</v>
      </c>
      <c r="E62" s="6">
        <f t="shared" si="0"/>
        <v>3</v>
      </c>
      <c r="F62" s="6" t="str">
        <f t="shared" si="1"/>
        <v>All three</v>
      </c>
      <c r="G62" s="7" t="s">
        <v>1481</v>
      </c>
      <c r="H62" s="7"/>
      <c r="I62" s="19" t="str">
        <f>IF(COUNTIF('Claude vs tools'!$K$2:$P$139,A62)&gt;0,"★ Yes","")</f>
        <v/>
      </c>
    </row>
    <row r="63" spans="1:9" x14ac:dyDescent="0.3">
      <c r="A63" s="18" t="s">
        <v>592</v>
      </c>
      <c r="B63" s="7" t="s">
        <v>592</v>
      </c>
      <c r="C63" s="7" t="s">
        <v>592</v>
      </c>
      <c r="D63" s="7" t="s">
        <v>592</v>
      </c>
      <c r="E63" s="6">
        <f t="shared" si="0"/>
        <v>3</v>
      </c>
      <c r="F63" s="6" t="str">
        <f t="shared" si="1"/>
        <v>All three</v>
      </c>
      <c r="G63" s="7" t="s">
        <v>1482</v>
      </c>
      <c r="H63" s="7" t="s">
        <v>593</v>
      </c>
      <c r="I63" s="19" t="str">
        <f>IF(COUNTIF('Claude vs tools'!$K$2:$P$139,A63)&gt;0,"★ Yes","")</f>
        <v/>
      </c>
    </row>
    <row r="64" spans="1:9" ht="26.4" x14ac:dyDescent="0.3">
      <c r="A64" s="18" t="s">
        <v>183</v>
      </c>
      <c r="B64" s="7" t="s">
        <v>183</v>
      </c>
      <c r="C64" s="7" t="s">
        <v>183</v>
      </c>
      <c r="D64" s="7" t="s">
        <v>183</v>
      </c>
      <c r="E64" s="6">
        <f t="shared" si="0"/>
        <v>3</v>
      </c>
      <c r="F64" s="6" t="str">
        <f t="shared" si="1"/>
        <v>All three</v>
      </c>
      <c r="G64" s="7" t="s">
        <v>1483</v>
      </c>
      <c r="H64" s="7"/>
      <c r="I64" s="19" t="str">
        <f>IF(COUNTIF('Claude vs tools'!$K$2:$P$139,A64)&gt;0,"★ Yes","")</f>
        <v>★ Yes</v>
      </c>
    </row>
    <row r="65" spans="1:9" ht="26.4" x14ac:dyDescent="0.3">
      <c r="A65" s="18" t="s">
        <v>594</v>
      </c>
      <c r="B65" s="7" t="s">
        <v>594</v>
      </c>
      <c r="C65" s="7" t="s">
        <v>594</v>
      </c>
      <c r="D65" s="7" t="s">
        <v>594</v>
      </c>
      <c r="E65" s="6">
        <f t="shared" si="0"/>
        <v>3</v>
      </c>
      <c r="F65" s="6" t="str">
        <f t="shared" si="1"/>
        <v>All three</v>
      </c>
      <c r="G65" s="7" t="s">
        <v>1484</v>
      </c>
      <c r="H65" s="7"/>
      <c r="I65" s="19" t="str">
        <f>IF(COUNTIF('Claude vs tools'!$K$2:$P$139,A65)&gt;0,"★ Yes","")</f>
        <v/>
      </c>
    </row>
    <row r="66" spans="1:9" ht="26.4" x14ac:dyDescent="0.3">
      <c r="A66" s="18" t="s">
        <v>1485</v>
      </c>
      <c r="B66" s="7" t="s">
        <v>1486</v>
      </c>
      <c r="C66" s="7" t="s">
        <v>1486</v>
      </c>
      <c r="D66" s="7" t="s">
        <v>1486</v>
      </c>
      <c r="E66" s="6">
        <f t="shared" ref="E66:E129" si="2">COUNTA(B66:D66)</f>
        <v>3</v>
      </c>
      <c r="F66" s="6" t="str">
        <f t="shared" ref="F66:F129" si="3">IF(E66=3,"All three",IF(E66=2,SUBSTITUTE(TRIM(IF(B66&lt;&gt;"","Gemini ","")&amp;IF(C66&lt;&gt;"","RAKE ","")&amp;IF(D66&lt;&gt;"","YAKE",""))," "," + "),"Only "&amp;TRIM(IF(B66&lt;&gt;"","Gemini","")&amp;IF(C66&lt;&gt;"","RAKE","")&amp;IF(D66&lt;&gt;"","YAKE",""))))</f>
        <v>All three</v>
      </c>
      <c r="G66" s="7" t="s">
        <v>1487</v>
      </c>
      <c r="H66" s="7"/>
      <c r="I66" s="19" t="str">
        <f>IF(COUNTIF('Claude vs tools'!$K$2:$P$139,A66)&gt;0,"★ Yes","")</f>
        <v/>
      </c>
    </row>
    <row r="67" spans="1:9" ht="39.6" x14ac:dyDescent="0.3">
      <c r="A67" s="18" t="s">
        <v>596</v>
      </c>
      <c r="B67" s="7" t="s">
        <v>596</v>
      </c>
      <c r="C67" s="7" t="s">
        <v>596</v>
      </c>
      <c r="D67" s="7" t="s">
        <v>596</v>
      </c>
      <c r="E67" s="6">
        <f t="shared" si="2"/>
        <v>3</v>
      </c>
      <c r="F67" s="6" t="str">
        <f t="shared" si="3"/>
        <v>All three</v>
      </c>
      <c r="G67" s="7" t="s">
        <v>1488</v>
      </c>
      <c r="H67" s="7"/>
      <c r="I67" s="19" t="str">
        <f>IF(COUNTIF('Claude vs tools'!$K$2:$P$139,A67)&gt;0,"★ Yes","")</f>
        <v/>
      </c>
    </row>
    <row r="68" spans="1:9" ht="26.4" x14ac:dyDescent="0.3">
      <c r="A68" s="18" t="s">
        <v>186</v>
      </c>
      <c r="B68" s="7" t="s">
        <v>186</v>
      </c>
      <c r="C68" s="7" t="s">
        <v>186</v>
      </c>
      <c r="D68" s="7" t="s">
        <v>186</v>
      </c>
      <c r="E68" s="6">
        <f t="shared" si="2"/>
        <v>3</v>
      </c>
      <c r="F68" s="6" t="str">
        <f t="shared" si="3"/>
        <v>All three</v>
      </c>
      <c r="G68" s="7" t="s">
        <v>1489</v>
      </c>
      <c r="H68" s="7"/>
      <c r="I68" s="19" t="str">
        <f>IF(COUNTIF('Claude vs tools'!$K$2:$P$139,A68)&gt;0,"★ Yes","")</f>
        <v>★ Yes</v>
      </c>
    </row>
    <row r="69" spans="1:9" x14ac:dyDescent="0.3">
      <c r="A69" s="18" t="s">
        <v>597</v>
      </c>
      <c r="B69" s="7" t="s">
        <v>597</v>
      </c>
      <c r="C69" s="7" t="s">
        <v>597</v>
      </c>
      <c r="D69" s="7" t="s">
        <v>597</v>
      </c>
      <c r="E69" s="6">
        <f t="shared" si="2"/>
        <v>3</v>
      </c>
      <c r="F69" s="6" t="str">
        <f t="shared" si="3"/>
        <v>All three</v>
      </c>
      <c r="G69" s="7" t="s">
        <v>1490</v>
      </c>
      <c r="H69" s="7"/>
      <c r="I69" s="19" t="str">
        <f>IF(COUNTIF('Claude vs tools'!$K$2:$P$139,A69)&gt;0,"★ Yes","")</f>
        <v/>
      </c>
    </row>
    <row r="70" spans="1:9" ht="26.4" x14ac:dyDescent="0.3">
      <c r="A70" s="18" t="s">
        <v>598</v>
      </c>
      <c r="B70" s="7" t="s">
        <v>598</v>
      </c>
      <c r="C70" s="7" t="s">
        <v>1491</v>
      </c>
      <c r="D70" s="7" t="s">
        <v>1492</v>
      </c>
      <c r="E70" s="6">
        <f t="shared" si="2"/>
        <v>3</v>
      </c>
      <c r="F70" s="6" t="str">
        <f t="shared" si="3"/>
        <v>All three</v>
      </c>
      <c r="G70" s="7" t="s">
        <v>1493</v>
      </c>
      <c r="H70" s="7"/>
      <c r="I70" s="19" t="str">
        <f>IF(COUNTIF('Claude vs tools'!$K$2:$P$139,A70)&gt;0,"★ Yes","")</f>
        <v/>
      </c>
    </row>
    <row r="71" spans="1:9" x14ac:dyDescent="0.3">
      <c r="A71" s="18" t="s">
        <v>406</v>
      </c>
      <c r="B71" s="7" t="s">
        <v>406</v>
      </c>
      <c r="C71" s="7" t="s">
        <v>406</v>
      </c>
      <c r="D71" s="7" t="s">
        <v>406</v>
      </c>
      <c r="E71" s="6">
        <f t="shared" si="2"/>
        <v>3</v>
      </c>
      <c r="F71" s="6" t="str">
        <f t="shared" si="3"/>
        <v>All three</v>
      </c>
      <c r="G71" s="7" t="s">
        <v>1494</v>
      </c>
      <c r="H71" s="7"/>
      <c r="I71" s="19" t="str">
        <f>IF(COUNTIF('Claude vs tools'!$K$2:$P$139,A71)&gt;0,"★ Yes","")</f>
        <v>★ Yes</v>
      </c>
    </row>
    <row r="72" spans="1:9" ht="26.4" x14ac:dyDescent="0.3">
      <c r="A72" s="18" t="s">
        <v>314</v>
      </c>
      <c r="B72" s="7" t="s">
        <v>314</v>
      </c>
      <c r="C72" s="7" t="s">
        <v>314</v>
      </c>
      <c r="D72" s="7" t="s">
        <v>314</v>
      </c>
      <c r="E72" s="6">
        <f t="shared" si="2"/>
        <v>3</v>
      </c>
      <c r="F72" s="6" t="str">
        <f t="shared" si="3"/>
        <v>All three</v>
      </c>
      <c r="G72" s="7" t="s">
        <v>1495</v>
      </c>
      <c r="H72" s="7"/>
      <c r="I72" s="19" t="str">
        <f>IF(COUNTIF('Claude vs tools'!$K$2:$P$139,A72)&gt;0,"★ Yes","")</f>
        <v>★ Yes</v>
      </c>
    </row>
    <row r="73" spans="1:9" ht="26.4" x14ac:dyDescent="0.3">
      <c r="A73" s="18" t="s">
        <v>301</v>
      </c>
      <c r="B73" s="7" t="s">
        <v>301</v>
      </c>
      <c r="C73" s="7" t="s">
        <v>301</v>
      </c>
      <c r="D73" s="7" t="s">
        <v>301</v>
      </c>
      <c r="E73" s="6">
        <f t="shared" si="2"/>
        <v>3</v>
      </c>
      <c r="F73" s="6" t="str">
        <f t="shared" si="3"/>
        <v>All three</v>
      </c>
      <c r="G73" s="7" t="s">
        <v>1496</v>
      </c>
      <c r="H73" s="7"/>
      <c r="I73" s="19" t="str">
        <f>IF(COUNTIF('Claude vs tools'!$K$2:$P$139,A73)&gt;0,"★ Yes","")</f>
        <v>★ Yes</v>
      </c>
    </row>
    <row r="74" spans="1:9" x14ac:dyDescent="0.3">
      <c r="A74" s="18" t="s">
        <v>313</v>
      </c>
      <c r="B74" s="7" t="s">
        <v>313</v>
      </c>
      <c r="C74" s="7" t="s">
        <v>313</v>
      </c>
      <c r="D74" s="7" t="s">
        <v>313</v>
      </c>
      <c r="E74" s="6">
        <f t="shared" si="2"/>
        <v>3</v>
      </c>
      <c r="F74" s="6" t="str">
        <f t="shared" si="3"/>
        <v>All three</v>
      </c>
      <c r="G74" s="7" t="s">
        <v>1497</v>
      </c>
      <c r="H74" s="7"/>
      <c r="I74" s="19" t="str">
        <f>IF(COUNTIF('Claude vs tools'!$K$2:$P$139,A74)&gt;0,"★ Yes","")</f>
        <v>★ Yes</v>
      </c>
    </row>
    <row r="75" spans="1:9" x14ac:dyDescent="0.3">
      <c r="A75" s="18" t="s">
        <v>400</v>
      </c>
      <c r="B75" s="7"/>
      <c r="C75" s="7" t="s">
        <v>400</v>
      </c>
      <c r="D75" s="7" t="s">
        <v>400</v>
      </c>
      <c r="E75" s="6">
        <f t="shared" si="2"/>
        <v>2</v>
      </c>
      <c r="F75" s="6" t="str">
        <f t="shared" si="3"/>
        <v>RAKE + YAKE</v>
      </c>
      <c r="G75" s="7" t="s">
        <v>1498</v>
      </c>
      <c r="H75" s="7"/>
      <c r="I75" s="19" t="str">
        <f>IF(COUNTIF('Claude vs tools'!$K$2:$P$139,A75)&gt;0,"★ Yes","")</f>
        <v>★ Yes</v>
      </c>
    </row>
    <row r="76" spans="1:9" x14ac:dyDescent="0.3">
      <c r="A76" s="18" t="s">
        <v>421</v>
      </c>
      <c r="B76" s="7"/>
      <c r="C76" s="7" t="s">
        <v>421</v>
      </c>
      <c r="D76" s="7" t="s">
        <v>421</v>
      </c>
      <c r="E76" s="6">
        <f t="shared" si="2"/>
        <v>2</v>
      </c>
      <c r="F76" s="6" t="str">
        <f t="shared" si="3"/>
        <v>RAKE + YAKE</v>
      </c>
      <c r="G76" s="7" t="s">
        <v>1499</v>
      </c>
      <c r="H76" s="7"/>
      <c r="I76" s="19" t="str">
        <f>IF(COUNTIF('Claude vs tools'!$K$2:$P$139,A76)&gt;0,"★ Yes","")</f>
        <v>★ Yes</v>
      </c>
    </row>
    <row r="77" spans="1:9" x14ac:dyDescent="0.3">
      <c r="A77" s="18" t="s">
        <v>601</v>
      </c>
      <c r="B77" s="7"/>
      <c r="C77" s="7" t="s">
        <v>601</v>
      </c>
      <c r="D77" s="7" t="s">
        <v>601</v>
      </c>
      <c r="E77" s="6">
        <f t="shared" si="2"/>
        <v>2</v>
      </c>
      <c r="F77" s="6" t="str">
        <f t="shared" si="3"/>
        <v>RAKE + YAKE</v>
      </c>
      <c r="G77" s="7" t="s">
        <v>1500</v>
      </c>
      <c r="H77" s="7"/>
      <c r="I77" s="19" t="str">
        <f>IF(COUNTIF('Claude vs tools'!$K$2:$P$139,A77)&gt;0,"★ Yes","")</f>
        <v/>
      </c>
    </row>
    <row r="78" spans="1:9" x14ac:dyDescent="0.3">
      <c r="A78" s="18" t="s">
        <v>179</v>
      </c>
      <c r="B78" s="7" t="s">
        <v>179</v>
      </c>
      <c r="C78" s="7"/>
      <c r="D78" s="7" t="s">
        <v>179</v>
      </c>
      <c r="E78" s="6">
        <f t="shared" si="2"/>
        <v>2</v>
      </c>
      <c r="F78" s="6" t="str">
        <f t="shared" si="3"/>
        <v>Gemini + YAKE</v>
      </c>
      <c r="G78" s="7" t="s">
        <v>1501</v>
      </c>
      <c r="H78" s="7"/>
      <c r="I78" s="19" t="str">
        <f>IF(COUNTIF('Claude vs tools'!$K$2:$P$139,A78)&gt;0,"★ Yes","")</f>
        <v>★ Yes</v>
      </c>
    </row>
    <row r="79" spans="1:9" ht="39.6" x14ac:dyDescent="0.3">
      <c r="A79" s="18" t="s">
        <v>602</v>
      </c>
      <c r="B79" s="7" t="s">
        <v>602</v>
      </c>
      <c r="C79" s="7"/>
      <c r="D79" s="7" t="s">
        <v>602</v>
      </c>
      <c r="E79" s="6">
        <f t="shared" si="2"/>
        <v>2</v>
      </c>
      <c r="F79" s="6" t="str">
        <f t="shared" si="3"/>
        <v>Gemini + YAKE</v>
      </c>
      <c r="G79" s="7" t="s">
        <v>1502</v>
      </c>
      <c r="H79" s="7"/>
      <c r="I79" s="19" t="str">
        <f>IF(COUNTIF('Claude vs tools'!$K$2:$P$139,A79)&gt;0,"★ Yes","")</f>
        <v/>
      </c>
    </row>
    <row r="80" spans="1:9" ht="26.4" x14ac:dyDescent="0.3">
      <c r="A80" s="18" t="s">
        <v>603</v>
      </c>
      <c r="B80" s="7"/>
      <c r="C80" s="7" t="s">
        <v>603</v>
      </c>
      <c r="D80" s="7" t="s">
        <v>603</v>
      </c>
      <c r="E80" s="6">
        <f t="shared" si="2"/>
        <v>2</v>
      </c>
      <c r="F80" s="6" t="str">
        <f t="shared" si="3"/>
        <v>RAKE + YAKE</v>
      </c>
      <c r="G80" s="7" t="s">
        <v>1503</v>
      </c>
      <c r="H80" s="7"/>
      <c r="I80" s="19" t="str">
        <f>IF(COUNTIF('Claude vs tools'!$K$2:$P$139,A80)&gt;0,"★ Yes","")</f>
        <v/>
      </c>
    </row>
    <row r="81" spans="1:9" ht="26.4" x14ac:dyDescent="0.3">
      <c r="A81" s="18" t="s">
        <v>228</v>
      </c>
      <c r="B81" s="7" t="s">
        <v>228</v>
      </c>
      <c r="C81" s="7"/>
      <c r="D81" s="7" t="s">
        <v>228</v>
      </c>
      <c r="E81" s="6">
        <f t="shared" si="2"/>
        <v>2</v>
      </c>
      <c r="F81" s="6" t="str">
        <f t="shared" si="3"/>
        <v>Gemini + YAKE</v>
      </c>
      <c r="G81" s="7" t="s">
        <v>1504</v>
      </c>
      <c r="H81" s="7"/>
      <c r="I81" s="19" t="str">
        <f>IF(COUNTIF('Claude vs tools'!$K$2:$P$139,A81)&gt;0,"★ Yes","")</f>
        <v>★ Yes</v>
      </c>
    </row>
    <row r="82" spans="1:9" x14ac:dyDescent="0.3">
      <c r="A82" s="18" t="s">
        <v>604</v>
      </c>
      <c r="B82" s="7" t="s">
        <v>604</v>
      </c>
      <c r="C82" s="7"/>
      <c r="D82" s="7" t="s">
        <v>604</v>
      </c>
      <c r="E82" s="6">
        <f t="shared" si="2"/>
        <v>2</v>
      </c>
      <c r="F82" s="6" t="str">
        <f t="shared" si="3"/>
        <v>Gemini + YAKE</v>
      </c>
      <c r="G82" s="7" t="s">
        <v>1505</v>
      </c>
      <c r="H82" s="7"/>
      <c r="I82" s="19" t="str">
        <f>IF(COUNTIF('Claude vs tools'!$K$2:$P$139,A82)&gt;0,"★ Yes","")</f>
        <v/>
      </c>
    </row>
    <row r="83" spans="1:9" x14ac:dyDescent="0.3">
      <c r="A83" s="18" t="s">
        <v>605</v>
      </c>
      <c r="B83" s="7" t="s">
        <v>605</v>
      </c>
      <c r="C83" s="7"/>
      <c r="D83" s="7" t="s">
        <v>605</v>
      </c>
      <c r="E83" s="6">
        <f t="shared" si="2"/>
        <v>2</v>
      </c>
      <c r="F83" s="6" t="str">
        <f t="shared" si="3"/>
        <v>Gemini + YAKE</v>
      </c>
      <c r="G83" s="7" t="s">
        <v>1506</v>
      </c>
      <c r="H83" s="7"/>
      <c r="I83" s="19" t="str">
        <f>IF(COUNTIF('Claude vs tools'!$K$2:$P$139,A83)&gt;0,"★ Yes","")</f>
        <v/>
      </c>
    </row>
    <row r="84" spans="1:9" x14ac:dyDescent="0.3">
      <c r="A84" s="18" t="s">
        <v>397</v>
      </c>
      <c r="B84" s="7" t="s">
        <v>397</v>
      </c>
      <c r="C84" s="7"/>
      <c r="D84" s="7" t="s">
        <v>397</v>
      </c>
      <c r="E84" s="6">
        <f t="shared" si="2"/>
        <v>2</v>
      </c>
      <c r="F84" s="6" t="str">
        <f t="shared" si="3"/>
        <v>Gemini + YAKE</v>
      </c>
      <c r="G84" s="7" t="s">
        <v>1507</v>
      </c>
      <c r="H84" s="7"/>
      <c r="I84" s="19" t="str">
        <f>IF(COUNTIF('Claude vs tools'!$K$2:$P$139,A84)&gt;0,"★ Yes","")</f>
        <v>★ Yes</v>
      </c>
    </row>
    <row r="85" spans="1:9" ht="26.4" x14ac:dyDescent="0.3">
      <c r="A85" s="18" t="s">
        <v>606</v>
      </c>
      <c r="B85" s="7" t="s">
        <v>606</v>
      </c>
      <c r="C85" s="7"/>
      <c r="D85" s="7" t="s">
        <v>606</v>
      </c>
      <c r="E85" s="6">
        <f t="shared" si="2"/>
        <v>2</v>
      </c>
      <c r="F85" s="6" t="str">
        <f t="shared" si="3"/>
        <v>Gemini + YAKE</v>
      </c>
      <c r="G85" s="7" t="s">
        <v>1508</v>
      </c>
      <c r="H85" s="7"/>
      <c r="I85" s="19" t="str">
        <f>IF(COUNTIF('Claude vs tools'!$K$2:$P$139,A85)&gt;0,"★ Yes","")</f>
        <v/>
      </c>
    </row>
    <row r="86" spans="1:9" ht="26.4" x14ac:dyDescent="0.3">
      <c r="A86" s="18" t="s">
        <v>607</v>
      </c>
      <c r="B86" s="7"/>
      <c r="C86" s="7" t="s">
        <v>607</v>
      </c>
      <c r="D86" s="7" t="s">
        <v>607</v>
      </c>
      <c r="E86" s="6">
        <f t="shared" si="2"/>
        <v>2</v>
      </c>
      <c r="F86" s="6" t="str">
        <f t="shared" si="3"/>
        <v>RAKE + YAKE</v>
      </c>
      <c r="G86" s="7" t="s">
        <v>1509</v>
      </c>
      <c r="H86" s="7"/>
      <c r="I86" s="19" t="str">
        <f>IF(COUNTIF('Claude vs tools'!$K$2:$P$139,A86)&gt;0,"★ Yes","")</f>
        <v/>
      </c>
    </row>
    <row r="87" spans="1:9" x14ac:dyDescent="0.3">
      <c r="A87" s="18" t="s">
        <v>608</v>
      </c>
      <c r="B87" s="7" t="s">
        <v>608</v>
      </c>
      <c r="C87" s="7"/>
      <c r="D87" s="7" t="s">
        <v>608</v>
      </c>
      <c r="E87" s="6">
        <f t="shared" si="2"/>
        <v>2</v>
      </c>
      <c r="F87" s="6" t="str">
        <f t="shared" si="3"/>
        <v>Gemini + YAKE</v>
      </c>
      <c r="G87" s="7" t="s">
        <v>1510</v>
      </c>
      <c r="H87" s="7"/>
      <c r="I87" s="19" t="str">
        <f>IF(COUNTIF('Claude vs tools'!$K$2:$P$139,A87)&gt;0,"★ Yes","")</f>
        <v/>
      </c>
    </row>
    <row r="88" spans="1:9" ht="26.4" x14ac:dyDescent="0.3">
      <c r="A88" s="18" t="s">
        <v>1511</v>
      </c>
      <c r="B88" s="7"/>
      <c r="C88" s="7" t="s">
        <v>1512</v>
      </c>
      <c r="D88" s="7" t="s">
        <v>1513</v>
      </c>
      <c r="E88" s="6">
        <f t="shared" si="2"/>
        <v>2</v>
      </c>
      <c r="F88" s="6" t="str">
        <f t="shared" si="3"/>
        <v>RAKE + YAKE</v>
      </c>
      <c r="G88" s="7" t="s">
        <v>1514</v>
      </c>
      <c r="H88" s="7"/>
      <c r="I88" s="19" t="str">
        <f>IF(COUNTIF('Claude vs tools'!$K$2:$P$139,A88)&gt;0,"★ Yes","")</f>
        <v/>
      </c>
    </row>
    <row r="89" spans="1:9" ht="26.4" x14ac:dyDescent="0.3">
      <c r="A89" s="18" t="s">
        <v>611</v>
      </c>
      <c r="B89" s="7"/>
      <c r="C89" s="7" t="s">
        <v>611</v>
      </c>
      <c r="D89" s="7" t="s">
        <v>611</v>
      </c>
      <c r="E89" s="6">
        <f t="shared" si="2"/>
        <v>2</v>
      </c>
      <c r="F89" s="6" t="str">
        <f t="shared" si="3"/>
        <v>RAKE + YAKE</v>
      </c>
      <c r="G89" s="7" t="s">
        <v>1515</v>
      </c>
      <c r="H89" s="7"/>
      <c r="I89" s="19" t="str">
        <f>IF(COUNTIF('Claude vs tools'!$K$2:$P$139,A89)&gt;0,"★ Yes","")</f>
        <v/>
      </c>
    </row>
    <row r="90" spans="1:9" ht="26.4" x14ac:dyDescent="0.3">
      <c r="A90" s="18" t="s">
        <v>613</v>
      </c>
      <c r="B90" s="7"/>
      <c r="C90" s="7" t="s">
        <v>612</v>
      </c>
      <c r="D90" s="7" t="s">
        <v>613</v>
      </c>
      <c r="E90" s="6">
        <f t="shared" si="2"/>
        <v>2</v>
      </c>
      <c r="F90" s="6" t="str">
        <f t="shared" si="3"/>
        <v>RAKE + YAKE</v>
      </c>
      <c r="G90" s="7" t="s">
        <v>1516</v>
      </c>
      <c r="H90" s="7"/>
      <c r="I90" s="19" t="str">
        <f>IF(COUNTIF('Claude vs tools'!$K$2:$P$139,A90)&gt;0,"★ Yes","")</f>
        <v/>
      </c>
    </row>
    <row r="91" spans="1:9" x14ac:dyDescent="0.3">
      <c r="A91" s="18" t="s">
        <v>427</v>
      </c>
      <c r="B91" s="7" t="s">
        <v>427</v>
      </c>
      <c r="C91" s="7"/>
      <c r="D91" s="7" t="s">
        <v>427</v>
      </c>
      <c r="E91" s="6">
        <f t="shared" si="2"/>
        <v>2</v>
      </c>
      <c r="F91" s="6" t="str">
        <f t="shared" si="3"/>
        <v>Gemini + YAKE</v>
      </c>
      <c r="G91" s="7" t="s">
        <v>1517</v>
      </c>
      <c r="H91" s="7"/>
      <c r="I91" s="19" t="str">
        <f>IF(COUNTIF('Claude vs tools'!$K$2:$P$139,A91)&gt;0,"★ Yes","")</f>
        <v>★ Yes</v>
      </c>
    </row>
    <row r="92" spans="1:9" ht="26.4" x14ac:dyDescent="0.3">
      <c r="A92" s="18" t="s">
        <v>71</v>
      </c>
      <c r="B92" s="7"/>
      <c r="C92" s="7" t="s">
        <v>71</v>
      </c>
      <c r="D92" s="7" t="s">
        <v>71</v>
      </c>
      <c r="E92" s="6">
        <f t="shared" si="2"/>
        <v>2</v>
      </c>
      <c r="F92" s="6" t="str">
        <f t="shared" si="3"/>
        <v>RAKE + YAKE</v>
      </c>
      <c r="G92" s="7" t="s">
        <v>1518</v>
      </c>
      <c r="H92" s="7"/>
      <c r="I92" s="19" t="str">
        <f>IF(COUNTIF('Claude vs tools'!$K$2:$P$139,A92)&gt;0,"★ Yes","")</f>
        <v>★ Yes</v>
      </c>
    </row>
    <row r="93" spans="1:9" ht="26.4" x14ac:dyDescent="0.3">
      <c r="A93" s="18" t="s">
        <v>72</v>
      </c>
      <c r="B93" s="7"/>
      <c r="C93" s="7" t="s">
        <v>72</v>
      </c>
      <c r="D93" s="7" t="s">
        <v>72</v>
      </c>
      <c r="E93" s="6">
        <f t="shared" si="2"/>
        <v>2</v>
      </c>
      <c r="F93" s="6" t="str">
        <f t="shared" si="3"/>
        <v>RAKE + YAKE</v>
      </c>
      <c r="G93" s="7" t="s">
        <v>1519</v>
      </c>
      <c r="H93" s="7"/>
      <c r="I93" s="19" t="str">
        <f>IF(COUNTIF('Claude vs tools'!$K$2:$P$139,A93)&gt;0,"★ Yes","")</f>
        <v>★ Yes</v>
      </c>
    </row>
    <row r="94" spans="1:9" x14ac:dyDescent="0.3">
      <c r="A94" s="18" t="s">
        <v>614</v>
      </c>
      <c r="B94" s="7"/>
      <c r="C94" s="7" t="s">
        <v>614</v>
      </c>
      <c r="D94" s="7" t="s">
        <v>614</v>
      </c>
      <c r="E94" s="6">
        <f t="shared" si="2"/>
        <v>2</v>
      </c>
      <c r="F94" s="6" t="str">
        <f t="shared" si="3"/>
        <v>RAKE + YAKE</v>
      </c>
      <c r="G94" s="7" t="s">
        <v>795</v>
      </c>
      <c r="H94" s="7"/>
      <c r="I94" s="19" t="str">
        <f>IF(COUNTIF('Claude vs tools'!$K$2:$P$139,A94)&gt;0,"★ Yes","")</f>
        <v/>
      </c>
    </row>
    <row r="95" spans="1:9" ht="26.4" x14ac:dyDescent="0.3">
      <c r="A95" s="18" t="s">
        <v>615</v>
      </c>
      <c r="B95" s="7"/>
      <c r="C95" s="7" t="s">
        <v>615</v>
      </c>
      <c r="D95" s="7" t="s">
        <v>615</v>
      </c>
      <c r="E95" s="6">
        <f t="shared" si="2"/>
        <v>2</v>
      </c>
      <c r="F95" s="6" t="str">
        <f t="shared" si="3"/>
        <v>RAKE + YAKE</v>
      </c>
      <c r="G95" s="7" t="s">
        <v>1520</v>
      </c>
      <c r="H95" s="7"/>
      <c r="I95" s="19" t="str">
        <f>IF(COUNTIF('Claude vs tools'!$K$2:$P$139,A95)&gt;0,"★ Yes","")</f>
        <v/>
      </c>
    </row>
    <row r="96" spans="1:9" ht="26.4" x14ac:dyDescent="0.3">
      <c r="A96" s="18" t="s">
        <v>616</v>
      </c>
      <c r="B96" s="7"/>
      <c r="C96" s="7" t="s">
        <v>616</v>
      </c>
      <c r="D96" s="7" t="s">
        <v>616</v>
      </c>
      <c r="E96" s="6">
        <f t="shared" si="2"/>
        <v>2</v>
      </c>
      <c r="F96" s="6" t="str">
        <f t="shared" si="3"/>
        <v>RAKE + YAKE</v>
      </c>
      <c r="G96" s="7" t="s">
        <v>1521</v>
      </c>
      <c r="H96" s="7"/>
      <c r="I96" s="19" t="str">
        <f>IF(COUNTIF('Claude vs tools'!$K$2:$P$139,A96)&gt;0,"★ Yes","")</f>
        <v/>
      </c>
    </row>
    <row r="97" spans="1:9" x14ac:dyDescent="0.3">
      <c r="A97" s="18" t="s">
        <v>617</v>
      </c>
      <c r="B97" s="7"/>
      <c r="C97" s="7" t="s">
        <v>617</v>
      </c>
      <c r="D97" s="7" t="s">
        <v>617</v>
      </c>
      <c r="E97" s="6">
        <f t="shared" si="2"/>
        <v>2</v>
      </c>
      <c r="F97" s="6" t="str">
        <f t="shared" si="3"/>
        <v>RAKE + YAKE</v>
      </c>
      <c r="G97" s="7" t="s">
        <v>1522</v>
      </c>
      <c r="H97" s="7"/>
      <c r="I97" s="19" t="str">
        <f>IF(COUNTIF('Claude vs tools'!$K$2:$P$139,A97)&gt;0,"★ Yes","")</f>
        <v/>
      </c>
    </row>
    <row r="98" spans="1:9" ht="26.4" x14ac:dyDescent="0.3">
      <c r="A98" s="18" t="s">
        <v>618</v>
      </c>
      <c r="B98" s="7"/>
      <c r="C98" s="7" t="s">
        <v>618</v>
      </c>
      <c r="D98" s="7" t="s">
        <v>618</v>
      </c>
      <c r="E98" s="6">
        <f t="shared" si="2"/>
        <v>2</v>
      </c>
      <c r="F98" s="6" t="str">
        <f t="shared" si="3"/>
        <v>RAKE + YAKE</v>
      </c>
      <c r="G98" s="7" t="s">
        <v>1523</v>
      </c>
      <c r="H98" s="7"/>
      <c r="I98" s="19" t="str">
        <f>IF(COUNTIF('Claude vs tools'!$K$2:$P$139,A98)&gt;0,"★ Yes","")</f>
        <v/>
      </c>
    </row>
    <row r="99" spans="1:9" x14ac:dyDescent="0.3">
      <c r="A99" s="18" t="s">
        <v>619</v>
      </c>
      <c r="B99" s="7"/>
      <c r="C99" s="7" t="s">
        <v>619</v>
      </c>
      <c r="D99" s="7" t="s">
        <v>619</v>
      </c>
      <c r="E99" s="6">
        <f t="shared" si="2"/>
        <v>2</v>
      </c>
      <c r="F99" s="6" t="str">
        <f t="shared" si="3"/>
        <v>RAKE + YAKE</v>
      </c>
      <c r="G99" s="7" t="s">
        <v>1524</v>
      </c>
      <c r="H99" s="7"/>
      <c r="I99" s="19" t="str">
        <f>IF(COUNTIF('Claude vs tools'!$K$2:$P$139,A99)&gt;0,"★ Yes","")</f>
        <v/>
      </c>
    </row>
    <row r="100" spans="1:9" ht="26.4" x14ac:dyDescent="0.3">
      <c r="A100" s="18" t="s">
        <v>138</v>
      </c>
      <c r="B100" s="7"/>
      <c r="C100" s="7" t="s">
        <v>138</v>
      </c>
      <c r="D100" s="7" t="s">
        <v>138</v>
      </c>
      <c r="E100" s="6">
        <f t="shared" si="2"/>
        <v>2</v>
      </c>
      <c r="F100" s="6" t="str">
        <f t="shared" si="3"/>
        <v>RAKE + YAKE</v>
      </c>
      <c r="G100" s="7" t="s">
        <v>1525</v>
      </c>
      <c r="H100" s="7"/>
      <c r="I100" s="19" t="str">
        <f>IF(COUNTIF('Claude vs tools'!$K$2:$P$139,A100)&gt;0,"★ Yes","")</f>
        <v>★ Yes</v>
      </c>
    </row>
    <row r="101" spans="1:9" x14ac:dyDescent="0.3">
      <c r="A101" s="18" t="s">
        <v>620</v>
      </c>
      <c r="B101" s="7" t="s">
        <v>620</v>
      </c>
      <c r="C101" s="7"/>
      <c r="D101" s="7" t="s">
        <v>620</v>
      </c>
      <c r="E101" s="6">
        <f t="shared" si="2"/>
        <v>2</v>
      </c>
      <c r="F101" s="6" t="str">
        <f t="shared" si="3"/>
        <v>Gemini + YAKE</v>
      </c>
      <c r="G101" s="7" t="s">
        <v>1526</v>
      </c>
      <c r="H101" s="7"/>
      <c r="I101" s="19" t="str">
        <f>IF(COUNTIF('Claude vs tools'!$K$2:$P$139,A101)&gt;0,"★ Yes","")</f>
        <v/>
      </c>
    </row>
    <row r="102" spans="1:9" x14ac:dyDescent="0.3">
      <c r="A102" s="18" t="s">
        <v>458</v>
      </c>
      <c r="B102" s="7"/>
      <c r="C102" s="7" t="s">
        <v>458</v>
      </c>
      <c r="D102" s="7" t="s">
        <v>458</v>
      </c>
      <c r="E102" s="6">
        <f t="shared" si="2"/>
        <v>2</v>
      </c>
      <c r="F102" s="6" t="str">
        <f t="shared" si="3"/>
        <v>RAKE + YAKE</v>
      </c>
      <c r="G102" s="7" t="s">
        <v>1527</v>
      </c>
      <c r="H102" s="7"/>
      <c r="I102" s="19" t="str">
        <f>IF(COUNTIF('Claude vs tools'!$K$2:$P$139,A102)&gt;0,"★ Yes","")</f>
        <v>★ Yes</v>
      </c>
    </row>
    <row r="103" spans="1:9" ht="39.6" x14ac:dyDescent="0.3">
      <c r="A103" s="18" t="s">
        <v>456</v>
      </c>
      <c r="B103" s="7"/>
      <c r="C103" s="7" t="s">
        <v>456</v>
      </c>
      <c r="D103" s="7" t="s">
        <v>456</v>
      </c>
      <c r="E103" s="6">
        <f t="shared" si="2"/>
        <v>2</v>
      </c>
      <c r="F103" s="6" t="str">
        <f t="shared" si="3"/>
        <v>RAKE + YAKE</v>
      </c>
      <c r="G103" s="7" t="s">
        <v>1528</v>
      </c>
      <c r="H103" s="7"/>
      <c r="I103" s="19" t="str">
        <f>IF(COUNTIF('Claude vs tools'!$K$2:$P$139,A103)&gt;0,"★ Yes","")</f>
        <v>★ Yes</v>
      </c>
    </row>
    <row r="104" spans="1:9" x14ac:dyDescent="0.3">
      <c r="A104" s="18" t="s">
        <v>621</v>
      </c>
      <c r="B104" s="7"/>
      <c r="C104" s="7" t="s">
        <v>621</v>
      </c>
      <c r="D104" s="7" t="s">
        <v>621</v>
      </c>
      <c r="E104" s="6">
        <f t="shared" si="2"/>
        <v>2</v>
      </c>
      <c r="F104" s="6" t="str">
        <f t="shared" si="3"/>
        <v>RAKE + YAKE</v>
      </c>
      <c r="G104" s="7" t="s">
        <v>1529</v>
      </c>
      <c r="H104" s="7"/>
      <c r="I104" s="19" t="str">
        <f>IF(COUNTIF('Claude vs tools'!$K$2:$P$139,A104)&gt;0,"★ Yes","")</f>
        <v/>
      </c>
    </row>
    <row r="105" spans="1:9" ht="26.4" x14ac:dyDescent="0.3">
      <c r="A105" s="18" t="s">
        <v>622</v>
      </c>
      <c r="B105" s="7"/>
      <c r="C105" s="7" t="s">
        <v>622</v>
      </c>
      <c r="D105" s="7" t="s">
        <v>622</v>
      </c>
      <c r="E105" s="6">
        <f t="shared" si="2"/>
        <v>2</v>
      </c>
      <c r="F105" s="6" t="str">
        <f t="shared" si="3"/>
        <v>RAKE + YAKE</v>
      </c>
      <c r="G105" s="7" t="s">
        <v>1530</v>
      </c>
      <c r="H105" s="7"/>
      <c r="I105" s="19" t="str">
        <f>IF(COUNTIF('Claude vs tools'!$K$2:$P$139,A105)&gt;0,"★ Yes","")</f>
        <v/>
      </c>
    </row>
    <row r="106" spans="1:9" ht="26.4" x14ac:dyDescent="0.3">
      <c r="A106" s="18" t="s">
        <v>546</v>
      </c>
      <c r="B106" s="7" t="s">
        <v>546</v>
      </c>
      <c r="C106" s="7"/>
      <c r="D106" s="7" t="s">
        <v>546</v>
      </c>
      <c r="E106" s="6">
        <f t="shared" si="2"/>
        <v>2</v>
      </c>
      <c r="F106" s="6" t="str">
        <f t="shared" si="3"/>
        <v>Gemini + YAKE</v>
      </c>
      <c r="G106" s="7" t="s">
        <v>1531</v>
      </c>
      <c r="H106" s="7"/>
      <c r="I106" s="19" t="str">
        <f>IF(COUNTIF('Claude vs tools'!$K$2:$P$139,A106)&gt;0,"★ Yes","")</f>
        <v>★ Yes</v>
      </c>
    </row>
    <row r="107" spans="1:9" x14ac:dyDescent="0.3">
      <c r="A107" s="18" t="s">
        <v>623</v>
      </c>
      <c r="B107" s="7" t="s">
        <v>623</v>
      </c>
      <c r="C107" s="7"/>
      <c r="D107" s="7" t="s">
        <v>624</v>
      </c>
      <c r="E107" s="6">
        <f t="shared" si="2"/>
        <v>2</v>
      </c>
      <c r="F107" s="6" t="str">
        <f t="shared" si="3"/>
        <v>Gemini + YAKE</v>
      </c>
      <c r="G107" s="7" t="s">
        <v>1532</v>
      </c>
      <c r="H107" s="7"/>
      <c r="I107" s="19" t="str">
        <f>IF(COUNTIF('Claude vs tools'!$K$2:$P$139,A107)&gt;0,"★ Yes","")</f>
        <v/>
      </c>
    </row>
    <row r="108" spans="1:9" x14ac:dyDescent="0.3">
      <c r="A108" s="18" t="s">
        <v>363</v>
      </c>
      <c r="B108" s="7"/>
      <c r="C108" s="7" t="s">
        <v>363</v>
      </c>
      <c r="D108" s="7" t="s">
        <v>363</v>
      </c>
      <c r="E108" s="6">
        <f t="shared" si="2"/>
        <v>2</v>
      </c>
      <c r="F108" s="6" t="str">
        <f t="shared" si="3"/>
        <v>RAKE + YAKE</v>
      </c>
      <c r="G108" s="7" t="s">
        <v>1424</v>
      </c>
      <c r="H108" s="7"/>
      <c r="I108" s="19" t="str">
        <f>IF(COUNTIF('Claude vs tools'!$K$2:$P$139,A108)&gt;0,"★ Yes","")</f>
        <v>★ Yes</v>
      </c>
    </row>
    <row r="109" spans="1:9" ht="39.6" x14ac:dyDescent="0.3">
      <c r="A109" s="18" t="s">
        <v>625</v>
      </c>
      <c r="B109" s="7"/>
      <c r="C109" s="7" t="s">
        <v>625</v>
      </c>
      <c r="D109" s="7" t="s">
        <v>625</v>
      </c>
      <c r="E109" s="6">
        <f t="shared" si="2"/>
        <v>2</v>
      </c>
      <c r="F109" s="6" t="str">
        <f t="shared" si="3"/>
        <v>RAKE + YAKE</v>
      </c>
      <c r="G109" s="7" t="s">
        <v>1533</v>
      </c>
      <c r="H109" s="7"/>
      <c r="I109" s="19" t="str">
        <f>IF(COUNTIF('Claude vs tools'!$K$2:$P$139,A109)&gt;0,"★ Yes","")</f>
        <v/>
      </c>
    </row>
    <row r="110" spans="1:9" ht="26.4" x14ac:dyDescent="0.3">
      <c r="A110" s="18" t="s">
        <v>626</v>
      </c>
      <c r="B110" s="7"/>
      <c r="C110" s="7" t="s">
        <v>626</v>
      </c>
      <c r="D110" s="7" t="s">
        <v>626</v>
      </c>
      <c r="E110" s="6">
        <f t="shared" si="2"/>
        <v>2</v>
      </c>
      <c r="F110" s="6" t="str">
        <f t="shared" si="3"/>
        <v>RAKE + YAKE</v>
      </c>
      <c r="G110" s="7" t="s">
        <v>1534</v>
      </c>
      <c r="H110" s="7"/>
      <c r="I110" s="19" t="str">
        <f>IF(COUNTIF('Claude vs tools'!$K$2:$P$139,A110)&gt;0,"★ Yes","")</f>
        <v/>
      </c>
    </row>
    <row r="111" spans="1:9" ht="26.4" x14ac:dyDescent="0.3">
      <c r="A111" s="18" t="s">
        <v>627</v>
      </c>
      <c r="B111" s="7" t="s">
        <v>627</v>
      </c>
      <c r="C111" s="7"/>
      <c r="D111" s="7" t="s">
        <v>627</v>
      </c>
      <c r="E111" s="6">
        <f t="shared" si="2"/>
        <v>2</v>
      </c>
      <c r="F111" s="6" t="str">
        <f t="shared" si="3"/>
        <v>Gemini + YAKE</v>
      </c>
      <c r="G111" s="7" t="s">
        <v>1535</v>
      </c>
      <c r="H111" s="7"/>
      <c r="I111" s="19" t="str">
        <f>IF(COUNTIF('Claude vs tools'!$K$2:$P$139,A111)&gt;0,"★ Yes","")</f>
        <v/>
      </c>
    </row>
    <row r="112" spans="1:9" ht="26.4" x14ac:dyDescent="0.3">
      <c r="A112" s="18" t="s">
        <v>628</v>
      </c>
      <c r="B112" s="7"/>
      <c r="C112" s="7" t="s">
        <v>628</v>
      </c>
      <c r="D112" s="7" t="s">
        <v>628</v>
      </c>
      <c r="E112" s="6">
        <f t="shared" si="2"/>
        <v>2</v>
      </c>
      <c r="F112" s="6" t="str">
        <f t="shared" si="3"/>
        <v>RAKE + YAKE</v>
      </c>
      <c r="G112" s="7" t="s">
        <v>1536</v>
      </c>
      <c r="H112" s="7"/>
      <c r="I112" s="19" t="str">
        <f>IF(COUNTIF('Claude vs tools'!$K$2:$P$139,A112)&gt;0,"★ Yes","")</f>
        <v/>
      </c>
    </row>
    <row r="113" spans="1:9" ht="26.4" x14ac:dyDescent="0.3">
      <c r="A113" s="18" t="s">
        <v>17</v>
      </c>
      <c r="B113" s="7"/>
      <c r="C113" s="7" t="s">
        <v>17</v>
      </c>
      <c r="D113" s="7" t="s">
        <v>17</v>
      </c>
      <c r="E113" s="6">
        <f t="shared" si="2"/>
        <v>2</v>
      </c>
      <c r="F113" s="6" t="str">
        <f t="shared" si="3"/>
        <v>RAKE + YAKE</v>
      </c>
      <c r="G113" s="7" t="s">
        <v>1537</v>
      </c>
      <c r="H113" s="7"/>
      <c r="I113" s="19" t="str">
        <f>IF(COUNTIF('Claude vs tools'!$K$2:$P$139,A113)&gt;0,"★ Yes","")</f>
        <v>★ Yes</v>
      </c>
    </row>
    <row r="114" spans="1:9" x14ac:dyDescent="0.3">
      <c r="A114" s="18" t="s">
        <v>455</v>
      </c>
      <c r="B114" s="7"/>
      <c r="C114" s="7" t="s">
        <v>455</v>
      </c>
      <c r="D114" s="7" t="s">
        <v>455</v>
      </c>
      <c r="E114" s="6">
        <f t="shared" si="2"/>
        <v>2</v>
      </c>
      <c r="F114" s="6" t="str">
        <f t="shared" si="3"/>
        <v>RAKE + YAKE</v>
      </c>
      <c r="G114" s="7" t="s">
        <v>1538</v>
      </c>
      <c r="H114" s="7"/>
      <c r="I114" s="19" t="str">
        <f>IF(COUNTIF('Claude vs tools'!$K$2:$P$139,A114)&gt;0,"★ Yes","")</f>
        <v>★ Yes</v>
      </c>
    </row>
    <row r="115" spans="1:9" x14ac:dyDescent="0.3">
      <c r="A115" s="18" t="s">
        <v>629</v>
      </c>
      <c r="B115" s="7"/>
      <c r="C115" s="7" t="s">
        <v>629</v>
      </c>
      <c r="D115" s="7" t="s">
        <v>629</v>
      </c>
      <c r="E115" s="6">
        <f t="shared" si="2"/>
        <v>2</v>
      </c>
      <c r="F115" s="6" t="str">
        <f t="shared" si="3"/>
        <v>RAKE + YAKE</v>
      </c>
      <c r="G115" s="7" t="s">
        <v>1539</v>
      </c>
      <c r="H115" s="7"/>
      <c r="I115" s="19" t="str">
        <f>IF(COUNTIF('Claude vs tools'!$K$2:$P$139,A115)&gt;0,"★ Yes","")</f>
        <v/>
      </c>
    </row>
    <row r="116" spans="1:9" ht="39.6" x14ac:dyDescent="0.3">
      <c r="A116" s="18" t="s">
        <v>1540</v>
      </c>
      <c r="B116" s="7"/>
      <c r="C116" s="7" t="s">
        <v>1541</v>
      </c>
      <c r="D116" s="7" t="s">
        <v>1542</v>
      </c>
      <c r="E116" s="6">
        <f t="shared" si="2"/>
        <v>2</v>
      </c>
      <c r="F116" s="6" t="str">
        <f t="shared" si="3"/>
        <v>RAKE + YAKE</v>
      </c>
      <c r="G116" s="7" t="s">
        <v>1543</v>
      </c>
      <c r="H116" s="7"/>
      <c r="I116" s="19" t="str">
        <f>IF(COUNTIF('Claude vs tools'!$K$2:$P$139,A116)&gt;0,"★ Yes","")</f>
        <v/>
      </c>
    </row>
    <row r="117" spans="1:9" x14ac:dyDescent="0.3">
      <c r="A117" s="18" t="s">
        <v>174</v>
      </c>
      <c r="B117" s="7" t="s">
        <v>174</v>
      </c>
      <c r="C117" s="7"/>
      <c r="D117" s="7" t="s">
        <v>174</v>
      </c>
      <c r="E117" s="6">
        <f t="shared" si="2"/>
        <v>2</v>
      </c>
      <c r="F117" s="6" t="str">
        <f t="shared" si="3"/>
        <v>Gemini + YAKE</v>
      </c>
      <c r="G117" s="7" t="s">
        <v>1544</v>
      </c>
      <c r="H117" s="7"/>
      <c r="I117" s="19" t="str">
        <f>IF(COUNTIF('Claude vs tools'!$K$2:$P$139,A117)&gt;0,"★ Yes","")</f>
        <v>★ Yes</v>
      </c>
    </row>
    <row r="118" spans="1:9" ht="26.4" x14ac:dyDescent="0.3">
      <c r="A118" s="18" t="s">
        <v>1545</v>
      </c>
      <c r="B118" s="7"/>
      <c r="C118" s="7" t="s">
        <v>632</v>
      </c>
      <c r="D118" s="7" t="s">
        <v>1546</v>
      </c>
      <c r="E118" s="6">
        <f t="shared" si="2"/>
        <v>2</v>
      </c>
      <c r="F118" s="6" t="str">
        <f t="shared" si="3"/>
        <v>RAKE + YAKE</v>
      </c>
      <c r="G118" s="7" t="s">
        <v>1547</v>
      </c>
      <c r="H118" s="7"/>
      <c r="I118" s="19" t="str">
        <f>IF(COUNTIF('Claude vs tools'!$K$2:$P$139,A118)&gt;0,"★ Yes","")</f>
        <v/>
      </c>
    </row>
    <row r="119" spans="1:9" ht="26.4" x14ac:dyDescent="0.3">
      <c r="A119" s="18" t="s">
        <v>634</v>
      </c>
      <c r="B119" s="7"/>
      <c r="C119" s="7" t="s">
        <v>634</v>
      </c>
      <c r="D119" s="7" t="s">
        <v>634</v>
      </c>
      <c r="E119" s="6">
        <f t="shared" si="2"/>
        <v>2</v>
      </c>
      <c r="F119" s="6" t="str">
        <f t="shared" si="3"/>
        <v>RAKE + YAKE</v>
      </c>
      <c r="G119" s="7" t="s">
        <v>1548</v>
      </c>
      <c r="H119" s="7"/>
      <c r="I119" s="19" t="str">
        <f>IF(COUNTIF('Claude vs tools'!$K$2:$P$139,A119)&gt;0,"★ Yes","")</f>
        <v/>
      </c>
    </row>
    <row r="120" spans="1:9" ht="26.4" x14ac:dyDescent="0.3">
      <c r="A120" s="18" t="s">
        <v>343</v>
      </c>
      <c r="B120" s="7"/>
      <c r="C120" s="7" t="s">
        <v>343</v>
      </c>
      <c r="D120" s="7" t="s">
        <v>343</v>
      </c>
      <c r="E120" s="6">
        <f t="shared" si="2"/>
        <v>2</v>
      </c>
      <c r="F120" s="6" t="str">
        <f t="shared" si="3"/>
        <v>RAKE + YAKE</v>
      </c>
      <c r="G120" s="7" t="s">
        <v>1549</v>
      </c>
      <c r="H120" s="7"/>
      <c r="I120" s="19" t="str">
        <f>IF(COUNTIF('Claude vs tools'!$K$2:$P$139,A120)&gt;0,"★ Yes","")</f>
        <v>★ Yes</v>
      </c>
    </row>
    <row r="121" spans="1:9" ht="39.6" x14ac:dyDescent="0.3">
      <c r="A121" s="18" t="s">
        <v>1550</v>
      </c>
      <c r="B121" s="7"/>
      <c r="C121" s="7" t="s">
        <v>1551</v>
      </c>
      <c r="D121" s="7" t="s">
        <v>1551</v>
      </c>
      <c r="E121" s="6">
        <f t="shared" si="2"/>
        <v>2</v>
      </c>
      <c r="F121" s="6" t="str">
        <f t="shared" si="3"/>
        <v>RAKE + YAKE</v>
      </c>
      <c r="G121" s="7" t="s">
        <v>1552</v>
      </c>
      <c r="H121" s="7"/>
      <c r="I121" s="19" t="str">
        <f>IF(COUNTIF('Claude vs tools'!$K$2:$P$139,A121)&gt;0,"★ Yes","")</f>
        <v/>
      </c>
    </row>
    <row r="122" spans="1:9" x14ac:dyDescent="0.3">
      <c r="A122" s="18" t="s">
        <v>636</v>
      </c>
      <c r="B122" s="7"/>
      <c r="C122" s="7" t="s">
        <v>636</v>
      </c>
      <c r="D122" s="7" t="s">
        <v>636</v>
      </c>
      <c r="E122" s="6">
        <f t="shared" si="2"/>
        <v>2</v>
      </c>
      <c r="F122" s="6" t="str">
        <f t="shared" si="3"/>
        <v>RAKE + YAKE</v>
      </c>
      <c r="G122" s="7" t="s">
        <v>795</v>
      </c>
      <c r="H122" s="7" t="s">
        <v>567</v>
      </c>
      <c r="I122" s="19" t="str">
        <f>IF(COUNTIF('Claude vs tools'!$K$2:$P$139,A122)&gt;0,"★ Yes","")</f>
        <v/>
      </c>
    </row>
    <row r="123" spans="1:9" x14ac:dyDescent="0.3">
      <c r="A123" s="18" t="s">
        <v>637</v>
      </c>
      <c r="B123" s="7"/>
      <c r="C123" s="7" t="s">
        <v>637</v>
      </c>
      <c r="D123" s="7" t="s">
        <v>637</v>
      </c>
      <c r="E123" s="6">
        <f t="shared" si="2"/>
        <v>2</v>
      </c>
      <c r="F123" s="6" t="str">
        <f t="shared" si="3"/>
        <v>RAKE + YAKE</v>
      </c>
      <c r="G123" s="7" t="s">
        <v>1553</v>
      </c>
      <c r="H123" s="7"/>
      <c r="I123" s="19" t="str">
        <f>IF(COUNTIF('Claude vs tools'!$K$2:$P$139,A123)&gt;0,"★ Yes","")</f>
        <v/>
      </c>
    </row>
    <row r="124" spans="1:9" x14ac:dyDescent="0.3">
      <c r="A124" s="18" t="s">
        <v>638</v>
      </c>
      <c r="B124" s="7"/>
      <c r="C124" s="7" t="s">
        <v>638</v>
      </c>
      <c r="D124" s="7" t="s">
        <v>638</v>
      </c>
      <c r="E124" s="6">
        <f t="shared" si="2"/>
        <v>2</v>
      </c>
      <c r="F124" s="6" t="str">
        <f t="shared" si="3"/>
        <v>RAKE + YAKE</v>
      </c>
      <c r="G124" s="7" t="s">
        <v>1554</v>
      </c>
      <c r="H124" s="7"/>
      <c r="I124" s="19" t="str">
        <f>IF(COUNTIF('Claude vs tools'!$K$2:$P$139,A124)&gt;0,"★ Yes","")</f>
        <v/>
      </c>
    </row>
    <row r="125" spans="1:9" x14ac:dyDescent="0.3">
      <c r="A125" s="18" t="s">
        <v>639</v>
      </c>
      <c r="B125" s="7" t="s">
        <v>639</v>
      </c>
      <c r="C125" s="7"/>
      <c r="D125" s="7" t="s">
        <v>639</v>
      </c>
      <c r="E125" s="6">
        <f t="shared" si="2"/>
        <v>2</v>
      </c>
      <c r="F125" s="6" t="str">
        <f t="shared" si="3"/>
        <v>Gemini + YAKE</v>
      </c>
      <c r="G125" s="7" t="s">
        <v>1555</v>
      </c>
      <c r="H125" s="7"/>
      <c r="I125" s="19" t="str">
        <f>IF(COUNTIF('Claude vs tools'!$K$2:$P$139,A125)&gt;0,"★ Yes","")</f>
        <v/>
      </c>
    </row>
    <row r="126" spans="1:9" x14ac:dyDescent="0.3">
      <c r="A126" s="18" t="s">
        <v>408</v>
      </c>
      <c r="B126" s="7" t="s">
        <v>408</v>
      </c>
      <c r="C126" s="7"/>
      <c r="D126" s="7" t="s">
        <v>408</v>
      </c>
      <c r="E126" s="6">
        <f t="shared" si="2"/>
        <v>2</v>
      </c>
      <c r="F126" s="6" t="str">
        <f t="shared" si="3"/>
        <v>Gemini + YAKE</v>
      </c>
      <c r="G126" s="7" t="s">
        <v>795</v>
      </c>
      <c r="H126" s="7"/>
      <c r="I126" s="19" t="str">
        <f>IF(COUNTIF('Claude vs tools'!$K$2:$P$139,A126)&gt;0,"★ Yes","")</f>
        <v>★ Yes</v>
      </c>
    </row>
    <row r="127" spans="1:9" ht="26.4" x14ac:dyDescent="0.3">
      <c r="A127" s="18" t="s">
        <v>640</v>
      </c>
      <c r="B127" s="7"/>
      <c r="C127" s="7" t="s">
        <v>640</v>
      </c>
      <c r="D127" s="7" t="s">
        <v>640</v>
      </c>
      <c r="E127" s="6">
        <f t="shared" si="2"/>
        <v>2</v>
      </c>
      <c r="F127" s="6" t="str">
        <f t="shared" si="3"/>
        <v>RAKE + YAKE</v>
      </c>
      <c r="G127" s="7" t="s">
        <v>1556</v>
      </c>
      <c r="H127" s="7"/>
      <c r="I127" s="19" t="str">
        <f>IF(COUNTIF('Claude vs tools'!$K$2:$P$139,A127)&gt;0,"★ Yes","")</f>
        <v/>
      </c>
    </row>
    <row r="128" spans="1:9" ht="39.6" x14ac:dyDescent="0.3">
      <c r="A128" s="18" t="s">
        <v>642</v>
      </c>
      <c r="B128" s="7"/>
      <c r="C128" s="7" t="s">
        <v>1557</v>
      </c>
      <c r="D128" s="7" t="s">
        <v>642</v>
      </c>
      <c r="E128" s="6">
        <f t="shared" si="2"/>
        <v>2</v>
      </c>
      <c r="F128" s="6" t="str">
        <f t="shared" si="3"/>
        <v>RAKE + YAKE</v>
      </c>
      <c r="G128" s="7" t="s">
        <v>1558</v>
      </c>
      <c r="H128" s="7"/>
      <c r="I128" s="19" t="str">
        <f>IF(COUNTIF('Claude vs tools'!$K$2:$P$139,A128)&gt;0,"★ Yes","")</f>
        <v/>
      </c>
    </row>
    <row r="129" spans="1:9" x14ac:dyDescent="0.3">
      <c r="A129" s="18" t="s">
        <v>643</v>
      </c>
      <c r="B129" s="7" t="s">
        <v>643</v>
      </c>
      <c r="C129" s="7"/>
      <c r="D129" s="7" t="s">
        <v>643</v>
      </c>
      <c r="E129" s="6">
        <f t="shared" si="2"/>
        <v>2</v>
      </c>
      <c r="F129" s="6" t="str">
        <f t="shared" si="3"/>
        <v>Gemini + YAKE</v>
      </c>
      <c r="G129" s="7" t="s">
        <v>1559</v>
      </c>
      <c r="H129" s="7"/>
      <c r="I129" s="19" t="str">
        <f>IF(COUNTIF('Claude vs tools'!$K$2:$P$139,A129)&gt;0,"★ Yes","")</f>
        <v/>
      </c>
    </row>
    <row r="130" spans="1:9" x14ac:dyDescent="0.3">
      <c r="A130" s="18" t="s">
        <v>644</v>
      </c>
      <c r="B130" s="7"/>
      <c r="C130" s="7" t="s">
        <v>644</v>
      </c>
      <c r="D130" s="7" t="s">
        <v>644</v>
      </c>
      <c r="E130" s="6">
        <f t="shared" ref="E130:E193" si="4">COUNTA(B130:D130)</f>
        <v>2</v>
      </c>
      <c r="F130" s="6" t="str">
        <f t="shared" ref="F130:F193" si="5">IF(E130=3,"All three",IF(E130=2,SUBSTITUTE(TRIM(IF(B130&lt;&gt;"","Gemini ","")&amp;IF(C130&lt;&gt;"","RAKE ","")&amp;IF(D130&lt;&gt;"","YAKE",""))," "," + "),"Only "&amp;TRIM(IF(B130&lt;&gt;"","Gemini","")&amp;IF(C130&lt;&gt;"","RAKE","")&amp;IF(D130&lt;&gt;"","YAKE",""))))</f>
        <v>RAKE + YAKE</v>
      </c>
      <c r="G130" s="7" t="s">
        <v>1560</v>
      </c>
      <c r="H130" s="7"/>
      <c r="I130" s="19" t="str">
        <f>IF(COUNTIF('Claude vs tools'!$K$2:$P$139,A130)&gt;0,"★ Yes","")</f>
        <v/>
      </c>
    </row>
    <row r="131" spans="1:9" ht="39.6" x14ac:dyDescent="0.3">
      <c r="A131" s="18" t="s">
        <v>645</v>
      </c>
      <c r="B131" s="7"/>
      <c r="C131" s="7" t="s">
        <v>645</v>
      </c>
      <c r="D131" s="7" t="s">
        <v>645</v>
      </c>
      <c r="E131" s="6">
        <f t="shared" si="4"/>
        <v>2</v>
      </c>
      <c r="F131" s="6" t="str">
        <f t="shared" si="5"/>
        <v>RAKE + YAKE</v>
      </c>
      <c r="G131" s="7" t="s">
        <v>1561</v>
      </c>
      <c r="H131" s="7"/>
      <c r="I131" s="19" t="str">
        <f>IF(COUNTIF('Claude vs tools'!$K$2:$P$139,A131)&gt;0,"★ Yes","")</f>
        <v/>
      </c>
    </row>
    <row r="132" spans="1:9" x14ac:dyDescent="0.3">
      <c r="A132" s="18" t="s">
        <v>646</v>
      </c>
      <c r="B132" s="7"/>
      <c r="C132" s="7" t="s">
        <v>646</v>
      </c>
      <c r="D132" s="7" t="s">
        <v>646</v>
      </c>
      <c r="E132" s="6">
        <f t="shared" si="4"/>
        <v>2</v>
      </c>
      <c r="F132" s="6" t="str">
        <f t="shared" si="5"/>
        <v>RAKE + YAKE</v>
      </c>
      <c r="G132" s="7" t="s">
        <v>1562</v>
      </c>
      <c r="H132" s="7"/>
      <c r="I132" s="19" t="str">
        <f>IF(COUNTIF('Claude vs tools'!$K$2:$P$139,A132)&gt;0,"★ Yes","")</f>
        <v/>
      </c>
    </row>
    <row r="133" spans="1:9" ht="26.4" x14ac:dyDescent="0.3">
      <c r="A133" s="18" t="s">
        <v>647</v>
      </c>
      <c r="B133" s="7" t="s">
        <v>647</v>
      </c>
      <c r="C133" s="7"/>
      <c r="D133" s="7" t="s">
        <v>1563</v>
      </c>
      <c r="E133" s="6">
        <f t="shared" si="4"/>
        <v>2</v>
      </c>
      <c r="F133" s="6" t="str">
        <f t="shared" si="5"/>
        <v>Gemini + YAKE</v>
      </c>
      <c r="G133" s="7" t="s">
        <v>1564</v>
      </c>
      <c r="H133" s="7"/>
      <c r="I133" s="19" t="str">
        <f>IF(COUNTIF('Claude vs tools'!$K$2:$P$139,A133)&gt;0,"★ Yes","")</f>
        <v/>
      </c>
    </row>
    <row r="134" spans="1:9" ht="26.4" x14ac:dyDescent="0.3">
      <c r="A134" s="18" t="s">
        <v>649</v>
      </c>
      <c r="B134" s="7" t="s">
        <v>649</v>
      </c>
      <c r="C134" s="7"/>
      <c r="D134" s="7" t="s">
        <v>649</v>
      </c>
      <c r="E134" s="6">
        <f t="shared" si="4"/>
        <v>2</v>
      </c>
      <c r="F134" s="6" t="str">
        <f t="shared" si="5"/>
        <v>Gemini + YAKE</v>
      </c>
      <c r="G134" s="7" t="s">
        <v>1565</v>
      </c>
      <c r="H134" s="7"/>
      <c r="I134" s="19" t="str">
        <f>IF(COUNTIF('Claude vs tools'!$K$2:$P$139,A134)&gt;0,"★ Yes","")</f>
        <v/>
      </c>
    </row>
    <row r="135" spans="1:9" x14ac:dyDescent="0.3">
      <c r="A135" s="18" t="s">
        <v>650</v>
      </c>
      <c r="B135" s="7" t="s">
        <v>650</v>
      </c>
      <c r="C135" s="7"/>
      <c r="D135" s="7" t="s">
        <v>650</v>
      </c>
      <c r="E135" s="6">
        <f t="shared" si="4"/>
        <v>2</v>
      </c>
      <c r="F135" s="6" t="str">
        <f t="shared" si="5"/>
        <v>Gemini + YAKE</v>
      </c>
      <c r="G135" s="7" t="s">
        <v>1566</v>
      </c>
      <c r="H135" s="7"/>
      <c r="I135" s="19" t="str">
        <f>IF(COUNTIF('Claude vs tools'!$K$2:$P$139,A135)&gt;0,"★ Yes","")</f>
        <v/>
      </c>
    </row>
    <row r="136" spans="1:9" x14ac:dyDescent="0.3">
      <c r="A136" s="18" t="s">
        <v>651</v>
      </c>
      <c r="B136" s="7"/>
      <c r="C136" s="7" t="s">
        <v>651</v>
      </c>
      <c r="D136" s="7" t="s">
        <v>651</v>
      </c>
      <c r="E136" s="6">
        <f t="shared" si="4"/>
        <v>2</v>
      </c>
      <c r="F136" s="6" t="str">
        <f t="shared" si="5"/>
        <v>RAKE + YAKE</v>
      </c>
      <c r="G136" s="7" t="s">
        <v>1567</v>
      </c>
      <c r="H136" s="7"/>
      <c r="I136" s="19" t="str">
        <f>IF(COUNTIF('Claude vs tools'!$K$2:$P$139,A136)&gt;0,"★ Yes","")</f>
        <v/>
      </c>
    </row>
    <row r="137" spans="1:9" ht="26.4" x14ac:dyDescent="0.3">
      <c r="A137" s="18" t="s">
        <v>652</v>
      </c>
      <c r="B137" s="7"/>
      <c r="C137" s="7" t="s">
        <v>652</v>
      </c>
      <c r="D137" s="7" t="s">
        <v>652</v>
      </c>
      <c r="E137" s="6">
        <f t="shared" si="4"/>
        <v>2</v>
      </c>
      <c r="F137" s="6" t="str">
        <f t="shared" si="5"/>
        <v>RAKE + YAKE</v>
      </c>
      <c r="G137" s="7" t="s">
        <v>1568</v>
      </c>
      <c r="H137" s="7"/>
      <c r="I137" s="19" t="str">
        <f>IF(COUNTIF('Claude vs tools'!$K$2:$P$139,A137)&gt;0,"★ Yes","")</f>
        <v/>
      </c>
    </row>
    <row r="138" spans="1:9" x14ac:dyDescent="0.3">
      <c r="A138" s="18" t="s">
        <v>653</v>
      </c>
      <c r="B138" s="7"/>
      <c r="C138" s="7" t="s">
        <v>653</v>
      </c>
      <c r="D138" s="7" t="s">
        <v>653</v>
      </c>
      <c r="E138" s="6">
        <f t="shared" si="4"/>
        <v>2</v>
      </c>
      <c r="F138" s="6" t="str">
        <f t="shared" si="5"/>
        <v>RAKE + YAKE</v>
      </c>
      <c r="G138" s="7" t="s">
        <v>1569</v>
      </c>
      <c r="H138" s="7"/>
      <c r="I138" s="19" t="str">
        <f>IF(COUNTIF('Claude vs tools'!$K$2:$P$139,A138)&gt;0,"★ Yes","")</f>
        <v/>
      </c>
    </row>
    <row r="139" spans="1:9" x14ac:dyDescent="0.3">
      <c r="A139" s="18" t="s">
        <v>654</v>
      </c>
      <c r="B139" s="7"/>
      <c r="C139" s="7" t="s">
        <v>654</v>
      </c>
      <c r="D139" s="7" t="s">
        <v>654</v>
      </c>
      <c r="E139" s="6">
        <f t="shared" si="4"/>
        <v>2</v>
      </c>
      <c r="F139" s="6" t="str">
        <f t="shared" si="5"/>
        <v>RAKE + YAKE</v>
      </c>
      <c r="G139" s="7" t="s">
        <v>1570</v>
      </c>
      <c r="H139" s="7"/>
      <c r="I139" s="19" t="str">
        <f>IF(COUNTIF('Claude vs tools'!$K$2:$P$139,A139)&gt;0,"★ Yes","")</f>
        <v/>
      </c>
    </row>
    <row r="140" spans="1:9" x14ac:dyDescent="0.3">
      <c r="A140" s="18" t="s">
        <v>655</v>
      </c>
      <c r="B140" s="7"/>
      <c r="C140" s="7" t="s">
        <v>655</v>
      </c>
      <c r="D140" s="7" t="s">
        <v>655</v>
      </c>
      <c r="E140" s="6">
        <f t="shared" si="4"/>
        <v>2</v>
      </c>
      <c r="F140" s="6" t="str">
        <f t="shared" si="5"/>
        <v>RAKE + YAKE</v>
      </c>
      <c r="G140" s="7" t="s">
        <v>1571</v>
      </c>
      <c r="H140" s="7"/>
      <c r="I140" s="19" t="str">
        <f>IF(COUNTIF('Claude vs tools'!$K$2:$P$139,A140)&gt;0,"★ Yes","")</f>
        <v/>
      </c>
    </row>
    <row r="141" spans="1:9" ht="26.4" x14ac:dyDescent="0.3">
      <c r="A141" s="18" t="s">
        <v>1572</v>
      </c>
      <c r="B141" s="7"/>
      <c r="C141" s="7" t="s">
        <v>1573</v>
      </c>
      <c r="D141" s="7" t="s">
        <v>1573</v>
      </c>
      <c r="E141" s="6">
        <f t="shared" si="4"/>
        <v>2</v>
      </c>
      <c r="F141" s="6" t="str">
        <f t="shared" si="5"/>
        <v>RAKE + YAKE</v>
      </c>
      <c r="G141" s="7" t="s">
        <v>1574</v>
      </c>
      <c r="H141" s="7"/>
      <c r="I141" s="19" t="str">
        <f>IF(COUNTIF('Claude vs tools'!$K$2:$P$139,A141)&gt;0,"★ Yes","")</f>
        <v/>
      </c>
    </row>
    <row r="142" spans="1:9" x14ac:dyDescent="0.3">
      <c r="A142" s="18" t="s">
        <v>657</v>
      </c>
      <c r="B142" s="7"/>
      <c r="C142" s="7" t="s">
        <v>657</v>
      </c>
      <c r="D142" s="7" t="s">
        <v>657</v>
      </c>
      <c r="E142" s="6">
        <f t="shared" si="4"/>
        <v>2</v>
      </c>
      <c r="F142" s="6" t="str">
        <f t="shared" si="5"/>
        <v>RAKE + YAKE</v>
      </c>
      <c r="G142" s="7" t="s">
        <v>1575</v>
      </c>
      <c r="H142" s="7"/>
      <c r="I142" s="19" t="str">
        <f>IF(COUNTIF('Claude vs tools'!$K$2:$P$139,A142)&gt;0,"★ Yes","")</f>
        <v/>
      </c>
    </row>
    <row r="143" spans="1:9" x14ac:dyDescent="0.3">
      <c r="A143" s="18" t="s">
        <v>658</v>
      </c>
      <c r="B143" s="7" t="s">
        <v>658</v>
      </c>
      <c r="C143" s="7"/>
      <c r="D143" s="7" t="s">
        <v>658</v>
      </c>
      <c r="E143" s="6">
        <f t="shared" si="4"/>
        <v>2</v>
      </c>
      <c r="F143" s="6" t="str">
        <f t="shared" si="5"/>
        <v>Gemini + YAKE</v>
      </c>
      <c r="G143" s="7" t="s">
        <v>1576</v>
      </c>
      <c r="H143" s="7"/>
      <c r="I143" s="19" t="str">
        <f>IF(COUNTIF('Claude vs tools'!$K$2:$P$139,A143)&gt;0,"★ Yes","")</f>
        <v/>
      </c>
    </row>
    <row r="144" spans="1:9" x14ac:dyDescent="0.3">
      <c r="A144" s="18" t="s">
        <v>659</v>
      </c>
      <c r="B144" s="7" t="s">
        <v>659</v>
      </c>
      <c r="C144" s="7"/>
      <c r="D144" s="7" t="s">
        <v>659</v>
      </c>
      <c r="E144" s="6">
        <f t="shared" si="4"/>
        <v>2</v>
      </c>
      <c r="F144" s="6" t="str">
        <f t="shared" si="5"/>
        <v>Gemini + YAKE</v>
      </c>
      <c r="G144" s="7" t="s">
        <v>1577</v>
      </c>
      <c r="H144" s="7" t="s">
        <v>660</v>
      </c>
      <c r="I144" s="19" t="str">
        <f>IF(COUNTIF('Claude vs tools'!$K$2:$P$139,A144)&gt;0,"★ Yes","")</f>
        <v/>
      </c>
    </row>
    <row r="145" spans="1:9" x14ac:dyDescent="0.3">
      <c r="A145" s="18" t="s">
        <v>661</v>
      </c>
      <c r="B145" s="7"/>
      <c r="C145" s="7" t="s">
        <v>661</v>
      </c>
      <c r="D145" s="7" t="s">
        <v>661</v>
      </c>
      <c r="E145" s="6">
        <f t="shared" si="4"/>
        <v>2</v>
      </c>
      <c r="F145" s="6" t="str">
        <f t="shared" si="5"/>
        <v>RAKE + YAKE</v>
      </c>
      <c r="G145" s="7" t="s">
        <v>1578</v>
      </c>
      <c r="H145" s="7"/>
      <c r="I145" s="19" t="str">
        <f>IF(COUNTIF('Claude vs tools'!$K$2:$P$139,A145)&gt;0,"★ Yes","")</f>
        <v/>
      </c>
    </row>
    <row r="146" spans="1:9" x14ac:dyDescent="0.3">
      <c r="A146" s="18" t="s">
        <v>662</v>
      </c>
      <c r="B146" s="7" t="s">
        <v>662</v>
      </c>
      <c r="C146" s="7"/>
      <c r="D146" s="7" t="s">
        <v>662</v>
      </c>
      <c r="E146" s="6">
        <f t="shared" si="4"/>
        <v>2</v>
      </c>
      <c r="F146" s="6" t="str">
        <f t="shared" si="5"/>
        <v>Gemini + YAKE</v>
      </c>
      <c r="G146" s="7" t="s">
        <v>795</v>
      </c>
      <c r="H146" s="7"/>
      <c r="I146" s="19" t="str">
        <f>IF(COUNTIF('Claude vs tools'!$K$2:$P$139,A146)&gt;0,"★ Yes","")</f>
        <v/>
      </c>
    </row>
    <row r="147" spans="1:9" ht="26.4" x14ac:dyDescent="0.3">
      <c r="A147" s="18" t="s">
        <v>663</v>
      </c>
      <c r="B147" s="7"/>
      <c r="C147" s="7" t="s">
        <v>663</v>
      </c>
      <c r="D147" s="7" t="s">
        <v>663</v>
      </c>
      <c r="E147" s="6">
        <f t="shared" si="4"/>
        <v>2</v>
      </c>
      <c r="F147" s="6" t="str">
        <f t="shared" si="5"/>
        <v>RAKE + YAKE</v>
      </c>
      <c r="G147" s="7" t="s">
        <v>1579</v>
      </c>
      <c r="H147" s="7"/>
      <c r="I147" s="19" t="str">
        <f>IF(COUNTIF('Claude vs tools'!$K$2:$P$139,A147)&gt;0,"★ Yes","")</f>
        <v/>
      </c>
    </row>
    <row r="148" spans="1:9" x14ac:dyDescent="0.3">
      <c r="A148" s="18" t="s">
        <v>353</v>
      </c>
      <c r="B148" s="7"/>
      <c r="C148" s="7" t="s">
        <v>353</v>
      </c>
      <c r="D148" s="7" t="s">
        <v>353</v>
      </c>
      <c r="E148" s="6">
        <f t="shared" si="4"/>
        <v>2</v>
      </c>
      <c r="F148" s="6" t="str">
        <f t="shared" si="5"/>
        <v>RAKE + YAKE</v>
      </c>
      <c r="G148" s="7" t="s">
        <v>1580</v>
      </c>
      <c r="H148" s="7"/>
      <c r="I148" s="19" t="str">
        <f>IF(COUNTIF('Claude vs tools'!$K$2:$P$139,A148)&gt;0,"★ Yes","")</f>
        <v>★ Yes</v>
      </c>
    </row>
    <row r="149" spans="1:9" x14ac:dyDescent="0.3">
      <c r="A149" s="18" t="s">
        <v>664</v>
      </c>
      <c r="B149" s="7"/>
      <c r="C149" s="7" t="s">
        <v>664</v>
      </c>
      <c r="D149" s="7" t="s">
        <v>664</v>
      </c>
      <c r="E149" s="6">
        <f t="shared" si="4"/>
        <v>2</v>
      </c>
      <c r="F149" s="6" t="str">
        <f t="shared" si="5"/>
        <v>RAKE + YAKE</v>
      </c>
      <c r="G149" s="7" t="s">
        <v>1581</v>
      </c>
      <c r="H149" s="7"/>
      <c r="I149" s="19" t="str">
        <f>IF(COUNTIF('Claude vs tools'!$K$2:$P$139,A149)&gt;0,"★ Yes","")</f>
        <v/>
      </c>
    </row>
    <row r="150" spans="1:9" x14ac:dyDescent="0.3">
      <c r="A150" s="18" t="s">
        <v>665</v>
      </c>
      <c r="B150" s="7" t="s">
        <v>665</v>
      </c>
      <c r="C150" s="7"/>
      <c r="D150" s="7" t="s">
        <v>665</v>
      </c>
      <c r="E150" s="6">
        <f t="shared" si="4"/>
        <v>2</v>
      </c>
      <c r="F150" s="6" t="str">
        <f t="shared" si="5"/>
        <v>Gemini + YAKE</v>
      </c>
      <c r="G150" s="7" t="s">
        <v>1582</v>
      </c>
      <c r="H150" s="7"/>
      <c r="I150" s="19" t="str">
        <f>IF(COUNTIF('Claude vs tools'!$K$2:$P$139,A150)&gt;0,"★ Yes","")</f>
        <v/>
      </c>
    </row>
    <row r="151" spans="1:9" ht="26.4" x14ac:dyDescent="0.3">
      <c r="A151" s="18" t="s">
        <v>394</v>
      </c>
      <c r="B151" s="7"/>
      <c r="C151" s="7" t="s">
        <v>394</v>
      </c>
      <c r="D151" s="7" t="s">
        <v>394</v>
      </c>
      <c r="E151" s="6">
        <f t="shared" si="4"/>
        <v>2</v>
      </c>
      <c r="F151" s="6" t="str">
        <f t="shared" si="5"/>
        <v>RAKE + YAKE</v>
      </c>
      <c r="G151" s="7" t="s">
        <v>1583</v>
      </c>
      <c r="H151" s="7"/>
      <c r="I151" s="19" t="str">
        <f>IF(COUNTIF('Claude vs tools'!$K$2:$P$139,A151)&gt;0,"★ Yes","")</f>
        <v>★ Yes</v>
      </c>
    </row>
    <row r="152" spans="1:9" x14ac:dyDescent="0.3">
      <c r="A152" s="18" t="s">
        <v>500</v>
      </c>
      <c r="B152" s="7"/>
      <c r="C152" s="7" t="s">
        <v>500</v>
      </c>
      <c r="D152" s="7" t="s">
        <v>500</v>
      </c>
      <c r="E152" s="6">
        <f t="shared" si="4"/>
        <v>2</v>
      </c>
      <c r="F152" s="6" t="str">
        <f t="shared" si="5"/>
        <v>RAKE + YAKE</v>
      </c>
      <c r="G152" s="7" t="s">
        <v>1584</v>
      </c>
      <c r="H152" s="7"/>
      <c r="I152" s="19" t="str">
        <f>IF(COUNTIF('Claude vs tools'!$K$2:$P$139,A152)&gt;0,"★ Yes","")</f>
        <v>★ Yes</v>
      </c>
    </row>
    <row r="153" spans="1:9" ht="26.4" x14ac:dyDescent="0.3">
      <c r="A153" s="18" t="s">
        <v>512</v>
      </c>
      <c r="B153" s="7"/>
      <c r="C153" s="7" t="s">
        <v>511</v>
      </c>
      <c r="D153" s="7" t="s">
        <v>1585</v>
      </c>
      <c r="E153" s="6">
        <f t="shared" si="4"/>
        <v>2</v>
      </c>
      <c r="F153" s="6" t="str">
        <f t="shared" si="5"/>
        <v>RAKE + YAKE</v>
      </c>
      <c r="G153" s="7" t="s">
        <v>1586</v>
      </c>
      <c r="H153" s="7"/>
      <c r="I153" s="19" t="str">
        <f>IF(COUNTIF('Claude vs tools'!$K$2:$P$139,A153)&gt;0,"★ Yes","")</f>
        <v>★ Yes</v>
      </c>
    </row>
    <row r="154" spans="1:9" x14ac:dyDescent="0.3">
      <c r="A154" s="18" t="s">
        <v>666</v>
      </c>
      <c r="B154" s="7"/>
      <c r="C154" s="7" t="s">
        <v>666</v>
      </c>
      <c r="D154" s="7" t="s">
        <v>666</v>
      </c>
      <c r="E154" s="6">
        <f t="shared" si="4"/>
        <v>2</v>
      </c>
      <c r="F154" s="6" t="str">
        <f t="shared" si="5"/>
        <v>RAKE + YAKE</v>
      </c>
      <c r="G154" s="7" t="s">
        <v>795</v>
      </c>
      <c r="H154" s="7"/>
      <c r="I154" s="19" t="str">
        <f>IF(COUNTIF('Claude vs tools'!$K$2:$P$139,A154)&gt;0,"★ Yes","")</f>
        <v/>
      </c>
    </row>
    <row r="155" spans="1:9" x14ac:dyDescent="0.3">
      <c r="A155" s="18" t="s">
        <v>208</v>
      </c>
      <c r="B155" s="7"/>
      <c r="C155" s="7" t="s">
        <v>208</v>
      </c>
      <c r="D155" s="7" t="s">
        <v>208</v>
      </c>
      <c r="E155" s="6">
        <f t="shared" si="4"/>
        <v>2</v>
      </c>
      <c r="F155" s="6" t="str">
        <f t="shared" si="5"/>
        <v>RAKE + YAKE</v>
      </c>
      <c r="G155" s="7" t="s">
        <v>1587</v>
      </c>
      <c r="H155" s="7"/>
      <c r="I155" s="19" t="str">
        <f>IF(COUNTIF('Claude vs tools'!$K$2:$P$139,A155)&gt;0,"★ Yes","")</f>
        <v>★ Yes</v>
      </c>
    </row>
    <row r="156" spans="1:9" x14ac:dyDescent="0.3">
      <c r="A156" s="18" t="s">
        <v>667</v>
      </c>
      <c r="B156" s="7"/>
      <c r="C156" s="7" t="s">
        <v>667</v>
      </c>
      <c r="D156" s="7" t="s">
        <v>667</v>
      </c>
      <c r="E156" s="6">
        <f t="shared" si="4"/>
        <v>2</v>
      </c>
      <c r="F156" s="6" t="str">
        <f t="shared" si="5"/>
        <v>RAKE + YAKE</v>
      </c>
      <c r="G156" s="7" t="s">
        <v>1588</v>
      </c>
      <c r="H156" s="7"/>
      <c r="I156" s="19" t="str">
        <f>IF(COUNTIF('Claude vs tools'!$K$2:$P$139,A156)&gt;0,"★ Yes","")</f>
        <v/>
      </c>
    </row>
    <row r="157" spans="1:9" x14ac:dyDescent="0.3">
      <c r="A157" s="18" t="s">
        <v>668</v>
      </c>
      <c r="B157" s="7" t="s">
        <v>668</v>
      </c>
      <c r="C157" s="7"/>
      <c r="D157" s="7" t="s">
        <v>668</v>
      </c>
      <c r="E157" s="6">
        <f t="shared" si="4"/>
        <v>2</v>
      </c>
      <c r="F157" s="6" t="str">
        <f t="shared" si="5"/>
        <v>Gemini + YAKE</v>
      </c>
      <c r="G157" s="7" t="s">
        <v>795</v>
      </c>
      <c r="H157" s="7"/>
      <c r="I157" s="19" t="str">
        <f>IF(COUNTIF('Claude vs tools'!$K$2:$P$139,A157)&gt;0,"★ Yes","")</f>
        <v/>
      </c>
    </row>
    <row r="158" spans="1:9" ht="26.4" x14ac:dyDescent="0.3">
      <c r="A158" s="18" t="s">
        <v>257</v>
      </c>
      <c r="B158" s="7" t="s">
        <v>257</v>
      </c>
      <c r="C158" s="7"/>
      <c r="D158" s="7" t="s">
        <v>257</v>
      </c>
      <c r="E158" s="6">
        <f t="shared" si="4"/>
        <v>2</v>
      </c>
      <c r="F158" s="6" t="str">
        <f t="shared" si="5"/>
        <v>Gemini + YAKE</v>
      </c>
      <c r="G158" s="7" t="s">
        <v>1589</v>
      </c>
      <c r="H158" s="7"/>
      <c r="I158" s="19" t="str">
        <f>IF(COUNTIF('Claude vs tools'!$K$2:$P$139,A158)&gt;0,"★ Yes","")</f>
        <v>★ Yes</v>
      </c>
    </row>
    <row r="159" spans="1:9" ht="26.4" x14ac:dyDescent="0.3">
      <c r="A159" s="18" t="s">
        <v>669</v>
      </c>
      <c r="B159" s="7" t="s">
        <v>669</v>
      </c>
      <c r="C159" s="7"/>
      <c r="D159" s="7" t="s">
        <v>669</v>
      </c>
      <c r="E159" s="6">
        <f t="shared" si="4"/>
        <v>2</v>
      </c>
      <c r="F159" s="6" t="str">
        <f t="shared" si="5"/>
        <v>Gemini + YAKE</v>
      </c>
      <c r="G159" s="7" t="s">
        <v>1590</v>
      </c>
      <c r="H159" s="7"/>
      <c r="I159" s="19" t="str">
        <f>IF(COUNTIF('Claude vs tools'!$K$2:$P$139,A159)&gt;0,"★ Yes","")</f>
        <v/>
      </c>
    </row>
    <row r="160" spans="1:9" ht="26.4" x14ac:dyDescent="0.3">
      <c r="A160" s="18" t="s">
        <v>670</v>
      </c>
      <c r="B160" s="7"/>
      <c r="C160" s="7" t="s">
        <v>670</v>
      </c>
      <c r="D160" s="7" t="s">
        <v>670</v>
      </c>
      <c r="E160" s="6">
        <f t="shared" si="4"/>
        <v>2</v>
      </c>
      <c r="F160" s="6" t="str">
        <f t="shared" si="5"/>
        <v>RAKE + YAKE</v>
      </c>
      <c r="G160" s="7" t="s">
        <v>1591</v>
      </c>
      <c r="H160" s="7"/>
      <c r="I160" s="19" t="str">
        <f>IF(COUNTIF('Claude vs tools'!$K$2:$P$139,A160)&gt;0,"★ Yes","")</f>
        <v/>
      </c>
    </row>
    <row r="161" spans="1:9" ht="26.4" x14ac:dyDescent="0.3">
      <c r="A161" s="18" t="s">
        <v>671</v>
      </c>
      <c r="B161" s="7" t="s">
        <v>671</v>
      </c>
      <c r="C161" s="7"/>
      <c r="D161" s="7" t="s">
        <v>671</v>
      </c>
      <c r="E161" s="6">
        <f t="shared" si="4"/>
        <v>2</v>
      </c>
      <c r="F161" s="6" t="str">
        <f t="shared" si="5"/>
        <v>Gemini + YAKE</v>
      </c>
      <c r="G161" s="7" t="s">
        <v>1592</v>
      </c>
      <c r="H161" s="7"/>
      <c r="I161" s="19" t="str">
        <f>IF(COUNTIF('Claude vs tools'!$K$2:$P$139,A161)&gt;0,"★ Yes","")</f>
        <v/>
      </c>
    </row>
    <row r="162" spans="1:9" ht="26.4" x14ac:dyDescent="0.3">
      <c r="A162" s="18" t="s">
        <v>215</v>
      </c>
      <c r="B162" s="7"/>
      <c r="C162" s="7" t="s">
        <v>215</v>
      </c>
      <c r="D162" s="7" t="s">
        <v>215</v>
      </c>
      <c r="E162" s="6">
        <f t="shared" si="4"/>
        <v>2</v>
      </c>
      <c r="F162" s="6" t="str">
        <f t="shared" si="5"/>
        <v>RAKE + YAKE</v>
      </c>
      <c r="G162" s="7" t="s">
        <v>1593</v>
      </c>
      <c r="H162" s="7"/>
      <c r="I162" s="19" t="str">
        <f>IF(COUNTIF('Claude vs tools'!$K$2:$P$139,A162)&gt;0,"★ Yes","")</f>
        <v>★ Yes</v>
      </c>
    </row>
    <row r="163" spans="1:9" ht="26.4" x14ac:dyDescent="0.3">
      <c r="A163" s="18" t="s">
        <v>672</v>
      </c>
      <c r="B163" s="7"/>
      <c r="C163" s="7" t="s">
        <v>672</v>
      </c>
      <c r="D163" s="7" t="s">
        <v>672</v>
      </c>
      <c r="E163" s="6">
        <f t="shared" si="4"/>
        <v>2</v>
      </c>
      <c r="F163" s="6" t="str">
        <f t="shared" si="5"/>
        <v>RAKE + YAKE</v>
      </c>
      <c r="G163" s="7" t="s">
        <v>1594</v>
      </c>
      <c r="H163" s="7"/>
      <c r="I163" s="19" t="str">
        <f>IF(COUNTIF('Claude vs tools'!$K$2:$P$139,A163)&gt;0,"★ Yes","")</f>
        <v/>
      </c>
    </row>
    <row r="164" spans="1:9" x14ac:dyDescent="0.3">
      <c r="A164" s="18" t="s">
        <v>375</v>
      </c>
      <c r="B164" s="7" t="s">
        <v>375</v>
      </c>
      <c r="C164" s="7"/>
      <c r="D164" s="7" t="s">
        <v>375</v>
      </c>
      <c r="E164" s="6">
        <f t="shared" si="4"/>
        <v>2</v>
      </c>
      <c r="F164" s="6" t="str">
        <f t="shared" si="5"/>
        <v>Gemini + YAKE</v>
      </c>
      <c r="G164" s="7" t="s">
        <v>1595</v>
      </c>
      <c r="H164" s="7"/>
      <c r="I164" s="19" t="str">
        <f>IF(COUNTIF('Claude vs tools'!$K$2:$P$139,A164)&gt;0,"★ Yes","")</f>
        <v>★ Yes</v>
      </c>
    </row>
    <row r="165" spans="1:9" ht="26.4" x14ac:dyDescent="0.3">
      <c r="A165" s="18" t="s">
        <v>101</v>
      </c>
      <c r="B165" s="7"/>
      <c r="C165" s="7" t="s">
        <v>101</v>
      </c>
      <c r="D165" s="7" t="s">
        <v>101</v>
      </c>
      <c r="E165" s="6">
        <f t="shared" si="4"/>
        <v>2</v>
      </c>
      <c r="F165" s="6" t="str">
        <f t="shared" si="5"/>
        <v>RAKE + YAKE</v>
      </c>
      <c r="G165" s="7" t="s">
        <v>1596</v>
      </c>
      <c r="H165" s="7"/>
      <c r="I165" s="19" t="str">
        <f>IF(COUNTIF('Claude vs tools'!$K$2:$P$139,A165)&gt;0,"★ Yes","")</f>
        <v>★ Yes</v>
      </c>
    </row>
    <row r="166" spans="1:9" x14ac:dyDescent="0.3">
      <c r="A166" s="18" t="s">
        <v>673</v>
      </c>
      <c r="B166" s="7" t="s">
        <v>673</v>
      </c>
      <c r="C166" s="7"/>
      <c r="D166" s="7" t="s">
        <v>673</v>
      </c>
      <c r="E166" s="6">
        <f t="shared" si="4"/>
        <v>2</v>
      </c>
      <c r="F166" s="6" t="str">
        <f t="shared" si="5"/>
        <v>Gemini + YAKE</v>
      </c>
      <c r="G166" s="7" t="s">
        <v>1597</v>
      </c>
      <c r="H166" s="7"/>
      <c r="I166" s="19" t="str">
        <f>IF(COUNTIF('Claude vs tools'!$K$2:$P$139,A166)&gt;0,"★ Yes","")</f>
        <v/>
      </c>
    </row>
    <row r="167" spans="1:9" x14ac:dyDescent="0.3">
      <c r="A167" s="18" t="s">
        <v>674</v>
      </c>
      <c r="B167" s="7" t="s">
        <v>674</v>
      </c>
      <c r="C167" s="7"/>
      <c r="D167" s="7" t="s">
        <v>674</v>
      </c>
      <c r="E167" s="6">
        <f t="shared" si="4"/>
        <v>2</v>
      </c>
      <c r="F167" s="6" t="str">
        <f t="shared" si="5"/>
        <v>Gemini + YAKE</v>
      </c>
      <c r="G167" s="7" t="s">
        <v>1598</v>
      </c>
      <c r="H167" s="7"/>
      <c r="I167" s="19" t="str">
        <f>IF(COUNTIF('Claude vs tools'!$K$2:$P$139,A167)&gt;0,"★ Yes","")</f>
        <v/>
      </c>
    </row>
    <row r="168" spans="1:9" ht="26.4" x14ac:dyDescent="0.3">
      <c r="A168" s="18" t="s">
        <v>402</v>
      </c>
      <c r="B168" s="7" t="s">
        <v>402</v>
      </c>
      <c r="C168" s="7"/>
      <c r="D168" s="7" t="s">
        <v>402</v>
      </c>
      <c r="E168" s="6">
        <f t="shared" si="4"/>
        <v>2</v>
      </c>
      <c r="F168" s="6" t="str">
        <f t="shared" si="5"/>
        <v>Gemini + YAKE</v>
      </c>
      <c r="G168" s="7" t="s">
        <v>1599</v>
      </c>
      <c r="H168" s="7"/>
      <c r="I168" s="19" t="str">
        <f>IF(COUNTIF('Claude vs tools'!$K$2:$P$139,A168)&gt;0,"★ Yes","")</f>
        <v>★ Yes</v>
      </c>
    </row>
    <row r="169" spans="1:9" x14ac:dyDescent="0.3">
      <c r="A169" s="18" t="s">
        <v>675</v>
      </c>
      <c r="B169" s="7"/>
      <c r="C169" s="7" t="s">
        <v>675</v>
      </c>
      <c r="D169" s="7" t="s">
        <v>675</v>
      </c>
      <c r="E169" s="6">
        <f t="shared" si="4"/>
        <v>2</v>
      </c>
      <c r="F169" s="6" t="str">
        <f t="shared" si="5"/>
        <v>RAKE + YAKE</v>
      </c>
      <c r="G169" s="7" t="s">
        <v>1600</v>
      </c>
      <c r="H169" s="7"/>
      <c r="I169" s="19" t="str">
        <f>IF(COUNTIF('Claude vs tools'!$K$2:$P$139,A169)&gt;0,"★ Yes","")</f>
        <v/>
      </c>
    </row>
    <row r="170" spans="1:9" ht="26.4" x14ac:dyDescent="0.3">
      <c r="A170" s="18" t="s">
        <v>676</v>
      </c>
      <c r="B170" s="7"/>
      <c r="C170" s="7" t="s">
        <v>676</v>
      </c>
      <c r="D170" s="7" t="s">
        <v>676</v>
      </c>
      <c r="E170" s="6">
        <f t="shared" si="4"/>
        <v>2</v>
      </c>
      <c r="F170" s="6" t="str">
        <f t="shared" si="5"/>
        <v>RAKE + YAKE</v>
      </c>
      <c r="G170" s="7" t="s">
        <v>1601</v>
      </c>
      <c r="H170" s="7"/>
      <c r="I170" s="19" t="str">
        <f>IF(COUNTIF('Claude vs tools'!$K$2:$P$139,A170)&gt;0,"★ Yes","")</f>
        <v/>
      </c>
    </row>
    <row r="171" spans="1:9" x14ac:dyDescent="0.3">
      <c r="A171" s="18" t="s">
        <v>401</v>
      </c>
      <c r="B171" s="7" t="s">
        <v>401</v>
      </c>
      <c r="C171" s="7"/>
      <c r="D171" s="7" t="s">
        <v>401</v>
      </c>
      <c r="E171" s="6">
        <f t="shared" si="4"/>
        <v>2</v>
      </c>
      <c r="F171" s="6" t="str">
        <f t="shared" si="5"/>
        <v>Gemini + YAKE</v>
      </c>
      <c r="G171" s="7" t="s">
        <v>1602</v>
      </c>
      <c r="H171" s="7"/>
      <c r="I171" s="19" t="str">
        <f>IF(COUNTIF('Claude vs tools'!$K$2:$P$139,A171)&gt;0,"★ Yes","")</f>
        <v>★ Yes</v>
      </c>
    </row>
    <row r="172" spans="1:9" x14ac:dyDescent="0.3">
      <c r="A172" s="18" t="s">
        <v>677</v>
      </c>
      <c r="B172" s="7"/>
      <c r="C172" s="7" t="s">
        <v>677</v>
      </c>
      <c r="D172" s="7" t="s">
        <v>677</v>
      </c>
      <c r="E172" s="6">
        <f t="shared" si="4"/>
        <v>2</v>
      </c>
      <c r="F172" s="6" t="str">
        <f t="shared" si="5"/>
        <v>RAKE + YAKE</v>
      </c>
      <c r="G172" s="7" t="s">
        <v>1603</v>
      </c>
      <c r="H172" s="7"/>
      <c r="I172" s="19" t="str">
        <f>IF(COUNTIF('Claude vs tools'!$K$2:$P$139,A172)&gt;0,"★ Yes","")</f>
        <v/>
      </c>
    </row>
    <row r="173" spans="1:9" x14ac:dyDescent="0.3">
      <c r="A173" s="18" t="s">
        <v>678</v>
      </c>
      <c r="B173" s="7" t="s">
        <v>678</v>
      </c>
      <c r="C173" s="7"/>
      <c r="D173" s="7" t="s">
        <v>678</v>
      </c>
      <c r="E173" s="6">
        <f t="shared" si="4"/>
        <v>2</v>
      </c>
      <c r="F173" s="6" t="str">
        <f t="shared" si="5"/>
        <v>Gemini + YAKE</v>
      </c>
      <c r="G173" s="7" t="s">
        <v>795</v>
      </c>
      <c r="H173" s="7" t="s">
        <v>567</v>
      </c>
      <c r="I173" s="19" t="str">
        <f>IF(COUNTIF('Claude vs tools'!$K$2:$P$139,A173)&gt;0,"★ Yes","")</f>
        <v/>
      </c>
    </row>
    <row r="174" spans="1:9" ht="39.6" x14ac:dyDescent="0.3">
      <c r="A174" s="18" t="s">
        <v>679</v>
      </c>
      <c r="B174" s="7"/>
      <c r="C174" s="7" t="s">
        <v>679</v>
      </c>
      <c r="D174" s="7" t="s">
        <v>679</v>
      </c>
      <c r="E174" s="6">
        <f t="shared" si="4"/>
        <v>2</v>
      </c>
      <c r="F174" s="6" t="str">
        <f t="shared" si="5"/>
        <v>RAKE + YAKE</v>
      </c>
      <c r="G174" s="7" t="s">
        <v>1604</v>
      </c>
      <c r="H174" s="7"/>
      <c r="I174" s="19" t="str">
        <f>IF(COUNTIF('Claude vs tools'!$K$2:$P$139,A174)&gt;0,"★ Yes","")</f>
        <v/>
      </c>
    </row>
    <row r="175" spans="1:9" ht="26.4" x14ac:dyDescent="0.3">
      <c r="A175" s="18" t="s">
        <v>680</v>
      </c>
      <c r="B175" s="7"/>
      <c r="C175" s="7" t="s">
        <v>680</v>
      </c>
      <c r="D175" s="7" t="s">
        <v>680</v>
      </c>
      <c r="E175" s="6">
        <f t="shared" si="4"/>
        <v>2</v>
      </c>
      <c r="F175" s="6" t="str">
        <f t="shared" si="5"/>
        <v>RAKE + YAKE</v>
      </c>
      <c r="G175" s="7" t="s">
        <v>1605</v>
      </c>
      <c r="H175" s="7"/>
      <c r="I175" s="19" t="str">
        <f>IF(COUNTIF('Claude vs tools'!$K$2:$P$139,A175)&gt;0,"★ Yes","")</f>
        <v/>
      </c>
    </row>
    <row r="176" spans="1:9" ht="26.4" x14ac:dyDescent="0.3">
      <c r="A176" s="18" t="s">
        <v>681</v>
      </c>
      <c r="B176" s="7"/>
      <c r="C176" s="7" t="s">
        <v>681</v>
      </c>
      <c r="D176" s="7" t="s">
        <v>681</v>
      </c>
      <c r="E176" s="6">
        <f t="shared" si="4"/>
        <v>2</v>
      </c>
      <c r="F176" s="6" t="str">
        <f t="shared" si="5"/>
        <v>RAKE + YAKE</v>
      </c>
      <c r="G176" s="7" t="s">
        <v>1606</v>
      </c>
      <c r="H176" s="7"/>
      <c r="I176" s="19" t="str">
        <f>IF(COUNTIF('Claude vs tools'!$K$2:$P$139,A176)&gt;0,"★ Yes","")</f>
        <v/>
      </c>
    </row>
    <row r="177" spans="1:9" ht="26.4" x14ac:dyDescent="0.3">
      <c r="A177" s="18" t="s">
        <v>326</v>
      </c>
      <c r="B177" s="7"/>
      <c r="C177" s="7" t="s">
        <v>1607</v>
      </c>
      <c r="D177" s="7" t="s">
        <v>326</v>
      </c>
      <c r="E177" s="6">
        <f t="shared" si="4"/>
        <v>2</v>
      </c>
      <c r="F177" s="6" t="str">
        <f t="shared" si="5"/>
        <v>RAKE + YAKE</v>
      </c>
      <c r="G177" s="7" t="s">
        <v>1608</v>
      </c>
      <c r="H177" s="7"/>
      <c r="I177" s="19" t="str">
        <f>IF(COUNTIF('Claude vs tools'!$K$2:$P$139,A177)&gt;0,"★ Yes","")</f>
        <v>★ Yes</v>
      </c>
    </row>
    <row r="178" spans="1:9" x14ac:dyDescent="0.3">
      <c r="A178" s="18" t="s">
        <v>682</v>
      </c>
      <c r="B178" s="7" t="s">
        <v>682</v>
      </c>
      <c r="C178" s="7"/>
      <c r="D178" s="7" t="s">
        <v>682</v>
      </c>
      <c r="E178" s="6">
        <f t="shared" si="4"/>
        <v>2</v>
      </c>
      <c r="F178" s="6" t="str">
        <f t="shared" si="5"/>
        <v>Gemini + YAKE</v>
      </c>
      <c r="G178" s="7" t="s">
        <v>1609</v>
      </c>
      <c r="H178" s="7"/>
      <c r="I178" s="19" t="str">
        <f>IF(COUNTIF('Claude vs tools'!$K$2:$P$139,A178)&gt;0,"★ Yes","")</f>
        <v/>
      </c>
    </row>
    <row r="179" spans="1:9" x14ac:dyDescent="0.3">
      <c r="A179" s="18" t="s">
        <v>683</v>
      </c>
      <c r="B179" s="7"/>
      <c r="C179" s="7" t="s">
        <v>683</v>
      </c>
      <c r="D179" s="7" t="s">
        <v>683</v>
      </c>
      <c r="E179" s="6">
        <f t="shared" si="4"/>
        <v>2</v>
      </c>
      <c r="F179" s="6" t="str">
        <f t="shared" si="5"/>
        <v>RAKE + YAKE</v>
      </c>
      <c r="G179" s="7" t="s">
        <v>1610</v>
      </c>
      <c r="H179" s="7"/>
      <c r="I179" s="19" t="str">
        <f>IF(COUNTIF('Claude vs tools'!$K$2:$P$139,A179)&gt;0,"★ Yes","")</f>
        <v/>
      </c>
    </row>
    <row r="180" spans="1:9" ht="26.4" x14ac:dyDescent="0.3">
      <c r="A180" s="18" t="s">
        <v>684</v>
      </c>
      <c r="B180" s="7"/>
      <c r="C180" s="7" t="s">
        <v>684</v>
      </c>
      <c r="D180" s="7" t="s">
        <v>684</v>
      </c>
      <c r="E180" s="6">
        <f t="shared" si="4"/>
        <v>2</v>
      </c>
      <c r="F180" s="6" t="str">
        <f t="shared" si="5"/>
        <v>RAKE + YAKE</v>
      </c>
      <c r="G180" s="7" t="s">
        <v>1611</v>
      </c>
      <c r="H180" s="7"/>
      <c r="I180" s="19" t="str">
        <f>IF(COUNTIF('Claude vs tools'!$K$2:$P$139,A180)&gt;0,"★ Yes","")</f>
        <v/>
      </c>
    </row>
    <row r="181" spans="1:9" x14ac:dyDescent="0.3">
      <c r="A181" s="18" t="s">
        <v>685</v>
      </c>
      <c r="B181" s="7"/>
      <c r="C181" s="7" t="s">
        <v>685</v>
      </c>
      <c r="D181" s="7" t="s">
        <v>685</v>
      </c>
      <c r="E181" s="6">
        <f t="shared" si="4"/>
        <v>2</v>
      </c>
      <c r="F181" s="6" t="str">
        <f t="shared" si="5"/>
        <v>RAKE + YAKE</v>
      </c>
      <c r="G181" s="7" t="s">
        <v>1612</v>
      </c>
      <c r="H181" s="7"/>
      <c r="I181" s="19" t="str">
        <f>IF(COUNTIF('Claude vs tools'!$K$2:$P$139,A181)&gt;0,"★ Yes","")</f>
        <v/>
      </c>
    </row>
    <row r="182" spans="1:9" x14ac:dyDescent="0.3">
      <c r="A182" s="18" t="s">
        <v>686</v>
      </c>
      <c r="B182" s="7"/>
      <c r="C182" s="7" t="s">
        <v>686</v>
      </c>
      <c r="D182" s="7" t="s">
        <v>686</v>
      </c>
      <c r="E182" s="6">
        <f t="shared" si="4"/>
        <v>2</v>
      </c>
      <c r="F182" s="6" t="str">
        <f t="shared" si="5"/>
        <v>RAKE + YAKE</v>
      </c>
      <c r="G182" s="7" t="s">
        <v>1612</v>
      </c>
      <c r="H182" s="7"/>
      <c r="I182" s="19" t="str">
        <f>IF(COUNTIF('Claude vs tools'!$K$2:$P$139,A182)&gt;0,"★ Yes","")</f>
        <v/>
      </c>
    </row>
    <row r="183" spans="1:9" x14ac:dyDescent="0.3">
      <c r="A183" s="18" t="s">
        <v>687</v>
      </c>
      <c r="B183" s="7" t="s">
        <v>687</v>
      </c>
      <c r="C183" s="7"/>
      <c r="D183" s="7" t="s">
        <v>687</v>
      </c>
      <c r="E183" s="6">
        <f t="shared" si="4"/>
        <v>2</v>
      </c>
      <c r="F183" s="6" t="str">
        <f t="shared" si="5"/>
        <v>Gemini + YAKE</v>
      </c>
      <c r="G183" s="7" t="s">
        <v>1613</v>
      </c>
      <c r="H183" s="7"/>
      <c r="I183" s="19" t="str">
        <f>IF(COUNTIF('Claude vs tools'!$K$2:$P$139,A183)&gt;0,"★ Yes","")</f>
        <v/>
      </c>
    </row>
    <row r="184" spans="1:9" x14ac:dyDescent="0.3">
      <c r="A184" s="18" t="s">
        <v>344</v>
      </c>
      <c r="B184" s="7"/>
      <c r="C184" s="7" t="s">
        <v>344</v>
      </c>
      <c r="D184" s="7" t="s">
        <v>344</v>
      </c>
      <c r="E184" s="6">
        <f t="shared" si="4"/>
        <v>2</v>
      </c>
      <c r="F184" s="6" t="str">
        <f t="shared" si="5"/>
        <v>RAKE + YAKE</v>
      </c>
      <c r="G184" s="7" t="s">
        <v>1614</v>
      </c>
      <c r="H184" s="7"/>
      <c r="I184" s="19" t="str">
        <f>IF(COUNTIF('Claude vs tools'!$K$2:$P$139,A184)&gt;0,"★ Yes","")</f>
        <v>★ Yes</v>
      </c>
    </row>
    <row r="185" spans="1:9" x14ac:dyDescent="0.3">
      <c r="A185" s="18" t="s">
        <v>688</v>
      </c>
      <c r="B185" s="7"/>
      <c r="C185" s="7" t="s">
        <v>688</v>
      </c>
      <c r="D185" s="7" t="s">
        <v>688</v>
      </c>
      <c r="E185" s="6">
        <f t="shared" si="4"/>
        <v>2</v>
      </c>
      <c r="F185" s="6" t="str">
        <f t="shared" si="5"/>
        <v>RAKE + YAKE</v>
      </c>
      <c r="G185" s="7" t="s">
        <v>1615</v>
      </c>
      <c r="H185" s="7"/>
      <c r="I185" s="19" t="str">
        <f>IF(COUNTIF('Claude vs tools'!$K$2:$P$139,A185)&gt;0,"★ Yes","")</f>
        <v/>
      </c>
    </row>
    <row r="186" spans="1:9" ht="26.4" x14ac:dyDescent="0.3">
      <c r="A186" s="18" t="s">
        <v>161</v>
      </c>
      <c r="B186" s="7" t="s">
        <v>161</v>
      </c>
      <c r="C186" s="7"/>
      <c r="D186" s="7" t="s">
        <v>161</v>
      </c>
      <c r="E186" s="6">
        <f t="shared" si="4"/>
        <v>2</v>
      </c>
      <c r="F186" s="6" t="str">
        <f t="shared" si="5"/>
        <v>Gemini + YAKE</v>
      </c>
      <c r="G186" s="7" t="s">
        <v>1616</v>
      </c>
      <c r="H186" s="7"/>
      <c r="I186" s="19" t="str">
        <f>IF(COUNTIF('Claude vs tools'!$K$2:$P$139,A186)&gt;0,"★ Yes","")</f>
        <v>★ Yes</v>
      </c>
    </row>
    <row r="187" spans="1:9" x14ac:dyDescent="0.3">
      <c r="A187" s="18" t="s">
        <v>689</v>
      </c>
      <c r="B187" s="7" t="s">
        <v>689</v>
      </c>
      <c r="C187" s="7"/>
      <c r="D187" s="7" t="s">
        <v>689</v>
      </c>
      <c r="E187" s="6">
        <f t="shared" si="4"/>
        <v>2</v>
      </c>
      <c r="F187" s="6" t="str">
        <f t="shared" si="5"/>
        <v>Gemini + YAKE</v>
      </c>
      <c r="G187" s="7" t="s">
        <v>1617</v>
      </c>
      <c r="H187" s="7"/>
      <c r="I187" s="19" t="str">
        <f>IF(COUNTIF('Claude vs tools'!$K$2:$P$139,A187)&gt;0,"★ Yes","")</f>
        <v/>
      </c>
    </row>
    <row r="188" spans="1:9" x14ac:dyDescent="0.3">
      <c r="A188" s="18" t="s">
        <v>690</v>
      </c>
      <c r="B188" s="7"/>
      <c r="C188" s="7" t="s">
        <v>690</v>
      </c>
      <c r="D188" s="7" t="s">
        <v>690</v>
      </c>
      <c r="E188" s="6">
        <f t="shared" si="4"/>
        <v>2</v>
      </c>
      <c r="F188" s="6" t="str">
        <f t="shared" si="5"/>
        <v>RAKE + YAKE</v>
      </c>
      <c r="G188" s="7" t="s">
        <v>1618</v>
      </c>
      <c r="H188" s="7"/>
      <c r="I188" s="19" t="str">
        <f>IF(COUNTIF('Claude vs tools'!$K$2:$P$139,A188)&gt;0,"★ Yes","")</f>
        <v/>
      </c>
    </row>
    <row r="189" spans="1:9" ht="26.4" x14ac:dyDescent="0.3">
      <c r="A189" s="18" t="s">
        <v>691</v>
      </c>
      <c r="B189" s="7" t="s">
        <v>691</v>
      </c>
      <c r="C189" s="7"/>
      <c r="D189" s="7" t="s">
        <v>691</v>
      </c>
      <c r="E189" s="6">
        <f t="shared" si="4"/>
        <v>2</v>
      </c>
      <c r="F189" s="6" t="str">
        <f t="shared" si="5"/>
        <v>Gemini + YAKE</v>
      </c>
      <c r="G189" s="7" t="s">
        <v>1619</v>
      </c>
      <c r="H189" s="7"/>
      <c r="I189" s="19" t="str">
        <f>IF(COUNTIF('Claude vs tools'!$K$2:$P$139,A189)&gt;0,"★ Yes","")</f>
        <v/>
      </c>
    </row>
    <row r="190" spans="1:9" x14ac:dyDescent="0.3">
      <c r="A190" s="18" t="s">
        <v>692</v>
      </c>
      <c r="B190" s="7" t="s">
        <v>692</v>
      </c>
      <c r="C190" s="7"/>
      <c r="D190" s="7" t="s">
        <v>692</v>
      </c>
      <c r="E190" s="6">
        <f t="shared" si="4"/>
        <v>2</v>
      </c>
      <c r="F190" s="6" t="str">
        <f t="shared" si="5"/>
        <v>Gemini + YAKE</v>
      </c>
      <c r="G190" s="7" t="s">
        <v>1620</v>
      </c>
      <c r="H190" s="7"/>
      <c r="I190" s="19" t="str">
        <f>IF(COUNTIF('Claude vs tools'!$K$2:$P$139,A190)&gt;0,"★ Yes","")</f>
        <v/>
      </c>
    </row>
    <row r="191" spans="1:9" ht="39.6" x14ac:dyDescent="0.3">
      <c r="A191" s="18" t="s">
        <v>693</v>
      </c>
      <c r="B191" s="7"/>
      <c r="C191" s="7" t="s">
        <v>693</v>
      </c>
      <c r="D191" s="7" t="s">
        <v>693</v>
      </c>
      <c r="E191" s="6">
        <f t="shared" si="4"/>
        <v>2</v>
      </c>
      <c r="F191" s="6" t="str">
        <f t="shared" si="5"/>
        <v>RAKE + YAKE</v>
      </c>
      <c r="G191" s="7" t="s">
        <v>1621</v>
      </c>
      <c r="H191" s="7"/>
      <c r="I191" s="19" t="str">
        <f>IF(COUNTIF('Claude vs tools'!$K$2:$P$139,A191)&gt;0,"★ Yes","")</f>
        <v/>
      </c>
    </row>
    <row r="192" spans="1:9" x14ac:dyDescent="0.3">
      <c r="A192" s="18" t="s">
        <v>694</v>
      </c>
      <c r="B192" s="7"/>
      <c r="C192" s="7" t="s">
        <v>694</v>
      </c>
      <c r="D192" s="7" t="s">
        <v>694</v>
      </c>
      <c r="E192" s="6">
        <f t="shared" si="4"/>
        <v>2</v>
      </c>
      <c r="F192" s="6" t="str">
        <f t="shared" si="5"/>
        <v>RAKE + YAKE</v>
      </c>
      <c r="G192" s="7" t="s">
        <v>1622</v>
      </c>
      <c r="H192" s="7"/>
      <c r="I192" s="19" t="str">
        <f>IF(COUNTIF('Claude vs tools'!$K$2:$P$139,A192)&gt;0,"★ Yes","")</f>
        <v/>
      </c>
    </row>
    <row r="193" spans="1:9" x14ac:dyDescent="0.3">
      <c r="A193" s="18" t="s">
        <v>482</v>
      </c>
      <c r="B193" s="7"/>
      <c r="C193" s="7" t="s">
        <v>482</v>
      </c>
      <c r="D193" s="7" t="s">
        <v>482</v>
      </c>
      <c r="E193" s="6">
        <f t="shared" si="4"/>
        <v>2</v>
      </c>
      <c r="F193" s="6" t="str">
        <f t="shared" si="5"/>
        <v>RAKE + YAKE</v>
      </c>
      <c r="G193" s="7" t="s">
        <v>1623</v>
      </c>
      <c r="H193" s="7"/>
      <c r="I193" s="19" t="str">
        <f>IF(COUNTIF('Claude vs tools'!$K$2:$P$139,A193)&gt;0,"★ Yes","")</f>
        <v>★ Yes</v>
      </c>
    </row>
    <row r="194" spans="1:9" x14ac:dyDescent="0.3">
      <c r="A194" s="18" t="s">
        <v>695</v>
      </c>
      <c r="B194" s="7" t="s">
        <v>695</v>
      </c>
      <c r="C194" s="7"/>
      <c r="D194" s="7" t="s">
        <v>695</v>
      </c>
      <c r="E194" s="6">
        <f t="shared" ref="E194:E257" si="6">COUNTA(B194:D194)</f>
        <v>2</v>
      </c>
      <c r="F194" s="6" t="str">
        <f t="shared" ref="F194:F257" si="7">IF(E194=3,"All three",IF(E194=2,SUBSTITUTE(TRIM(IF(B194&lt;&gt;"","Gemini ","")&amp;IF(C194&lt;&gt;"","RAKE ","")&amp;IF(D194&lt;&gt;"","YAKE",""))," "," + "),"Only "&amp;TRIM(IF(B194&lt;&gt;"","Gemini","")&amp;IF(C194&lt;&gt;"","RAKE","")&amp;IF(D194&lt;&gt;"","YAKE",""))))</f>
        <v>Gemini + YAKE</v>
      </c>
      <c r="G194" s="7" t="s">
        <v>1624</v>
      </c>
      <c r="H194" s="7"/>
      <c r="I194" s="19" t="str">
        <f>IF(COUNTIF('Claude vs tools'!$K$2:$P$139,A194)&gt;0,"★ Yes","")</f>
        <v/>
      </c>
    </row>
    <row r="195" spans="1:9" ht="26.4" x14ac:dyDescent="0.3">
      <c r="A195" s="18" t="s">
        <v>696</v>
      </c>
      <c r="B195" s="7"/>
      <c r="C195" s="7" t="s">
        <v>696</v>
      </c>
      <c r="D195" s="7" t="s">
        <v>1625</v>
      </c>
      <c r="E195" s="6">
        <f t="shared" si="6"/>
        <v>2</v>
      </c>
      <c r="F195" s="6" t="str">
        <f t="shared" si="7"/>
        <v>RAKE + YAKE</v>
      </c>
      <c r="G195" s="7" t="s">
        <v>1626</v>
      </c>
      <c r="H195" s="7"/>
      <c r="I195" s="19" t="str">
        <f>IF(COUNTIF('Claude vs tools'!$K$2:$P$139,A195)&gt;0,"★ Yes","")</f>
        <v/>
      </c>
    </row>
    <row r="196" spans="1:9" x14ac:dyDescent="0.3">
      <c r="A196" s="18" t="s">
        <v>698</v>
      </c>
      <c r="B196" s="7"/>
      <c r="C196" s="7" t="s">
        <v>698</v>
      </c>
      <c r="D196" s="7" t="s">
        <v>698</v>
      </c>
      <c r="E196" s="6">
        <f t="shared" si="6"/>
        <v>2</v>
      </c>
      <c r="F196" s="6" t="str">
        <f t="shared" si="7"/>
        <v>RAKE + YAKE</v>
      </c>
      <c r="G196" s="7" t="s">
        <v>1627</v>
      </c>
      <c r="H196" s="7"/>
      <c r="I196" s="19" t="str">
        <f>IF(COUNTIF('Claude vs tools'!$K$2:$P$139,A196)&gt;0,"★ Yes","")</f>
        <v/>
      </c>
    </row>
    <row r="197" spans="1:9" x14ac:dyDescent="0.3">
      <c r="A197" s="18" t="s">
        <v>699</v>
      </c>
      <c r="B197" s="7"/>
      <c r="C197" s="7" t="s">
        <v>699</v>
      </c>
      <c r="D197" s="7" t="s">
        <v>699</v>
      </c>
      <c r="E197" s="6">
        <f t="shared" si="6"/>
        <v>2</v>
      </c>
      <c r="F197" s="6" t="str">
        <f t="shared" si="7"/>
        <v>RAKE + YAKE</v>
      </c>
      <c r="G197" s="7" t="s">
        <v>1628</v>
      </c>
      <c r="H197" s="7"/>
      <c r="I197" s="19" t="str">
        <f>IF(COUNTIF('Claude vs tools'!$K$2:$P$139,A197)&gt;0,"★ Yes","")</f>
        <v/>
      </c>
    </row>
    <row r="198" spans="1:9" x14ac:dyDescent="0.3">
      <c r="A198" s="18" t="s">
        <v>700</v>
      </c>
      <c r="B198" s="7"/>
      <c r="C198" s="7" t="s">
        <v>700</v>
      </c>
      <c r="D198" s="7" t="s">
        <v>700</v>
      </c>
      <c r="E198" s="6">
        <f t="shared" si="6"/>
        <v>2</v>
      </c>
      <c r="F198" s="6" t="str">
        <f t="shared" si="7"/>
        <v>RAKE + YAKE</v>
      </c>
      <c r="G198" s="7" t="s">
        <v>1629</v>
      </c>
      <c r="H198" s="7"/>
      <c r="I198" s="19" t="str">
        <f>IF(COUNTIF('Claude vs tools'!$K$2:$P$139,A198)&gt;0,"★ Yes","")</f>
        <v/>
      </c>
    </row>
    <row r="199" spans="1:9" x14ac:dyDescent="0.3">
      <c r="A199" s="18" t="s">
        <v>701</v>
      </c>
      <c r="B199" s="7"/>
      <c r="C199" s="7" t="s">
        <v>701</v>
      </c>
      <c r="D199" s="7" t="s">
        <v>701</v>
      </c>
      <c r="E199" s="6">
        <f t="shared" si="6"/>
        <v>2</v>
      </c>
      <c r="F199" s="6" t="str">
        <f t="shared" si="7"/>
        <v>RAKE + YAKE</v>
      </c>
      <c r="G199" s="7" t="s">
        <v>1630</v>
      </c>
      <c r="H199" s="7"/>
      <c r="I199" s="19" t="str">
        <f>IF(COUNTIF('Claude vs tools'!$K$2:$P$139,A199)&gt;0,"★ Yes","")</f>
        <v/>
      </c>
    </row>
    <row r="200" spans="1:9" x14ac:dyDescent="0.3">
      <c r="A200" s="18" t="s">
        <v>171</v>
      </c>
      <c r="B200" s="7"/>
      <c r="C200" s="7" t="s">
        <v>171</v>
      </c>
      <c r="D200" s="7" t="s">
        <v>171</v>
      </c>
      <c r="E200" s="6">
        <f t="shared" si="6"/>
        <v>2</v>
      </c>
      <c r="F200" s="6" t="str">
        <f t="shared" si="7"/>
        <v>RAKE + YAKE</v>
      </c>
      <c r="G200" s="7" t="s">
        <v>1631</v>
      </c>
      <c r="H200" s="7"/>
      <c r="I200" s="19" t="str">
        <f>IF(COUNTIF('Claude vs tools'!$K$2:$P$139,A200)&gt;0,"★ Yes","")</f>
        <v>★ Yes</v>
      </c>
    </row>
    <row r="201" spans="1:9" x14ac:dyDescent="0.3">
      <c r="A201" s="18" t="s">
        <v>702</v>
      </c>
      <c r="B201" s="7"/>
      <c r="C201" s="7" t="s">
        <v>702</v>
      </c>
      <c r="D201" s="7" t="s">
        <v>702</v>
      </c>
      <c r="E201" s="6">
        <f t="shared" si="6"/>
        <v>2</v>
      </c>
      <c r="F201" s="6" t="str">
        <f t="shared" si="7"/>
        <v>RAKE + YAKE</v>
      </c>
      <c r="G201" s="7" t="s">
        <v>1632</v>
      </c>
      <c r="H201" s="7"/>
      <c r="I201" s="19" t="str">
        <f>IF(COUNTIF('Claude vs tools'!$K$2:$P$139,A201)&gt;0,"★ Yes","")</f>
        <v/>
      </c>
    </row>
    <row r="202" spans="1:9" ht="26.4" x14ac:dyDescent="0.3">
      <c r="A202" s="18" t="s">
        <v>703</v>
      </c>
      <c r="B202" s="7" t="s">
        <v>703</v>
      </c>
      <c r="C202" s="7"/>
      <c r="D202" s="7" t="s">
        <v>703</v>
      </c>
      <c r="E202" s="6">
        <f t="shared" si="6"/>
        <v>2</v>
      </c>
      <c r="F202" s="6" t="str">
        <f t="shared" si="7"/>
        <v>Gemini + YAKE</v>
      </c>
      <c r="G202" s="7" t="s">
        <v>1633</v>
      </c>
      <c r="H202" s="7"/>
      <c r="I202" s="19" t="str">
        <f>IF(COUNTIF('Claude vs tools'!$K$2:$P$139,A202)&gt;0,"★ Yes","")</f>
        <v/>
      </c>
    </row>
    <row r="203" spans="1:9" ht="26.4" x14ac:dyDescent="0.3">
      <c r="A203" s="18" t="s">
        <v>704</v>
      </c>
      <c r="B203" s="7"/>
      <c r="C203" s="7" t="s">
        <v>704</v>
      </c>
      <c r="D203" s="7" t="s">
        <v>704</v>
      </c>
      <c r="E203" s="6">
        <f t="shared" si="6"/>
        <v>2</v>
      </c>
      <c r="F203" s="6" t="str">
        <f t="shared" si="7"/>
        <v>RAKE + YAKE</v>
      </c>
      <c r="G203" s="7" t="s">
        <v>1634</v>
      </c>
      <c r="H203" s="7"/>
      <c r="I203" s="19" t="str">
        <f>IF(COUNTIF('Claude vs tools'!$K$2:$P$139,A203)&gt;0,"★ Yes","")</f>
        <v/>
      </c>
    </row>
    <row r="204" spans="1:9" ht="39.6" x14ac:dyDescent="0.3">
      <c r="A204" s="18" t="s">
        <v>705</v>
      </c>
      <c r="B204" s="7"/>
      <c r="C204" s="7" t="s">
        <v>705</v>
      </c>
      <c r="D204" s="7" t="s">
        <v>705</v>
      </c>
      <c r="E204" s="6">
        <f t="shared" si="6"/>
        <v>2</v>
      </c>
      <c r="F204" s="6" t="str">
        <f t="shared" si="7"/>
        <v>RAKE + YAKE</v>
      </c>
      <c r="G204" s="7" t="s">
        <v>1635</v>
      </c>
      <c r="H204" s="7"/>
      <c r="I204" s="19" t="str">
        <f>IF(COUNTIF('Claude vs tools'!$K$2:$P$139,A204)&gt;0,"★ Yes","")</f>
        <v/>
      </c>
    </row>
    <row r="205" spans="1:9" x14ac:dyDescent="0.3">
      <c r="A205" s="18" t="s">
        <v>706</v>
      </c>
      <c r="B205" s="7"/>
      <c r="C205" s="7" t="s">
        <v>706</v>
      </c>
      <c r="D205" s="7" t="s">
        <v>706</v>
      </c>
      <c r="E205" s="6">
        <f t="shared" si="6"/>
        <v>2</v>
      </c>
      <c r="F205" s="6" t="str">
        <f t="shared" si="7"/>
        <v>RAKE + YAKE</v>
      </c>
      <c r="G205" s="7" t="s">
        <v>1636</v>
      </c>
      <c r="H205" s="7"/>
      <c r="I205" s="19" t="str">
        <f>IF(COUNTIF('Claude vs tools'!$K$2:$P$139,A205)&gt;0,"★ Yes","")</f>
        <v/>
      </c>
    </row>
    <row r="206" spans="1:9" x14ac:dyDescent="0.3">
      <c r="A206" s="18" t="s">
        <v>707</v>
      </c>
      <c r="B206" s="7"/>
      <c r="C206" s="7" t="s">
        <v>707</v>
      </c>
      <c r="D206" s="7" t="s">
        <v>707</v>
      </c>
      <c r="E206" s="6">
        <f t="shared" si="6"/>
        <v>2</v>
      </c>
      <c r="F206" s="6" t="str">
        <f t="shared" si="7"/>
        <v>RAKE + YAKE</v>
      </c>
      <c r="G206" s="7" t="s">
        <v>1637</v>
      </c>
      <c r="H206" s="7"/>
      <c r="I206" s="19" t="str">
        <f>IF(COUNTIF('Claude vs tools'!$K$2:$P$139,A206)&gt;0,"★ Yes","")</f>
        <v/>
      </c>
    </row>
    <row r="207" spans="1:9" ht="39.6" x14ac:dyDescent="0.3">
      <c r="A207" s="18" t="s">
        <v>708</v>
      </c>
      <c r="B207" s="7" t="s">
        <v>708</v>
      </c>
      <c r="C207" s="7"/>
      <c r="D207" s="7" t="s">
        <v>708</v>
      </c>
      <c r="E207" s="6">
        <f t="shared" si="6"/>
        <v>2</v>
      </c>
      <c r="F207" s="6" t="str">
        <f t="shared" si="7"/>
        <v>Gemini + YAKE</v>
      </c>
      <c r="G207" s="7" t="s">
        <v>1638</v>
      </c>
      <c r="H207" s="7"/>
      <c r="I207" s="19" t="str">
        <f>IF(COUNTIF('Claude vs tools'!$K$2:$P$139,A207)&gt;0,"★ Yes","")</f>
        <v/>
      </c>
    </row>
    <row r="208" spans="1:9" x14ac:dyDescent="0.3">
      <c r="A208" s="18" t="s">
        <v>709</v>
      </c>
      <c r="B208" s="7"/>
      <c r="C208" s="7" t="s">
        <v>709</v>
      </c>
      <c r="D208" s="7" t="s">
        <v>709</v>
      </c>
      <c r="E208" s="6">
        <f t="shared" si="6"/>
        <v>2</v>
      </c>
      <c r="F208" s="6" t="str">
        <f t="shared" si="7"/>
        <v>RAKE + YAKE</v>
      </c>
      <c r="G208" s="7" t="s">
        <v>1639</v>
      </c>
      <c r="H208" s="7"/>
      <c r="I208" s="19" t="str">
        <f>IF(COUNTIF('Claude vs tools'!$K$2:$P$139,A208)&gt;0,"★ Yes","")</f>
        <v/>
      </c>
    </row>
    <row r="209" spans="1:9" ht="26.4" x14ac:dyDescent="0.3">
      <c r="A209" s="18" t="s">
        <v>711</v>
      </c>
      <c r="B209" s="7"/>
      <c r="C209" s="7" t="s">
        <v>710</v>
      </c>
      <c r="D209" s="7" t="s">
        <v>711</v>
      </c>
      <c r="E209" s="6">
        <f t="shared" si="6"/>
        <v>2</v>
      </c>
      <c r="F209" s="6" t="str">
        <f t="shared" si="7"/>
        <v>RAKE + YAKE</v>
      </c>
      <c r="G209" s="7" t="s">
        <v>1640</v>
      </c>
      <c r="H209" s="7"/>
      <c r="I209" s="19" t="str">
        <f>IF(COUNTIF('Claude vs tools'!$K$2:$P$139,A209)&gt;0,"★ Yes","")</f>
        <v/>
      </c>
    </row>
    <row r="210" spans="1:9" ht="26.4" x14ac:dyDescent="0.3">
      <c r="A210" s="18" t="s">
        <v>532</v>
      </c>
      <c r="B210" s="7"/>
      <c r="C210" s="7" t="s">
        <v>532</v>
      </c>
      <c r="D210" s="7" t="s">
        <v>532</v>
      </c>
      <c r="E210" s="6">
        <f t="shared" si="6"/>
        <v>2</v>
      </c>
      <c r="F210" s="6" t="str">
        <f t="shared" si="7"/>
        <v>RAKE + YAKE</v>
      </c>
      <c r="G210" s="7" t="s">
        <v>1641</v>
      </c>
      <c r="H210" s="7"/>
      <c r="I210" s="19" t="str">
        <f>IF(COUNTIF('Claude vs tools'!$K$2:$P$139,A210)&gt;0,"★ Yes","")</f>
        <v>★ Yes</v>
      </c>
    </row>
    <row r="211" spans="1:9" x14ac:dyDescent="0.3">
      <c r="A211" s="18" t="s">
        <v>167</v>
      </c>
      <c r="B211" s="7"/>
      <c r="C211" s="7" t="s">
        <v>167</v>
      </c>
      <c r="D211" s="7" t="s">
        <v>167</v>
      </c>
      <c r="E211" s="6">
        <f t="shared" si="6"/>
        <v>2</v>
      </c>
      <c r="F211" s="6" t="str">
        <f t="shared" si="7"/>
        <v>RAKE + YAKE</v>
      </c>
      <c r="G211" s="7" t="s">
        <v>1642</v>
      </c>
      <c r="H211" s="7"/>
      <c r="I211" s="19" t="str">
        <f>IF(COUNTIF('Claude vs tools'!$K$2:$P$139,A211)&gt;0,"★ Yes","")</f>
        <v>★ Yes</v>
      </c>
    </row>
    <row r="212" spans="1:9" x14ac:dyDescent="0.3">
      <c r="A212" s="18" t="s">
        <v>165</v>
      </c>
      <c r="B212" s="7" t="s">
        <v>165</v>
      </c>
      <c r="C212" s="7"/>
      <c r="D212" s="7" t="s">
        <v>165</v>
      </c>
      <c r="E212" s="6">
        <f t="shared" si="6"/>
        <v>2</v>
      </c>
      <c r="F212" s="6" t="str">
        <f t="shared" si="7"/>
        <v>Gemini + YAKE</v>
      </c>
      <c r="G212" s="7" t="s">
        <v>1643</v>
      </c>
      <c r="H212" s="7"/>
      <c r="I212" s="19" t="str">
        <f>IF(COUNTIF('Claude vs tools'!$K$2:$P$139,A212)&gt;0,"★ Yes","")</f>
        <v>★ Yes</v>
      </c>
    </row>
    <row r="213" spans="1:9" ht="26.4" x14ac:dyDescent="0.3">
      <c r="A213" s="18" t="s">
        <v>300</v>
      </c>
      <c r="B213" s="7" t="s">
        <v>300</v>
      </c>
      <c r="C213" s="7" t="s">
        <v>300</v>
      </c>
      <c r="D213" s="7"/>
      <c r="E213" s="6">
        <f t="shared" si="6"/>
        <v>2</v>
      </c>
      <c r="F213" s="6" t="str">
        <f t="shared" si="7"/>
        <v>Gemini + RAKE</v>
      </c>
      <c r="G213" s="7" t="s">
        <v>1644</v>
      </c>
      <c r="H213" s="7"/>
      <c r="I213" s="19" t="str">
        <f>IF(COUNTIF('Claude vs tools'!$K$2:$P$139,A213)&gt;0,"★ Yes","")</f>
        <v>★ Yes</v>
      </c>
    </row>
    <row r="214" spans="1:9" x14ac:dyDescent="0.3">
      <c r="A214" s="18" t="s">
        <v>307</v>
      </c>
      <c r="B214" s="7" t="s">
        <v>307</v>
      </c>
      <c r="C214" s="7"/>
      <c r="D214" s="7" t="s">
        <v>307</v>
      </c>
      <c r="E214" s="6">
        <f t="shared" si="6"/>
        <v>2</v>
      </c>
      <c r="F214" s="6" t="str">
        <f t="shared" si="7"/>
        <v>Gemini + YAKE</v>
      </c>
      <c r="G214" s="7" t="s">
        <v>1645</v>
      </c>
      <c r="H214" s="7"/>
      <c r="I214" s="19" t="str">
        <f>IF(COUNTIF('Claude vs tools'!$K$2:$P$139,A214)&gt;0,"★ Yes","")</f>
        <v>★ Yes</v>
      </c>
    </row>
    <row r="215" spans="1:9" ht="26.4" x14ac:dyDescent="0.3">
      <c r="A215" s="18" t="s">
        <v>263</v>
      </c>
      <c r="B215" s="7" t="s">
        <v>263</v>
      </c>
      <c r="C215" s="7"/>
      <c r="D215" s="7" t="s">
        <v>263</v>
      </c>
      <c r="E215" s="6">
        <f t="shared" si="6"/>
        <v>2</v>
      </c>
      <c r="F215" s="6" t="str">
        <f t="shared" si="7"/>
        <v>Gemini + YAKE</v>
      </c>
      <c r="G215" s="7" t="s">
        <v>1646</v>
      </c>
      <c r="H215" s="7"/>
      <c r="I215" s="19" t="str">
        <f>IF(COUNTIF('Claude vs tools'!$K$2:$P$139,A215)&gt;0,"★ Yes","")</f>
        <v>★ Yes</v>
      </c>
    </row>
    <row r="216" spans="1:9" x14ac:dyDescent="0.3">
      <c r="A216" s="18" t="s">
        <v>265</v>
      </c>
      <c r="B216" s="7" t="s">
        <v>265</v>
      </c>
      <c r="C216" s="7"/>
      <c r="D216" s="7" t="s">
        <v>265</v>
      </c>
      <c r="E216" s="6">
        <f t="shared" si="6"/>
        <v>2</v>
      </c>
      <c r="F216" s="6" t="str">
        <f t="shared" si="7"/>
        <v>Gemini + YAKE</v>
      </c>
      <c r="G216" s="7" t="s">
        <v>1647</v>
      </c>
      <c r="H216" s="7"/>
      <c r="I216" s="19" t="str">
        <f>IF(COUNTIF('Claude vs tools'!$K$2:$P$139,A216)&gt;0,"★ Yes","")</f>
        <v>★ Yes</v>
      </c>
    </row>
    <row r="217" spans="1:9" x14ac:dyDescent="0.3">
      <c r="A217" s="18" t="s">
        <v>712</v>
      </c>
      <c r="B217" s="7" t="s">
        <v>712</v>
      </c>
      <c r="C217" s="7"/>
      <c r="D217" s="7" t="s">
        <v>712</v>
      </c>
      <c r="E217" s="6">
        <f t="shared" si="6"/>
        <v>2</v>
      </c>
      <c r="F217" s="6" t="str">
        <f t="shared" si="7"/>
        <v>Gemini + YAKE</v>
      </c>
      <c r="G217" s="7" t="s">
        <v>1648</v>
      </c>
      <c r="H217" s="7"/>
      <c r="I217" s="19" t="str">
        <f>IF(COUNTIF('Claude vs tools'!$K$2:$P$139,A217)&gt;0,"★ Yes","")</f>
        <v/>
      </c>
    </row>
    <row r="218" spans="1:9" ht="26.4" x14ac:dyDescent="0.3">
      <c r="A218" s="18" t="s">
        <v>133</v>
      </c>
      <c r="B218" s="7"/>
      <c r="C218" s="7" t="s">
        <v>133</v>
      </c>
      <c r="D218" s="7" t="s">
        <v>133</v>
      </c>
      <c r="E218" s="6">
        <f t="shared" si="6"/>
        <v>2</v>
      </c>
      <c r="F218" s="6" t="str">
        <f t="shared" si="7"/>
        <v>RAKE + YAKE</v>
      </c>
      <c r="G218" s="7" t="s">
        <v>1649</v>
      </c>
      <c r="H218" s="7"/>
      <c r="I218" s="19" t="str">
        <f>IF(COUNTIF('Claude vs tools'!$K$2:$P$139,A218)&gt;0,"★ Yes","")</f>
        <v>★ Yes</v>
      </c>
    </row>
    <row r="219" spans="1:9" x14ac:dyDescent="0.3">
      <c r="A219" s="18" t="s">
        <v>713</v>
      </c>
      <c r="B219" s="7" t="s">
        <v>713</v>
      </c>
      <c r="C219" s="7"/>
      <c r="D219" s="7" t="s">
        <v>713</v>
      </c>
      <c r="E219" s="6">
        <f t="shared" si="6"/>
        <v>2</v>
      </c>
      <c r="F219" s="6" t="str">
        <f t="shared" si="7"/>
        <v>Gemini + YAKE</v>
      </c>
      <c r="G219" s="7" t="s">
        <v>1650</v>
      </c>
      <c r="H219" s="7"/>
      <c r="I219" s="19" t="str">
        <f>IF(COUNTIF('Claude vs tools'!$K$2:$P$139,A219)&gt;0,"★ Yes","")</f>
        <v/>
      </c>
    </row>
    <row r="220" spans="1:9" x14ac:dyDescent="0.3">
      <c r="A220" s="18" t="s">
        <v>715</v>
      </c>
      <c r="B220" s="7"/>
      <c r="C220" s="7" t="s">
        <v>714</v>
      </c>
      <c r="D220" s="7" t="s">
        <v>715</v>
      </c>
      <c r="E220" s="6">
        <f t="shared" si="6"/>
        <v>2</v>
      </c>
      <c r="F220" s="6" t="str">
        <f t="shared" si="7"/>
        <v>RAKE + YAKE</v>
      </c>
      <c r="G220" s="7" t="s">
        <v>1651</v>
      </c>
      <c r="H220" s="7" t="s">
        <v>716</v>
      </c>
      <c r="I220" s="19" t="str">
        <f>IF(COUNTIF('Claude vs tools'!$K$2:$P$139,A220)&gt;0,"★ Yes","")</f>
        <v/>
      </c>
    </row>
    <row r="221" spans="1:9" ht="26.4" x14ac:dyDescent="0.3">
      <c r="A221" s="18" t="s">
        <v>87</v>
      </c>
      <c r="B221" s="7" t="s">
        <v>87</v>
      </c>
      <c r="C221" s="7"/>
      <c r="D221" s="7" t="s">
        <v>87</v>
      </c>
      <c r="E221" s="6">
        <f t="shared" si="6"/>
        <v>2</v>
      </c>
      <c r="F221" s="6" t="str">
        <f t="shared" si="7"/>
        <v>Gemini + YAKE</v>
      </c>
      <c r="G221" s="7" t="s">
        <v>1652</v>
      </c>
      <c r="H221" s="7"/>
      <c r="I221" s="19" t="str">
        <f>IF(COUNTIF('Claude vs tools'!$K$2:$P$139,A221)&gt;0,"★ Yes","")</f>
        <v>★ Yes</v>
      </c>
    </row>
    <row r="222" spans="1:9" x14ac:dyDescent="0.3">
      <c r="A222" s="18" t="s">
        <v>717</v>
      </c>
      <c r="B222" s="7" t="s">
        <v>717</v>
      </c>
      <c r="C222" s="7"/>
      <c r="D222" s="7" t="s">
        <v>717</v>
      </c>
      <c r="E222" s="6">
        <f t="shared" si="6"/>
        <v>2</v>
      </c>
      <c r="F222" s="6" t="str">
        <f t="shared" si="7"/>
        <v>Gemini + YAKE</v>
      </c>
      <c r="G222" s="7" t="s">
        <v>1653</v>
      </c>
      <c r="H222" s="7"/>
      <c r="I222" s="19" t="str">
        <f>IF(COUNTIF('Claude vs tools'!$K$2:$P$139,A222)&gt;0,"★ Yes","")</f>
        <v/>
      </c>
    </row>
    <row r="223" spans="1:9" x14ac:dyDescent="0.3">
      <c r="A223" s="18" t="s">
        <v>718</v>
      </c>
      <c r="B223" s="7"/>
      <c r="C223" s="7" t="s">
        <v>718</v>
      </c>
      <c r="D223" s="7" t="s">
        <v>718</v>
      </c>
      <c r="E223" s="6">
        <f t="shared" si="6"/>
        <v>2</v>
      </c>
      <c r="F223" s="6" t="str">
        <f t="shared" si="7"/>
        <v>RAKE + YAKE</v>
      </c>
      <c r="G223" s="7" t="s">
        <v>1654</v>
      </c>
      <c r="H223" s="7"/>
      <c r="I223" s="19" t="str">
        <f>IF(COUNTIF('Claude vs tools'!$K$2:$P$139,A223)&gt;0,"★ Yes","")</f>
        <v/>
      </c>
    </row>
    <row r="224" spans="1:9" x14ac:dyDescent="0.3">
      <c r="A224" s="18" t="s">
        <v>68</v>
      </c>
      <c r="B224" s="7"/>
      <c r="C224" s="7" t="s">
        <v>68</v>
      </c>
      <c r="D224" s="7" t="s">
        <v>68</v>
      </c>
      <c r="E224" s="6">
        <f t="shared" si="6"/>
        <v>2</v>
      </c>
      <c r="F224" s="6" t="str">
        <f t="shared" si="7"/>
        <v>RAKE + YAKE</v>
      </c>
      <c r="G224" s="7" t="s">
        <v>1655</v>
      </c>
      <c r="H224" s="7"/>
      <c r="I224" s="19" t="str">
        <f>IF(COUNTIF('Claude vs tools'!$K$2:$P$139,A224)&gt;0,"★ Yes","")</f>
        <v>★ Yes</v>
      </c>
    </row>
    <row r="225" spans="1:9" ht="39.6" x14ac:dyDescent="0.3">
      <c r="A225" s="18" t="s">
        <v>719</v>
      </c>
      <c r="B225" s="7"/>
      <c r="C225" s="7" t="s">
        <v>719</v>
      </c>
      <c r="D225" s="7" t="s">
        <v>719</v>
      </c>
      <c r="E225" s="6">
        <f t="shared" si="6"/>
        <v>2</v>
      </c>
      <c r="F225" s="6" t="str">
        <f t="shared" si="7"/>
        <v>RAKE + YAKE</v>
      </c>
      <c r="G225" s="7" t="s">
        <v>1656</v>
      </c>
      <c r="H225" s="7"/>
      <c r="I225" s="19" t="str">
        <f>IF(COUNTIF('Claude vs tools'!$K$2:$P$139,A225)&gt;0,"★ Yes","")</f>
        <v/>
      </c>
    </row>
    <row r="226" spans="1:9" x14ac:dyDescent="0.3">
      <c r="A226" s="18" t="s">
        <v>244</v>
      </c>
      <c r="B226" s="7"/>
      <c r="C226" s="7" t="s">
        <v>244</v>
      </c>
      <c r="D226" s="7" t="s">
        <v>244</v>
      </c>
      <c r="E226" s="6">
        <f t="shared" si="6"/>
        <v>2</v>
      </c>
      <c r="F226" s="6" t="str">
        <f t="shared" si="7"/>
        <v>RAKE + YAKE</v>
      </c>
      <c r="G226" s="7" t="s">
        <v>1657</v>
      </c>
      <c r="H226" s="7"/>
      <c r="I226" s="19" t="str">
        <f>IF(COUNTIF('Claude vs tools'!$K$2:$P$139,A226)&gt;0,"★ Yes","")</f>
        <v>★ Yes</v>
      </c>
    </row>
    <row r="227" spans="1:9" ht="26.4" x14ac:dyDescent="0.3">
      <c r="A227" s="18" t="s">
        <v>449</v>
      </c>
      <c r="B227" s="7"/>
      <c r="C227" s="7" t="s">
        <v>450</v>
      </c>
      <c r="D227" s="7" t="s">
        <v>1658</v>
      </c>
      <c r="E227" s="6">
        <f t="shared" si="6"/>
        <v>2</v>
      </c>
      <c r="F227" s="6" t="str">
        <f t="shared" si="7"/>
        <v>RAKE + YAKE</v>
      </c>
      <c r="G227" s="7" t="s">
        <v>1659</v>
      </c>
      <c r="H227" s="7"/>
      <c r="I227" s="19" t="str">
        <f>IF(COUNTIF('Claude vs tools'!$K$2:$P$139,A227)&gt;0,"★ Yes","")</f>
        <v>★ Yes</v>
      </c>
    </row>
    <row r="228" spans="1:9" x14ac:dyDescent="0.3">
      <c r="A228" s="18" t="s">
        <v>720</v>
      </c>
      <c r="B228" s="7"/>
      <c r="C228" s="7" t="s">
        <v>720</v>
      </c>
      <c r="D228" s="7" t="s">
        <v>720</v>
      </c>
      <c r="E228" s="6">
        <f t="shared" si="6"/>
        <v>2</v>
      </c>
      <c r="F228" s="6" t="str">
        <f t="shared" si="7"/>
        <v>RAKE + YAKE</v>
      </c>
      <c r="G228" s="7" t="s">
        <v>1660</v>
      </c>
      <c r="H228" s="7"/>
      <c r="I228" s="19" t="str">
        <f>IF(COUNTIF('Claude vs tools'!$K$2:$P$139,A228)&gt;0,"★ Yes","")</f>
        <v/>
      </c>
    </row>
    <row r="229" spans="1:9" x14ac:dyDescent="0.3">
      <c r="A229" s="18" t="s">
        <v>721</v>
      </c>
      <c r="B229" s="7"/>
      <c r="C229" s="7" t="s">
        <v>721</v>
      </c>
      <c r="D229" s="7" t="s">
        <v>721</v>
      </c>
      <c r="E229" s="6">
        <f t="shared" si="6"/>
        <v>2</v>
      </c>
      <c r="F229" s="6" t="str">
        <f t="shared" si="7"/>
        <v>RAKE + YAKE</v>
      </c>
      <c r="G229" s="7" t="s">
        <v>1661</v>
      </c>
      <c r="H229" s="7"/>
      <c r="I229" s="19" t="str">
        <f>IF(COUNTIF('Claude vs tools'!$K$2:$P$139,A229)&gt;0,"★ Yes","")</f>
        <v/>
      </c>
    </row>
    <row r="230" spans="1:9" x14ac:dyDescent="0.3">
      <c r="A230" s="18" t="s">
        <v>722</v>
      </c>
      <c r="B230" s="7"/>
      <c r="C230" s="7" t="s">
        <v>722</v>
      </c>
      <c r="D230" s="7" t="s">
        <v>722</v>
      </c>
      <c r="E230" s="6">
        <f t="shared" si="6"/>
        <v>2</v>
      </c>
      <c r="F230" s="6" t="str">
        <f t="shared" si="7"/>
        <v>RAKE + YAKE</v>
      </c>
      <c r="G230" s="7" t="s">
        <v>1661</v>
      </c>
      <c r="H230" s="7"/>
      <c r="I230" s="19" t="str">
        <f>IF(COUNTIF('Claude vs tools'!$K$2:$P$139,A230)&gt;0,"★ Yes","")</f>
        <v/>
      </c>
    </row>
    <row r="231" spans="1:9" x14ac:dyDescent="0.3">
      <c r="A231" s="18" t="s">
        <v>448</v>
      </c>
      <c r="B231" s="7"/>
      <c r="C231" s="7" t="s">
        <v>448</v>
      </c>
      <c r="D231" s="7" t="s">
        <v>448</v>
      </c>
      <c r="E231" s="6">
        <f t="shared" si="6"/>
        <v>2</v>
      </c>
      <c r="F231" s="6" t="str">
        <f t="shared" si="7"/>
        <v>RAKE + YAKE</v>
      </c>
      <c r="G231" s="7" t="s">
        <v>1662</v>
      </c>
      <c r="H231" s="7"/>
      <c r="I231" s="19" t="str">
        <f>IF(COUNTIF('Claude vs tools'!$K$2:$P$139,A231)&gt;0,"★ Yes","")</f>
        <v>★ Yes</v>
      </c>
    </row>
    <row r="232" spans="1:9" ht="26.4" x14ac:dyDescent="0.3">
      <c r="A232" s="18" t="s">
        <v>723</v>
      </c>
      <c r="B232" s="7"/>
      <c r="C232" s="7" t="s">
        <v>723</v>
      </c>
      <c r="D232" s="7" t="s">
        <v>1663</v>
      </c>
      <c r="E232" s="6">
        <f t="shared" si="6"/>
        <v>2</v>
      </c>
      <c r="F232" s="6" t="str">
        <f t="shared" si="7"/>
        <v>RAKE + YAKE</v>
      </c>
      <c r="G232" s="7" t="s">
        <v>1664</v>
      </c>
      <c r="H232" s="7"/>
      <c r="I232" s="19" t="str">
        <f>IF(COUNTIF('Claude vs tools'!$K$2:$P$139,A232)&gt;0,"★ Yes","")</f>
        <v/>
      </c>
    </row>
    <row r="233" spans="1:9" x14ac:dyDescent="0.3">
      <c r="A233" s="18" t="s">
        <v>248</v>
      </c>
      <c r="B233" s="7"/>
      <c r="C233" s="7" t="s">
        <v>248</v>
      </c>
      <c r="D233" s="7" t="s">
        <v>248</v>
      </c>
      <c r="E233" s="6">
        <f t="shared" si="6"/>
        <v>2</v>
      </c>
      <c r="F233" s="6" t="str">
        <f t="shared" si="7"/>
        <v>RAKE + YAKE</v>
      </c>
      <c r="G233" s="7" t="s">
        <v>1665</v>
      </c>
      <c r="H233" s="7"/>
      <c r="I233" s="19" t="str">
        <f>IF(COUNTIF('Claude vs tools'!$K$2:$P$139,A233)&gt;0,"★ Yes","")</f>
        <v>★ Yes</v>
      </c>
    </row>
    <row r="234" spans="1:9" x14ac:dyDescent="0.3">
      <c r="A234" s="18" t="s">
        <v>725</v>
      </c>
      <c r="B234" s="7"/>
      <c r="C234" s="7" t="s">
        <v>725</v>
      </c>
      <c r="D234" s="7" t="s">
        <v>725</v>
      </c>
      <c r="E234" s="6">
        <f t="shared" si="6"/>
        <v>2</v>
      </c>
      <c r="F234" s="6" t="str">
        <f t="shared" si="7"/>
        <v>RAKE + YAKE</v>
      </c>
      <c r="G234" s="7" t="s">
        <v>1666</v>
      </c>
      <c r="H234" s="7"/>
      <c r="I234" s="19" t="str">
        <f>IF(COUNTIF('Claude vs tools'!$K$2:$P$139,A234)&gt;0,"★ Yes","")</f>
        <v/>
      </c>
    </row>
    <row r="235" spans="1:9" x14ac:dyDescent="0.3">
      <c r="A235" s="18" t="s">
        <v>726</v>
      </c>
      <c r="B235" s="7" t="s">
        <v>726</v>
      </c>
      <c r="C235" s="7"/>
      <c r="D235" s="7" t="s">
        <v>726</v>
      </c>
      <c r="E235" s="6">
        <f t="shared" si="6"/>
        <v>2</v>
      </c>
      <c r="F235" s="6" t="str">
        <f t="shared" si="7"/>
        <v>Gemini + YAKE</v>
      </c>
      <c r="G235" s="7" t="s">
        <v>1667</v>
      </c>
      <c r="H235" s="7"/>
      <c r="I235" s="19" t="str">
        <f>IF(COUNTIF('Claude vs tools'!$K$2:$P$139,A235)&gt;0,"★ Yes","")</f>
        <v/>
      </c>
    </row>
    <row r="236" spans="1:9" ht="39.6" x14ac:dyDescent="0.3">
      <c r="A236" s="18" t="s">
        <v>727</v>
      </c>
      <c r="B236" s="7"/>
      <c r="C236" s="7" t="s">
        <v>727</v>
      </c>
      <c r="D236" s="7" t="s">
        <v>727</v>
      </c>
      <c r="E236" s="6">
        <f t="shared" si="6"/>
        <v>2</v>
      </c>
      <c r="F236" s="6" t="str">
        <f t="shared" si="7"/>
        <v>RAKE + YAKE</v>
      </c>
      <c r="G236" s="7" t="s">
        <v>1668</v>
      </c>
      <c r="H236" s="7"/>
      <c r="I236" s="19" t="str">
        <f>IF(COUNTIF('Claude vs tools'!$K$2:$P$139,A236)&gt;0,"★ Yes","")</f>
        <v/>
      </c>
    </row>
    <row r="237" spans="1:9" ht="39.6" x14ac:dyDescent="0.3">
      <c r="A237" s="18" t="s">
        <v>728</v>
      </c>
      <c r="B237" s="7"/>
      <c r="C237" s="7" t="s">
        <v>728</v>
      </c>
      <c r="D237" s="7" t="s">
        <v>728</v>
      </c>
      <c r="E237" s="6">
        <f t="shared" si="6"/>
        <v>2</v>
      </c>
      <c r="F237" s="6" t="str">
        <f t="shared" si="7"/>
        <v>RAKE + YAKE</v>
      </c>
      <c r="G237" s="7" t="s">
        <v>1669</v>
      </c>
      <c r="H237" s="7"/>
      <c r="I237" s="19" t="str">
        <f>IF(COUNTIF('Claude vs tools'!$K$2:$P$139,A237)&gt;0,"★ Yes","")</f>
        <v/>
      </c>
    </row>
    <row r="238" spans="1:9" ht="26.4" x14ac:dyDescent="0.3">
      <c r="A238" s="18" t="s">
        <v>220</v>
      </c>
      <c r="B238" s="7"/>
      <c r="C238" s="7" t="s">
        <v>220</v>
      </c>
      <c r="D238" s="7" t="s">
        <v>1670</v>
      </c>
      <c r="E238" s="6">
        <f t="shared" si="6"/>
        <v>2</v>
      </c>
      <c r="F238" s="6" t="str">
        <f t="shared" si="7"/>
        <v>RAKE + YAKE</v>
      </c>
      <c r="G238" s="7" t="s">
        <v>1671</v>
      </c>
      <c r="H238" s="7"/>
      <c r="I238" s="19" t="str">
        <f>IF(COUNTIF('Claude vs tools'!$K$2:$P$139,A238)&gt;0,"★ Yes","")</f>
        <v>★ Yes</v>
      </c>
    </row>
    <row r="239" spans="1:9" x14ac:dyDescent="0.3">
      <c r="A239" s="18" t="s">
        <v>729</v>
      </c>
      <c r="B239" s="7"/>
      <c r="C239" s="7" t="s">
        <v>729</v>
      </c>
      <c r="D239" s="7" t="s">
        <v>729</v>
      </c>
      <c r="E239" s="6">
        <f t="shared" si="6"/>
        <v>2</v>
      </c>
      <c r="F239" s="6" t="str">
        <f t="shared" si="7"/>
        <v>RAKE + YAKE</v>
      </c>
      <c r="G239" s="7" t="s">
        <v>1672</v>
      </c>
      <c r="H239" s="7"/>
      <c r="I239" s="19" t="str">
        <f>IF(COUNTIF('Claude vs tools'!$K$2:$P$139,A239)&gt;0,"★ Yes","")</f>
        <v/>
      </c>
    </row>
    <row r="240" spans="1:9" x14ac:dyDescent="0.3">
      <c r="A240" s="18" t="s">
        <v>225</v>
      </c>
      <c r="B240" s="7" t="s">
        <v>225</v>
      </c>
      <c r="C240" s="7"/>
      <c r="D240" s="7" t="s">
        <v>225</v>
      </c>
      <c r="E240" s="6">
        <f t="shared" si="6"/>
        <v>2</v>
      </c>
      <c r="F240" s="6" t="str">
        <f t="shared" si="7"/>
        <v>Gemini + YAKE</v>
      </c>
      <c r="G240" s="7" t="s">
        <v>1673</v>
      </c>
      <c r="H240" s="7"/>
      <c r="I240" s="19" t="str">
        <f>IF(COUNTIF('Claude vs tools'!$K$2:$P$139,A240)&gt;0,"★ Yes","")</f>
        <v>★ Yes</v>
      </c>
    </row>
    <row r="241" spans="1:9" ht="39.6" x14ac:dyDescent="0.3">
      <c r="A241" s="18" t="s">
        <v>730</v>
      </c>
      <c r="B241" s="7"/>
      <c r="C241" s="7" t="s">
        <v>730</v>
      </c>
      <c r="D241" s="7" t="s">
        <v>730</v>
      </c>
      <c r="E241" s="6">
        <f t="shared" si="6"/>
        <v>2</v>
      </c>
      <c r="F241" s="6" t="str">
        <f t="shared" si="7"/>
        <v>RAKE + YAKE</v>
      </c>
      <c r="G241" s="7" t="s">
        <v>1674</v>
      </c>
      <c r="H241" s="7"/>
      <c r="I241" s="19" t="str">
        <f>IF(COUNTIF('Claude vs tools'!$K$2:$P$139,A241)&gt;0,"★ Yes","")</f>
        <v/>
      </c>
    </row>
    <row r="242" spans="1:9" ht="26.4" x14ac:dyDescent="0.3">
      <c r="A242" s="18" t="s">
        <v>731</v>
      </c>
      <c r="B242" s="7"/>
      <c r="C242" s="7" t="s">
        <v>731</v>
      </c>
      <c r="D242" s="7" t="s">
        <v>731</v>
      </c>
      <c r="E242" s="6">
        <f t="shared" si="6"/>
        <v>2</v>
      </c>
      <c r="F242" s="6" t="str">
        <f t="shared" si="7"/>
        <v>RAKE + YAKE</v>
      </c>
      <c r="G242" s="7" t="s">
        <v>1675</v>
      </c>
      <c r="H242" s="7"/>
      <c r="I242" s="19" t="str">
        <f>IF(COUNTIF('Claude vs tools'!$K$2:$P$139,A242)&gt;0,"★ Yes","")</f>
        <v/>
      </c>
    </row>
    <row r="243" spans="1:9" ht="39.6" x14ac:dyDescent="0.3">
      <c r="A243" s="18" t="s">
        <v>33</v>
      </c>
      <c r="B243" s="7"/>
      <c r="C243" s="7" t="s">
        <v>33</v>
      </c>
      <c r="D243" s="7" t="s">
        <v>33</v>
      </c>
      <c r="E243" s="6">
        <f t="shared" si="6"/>
        <v>2</v>
      </c>
      <c r="F243" s="6" t="str">
        <f t="shared" si="7"/>
        <v>RAKE + YAKE</v>
      </c>
      <c r="G243" s="7" t="s">
        <v>1676</v>
      </c>
      <c r="H243" s="7"/>
      <c r="I243" s="19" t="str">
        <f>IF(COUNTIF('Claude vs tools'!$K$2:$P$139,A243)&gt;0,"★ Yes","")</f>
        <v>★ Yes</v>
      </c>
    </row>
    <row r="244" spans="1:9" x14ac:dyDescent="0.3">
      <c r="A244" s="18" t="s">
        <v>732</v>
      </c>
      <c r="B244" s="7"/>
      <c r="C244" s="7" t="s">
        <v>732</v>
      </c>
      <c r="D244" s="7" t="s">
        <v>732</v>
      </c>
      <c r="E244" s="6">
        <f t="shared" si="6"/>
        <v>2</v>
      </c>
      <c r="F244" s="6" t="str">
        <f t="shared" si="7"/>
        <v>RAKE + YAKE</v>
      </c>
      <c r="G244" s="7" t="s">
        <v>1677</v>
      </c>
      <c r="H244" s="7"/>
      <c r="I244" s="19" t="str">
        <f>IF(COUNTIF('Claude vs tools'!$K$2:$P$139,A244)&gt;0,"★ Yes","")</f>
        <v/>
      </c>
    </row>
    <row r="245" spans="1:9" ht="26.4" x14ac:dyDescent="0.3">
      <c r="A245" s="18" t="s">
        <v>733</v>
      </c>
      <c r="B245" s="7"/>
      <c r="C245" s="7" t="s">
        <v>733</v>
      </c>
      <c r="D245" s="7" t="s">
        <v>733</v>
      </c>
      <c r="E245" s="6">
        <f t="shared" si="6"/>
        <v>2</v>
      </c>
      <c r="F245" s="6" t="str">
        <f t="shared" si="7"/>
        <v>RAKE + YAKE</v>
      </c>
      <c r="G245" s="7" t="s">
        <v>1678</v>
      </c>
      <c r="H245" s="7"/>
      <c r="I245" s="19" t="str">
        <f>IF(COUNTIF('Claude vs tools'!$K$2:$P$139,A245)&gt;0,"★ Yes","")</f>
        <v/>
      </c>
    </row>
    <row r="246" spans="1:9" ht="39.6" x14ac:dyDescent="0.3">
      <c r="A246" s="18" t="s">
        <v>734</v>
      </c>
      <c r="B246" s="7"/>
      <c r="C246" s="7" t="s">
        <v>734</v>
      </c>
      <c r="D246" s="7" t="s">
        <v>734</v>
      </c>
      <c r="E246" s="6">
        <f t="shared" si="6"/>
        <v>2</v>
      </c>
      <c r="F246" s="6" t="str">
        <f t="shared" si="7"/>
        <v>RAKE + YAKE</v>
      </c>
      <c r="G246" s="7" t="s">
        <v>1604</v>
      </c>
      <c r="H246" s="7"/>
      <c r="I246" s="19" t="str">
        <f>IF(COUNTIF('Claude vs tools'!$K$2:$P$139,A246)&gt;0,"★ Yes","")</f>
        <v/>
      </c>
    </row>
    <row r="247" spans="1:9" x14ac:dyDescent="0.3">
      <c r="A247" s="18" t="s">
        <v>735</v>
      </c>
      <c r="B247" s="7" t="s">
        <v>735</v>
      </c>
      <c r="C247" s="7"/>
      <c r="D247" s="7" t="s">
        <v>735</v>
      </c>
      <c r="E247" s="6">
        <f t="shared" si="6"/>
        <v>2</v>
      </c>
      <c r="F247" s="6" t="str">
        <f t="shared" si="7"/>
        <v>Gemini + YAKE</v>
      </c>
      <c r="G247" s="7" t="s">
        <v>795</v>
      </c>
      <c r="H247" s="7"/>
      <c r="I247" s="19" t="str">
        <f>IF(COUNTIF('Claude vs tools'!$K$2:$P$139,A247)&gt;0,"★ Yes","")</f>
        <v/>
      </c>
    </row>
    <row r="248" spans="1:9" ht="26.4" x14ac:dyDescent="0.3">
      <c r="A248" s="18" t="s">
        <v>736</v>
      </c>
      <c r="B248" s="7"/>
      <c r="C248" s="7" t="s">
        <v>736</v>
      </c>
      <c r="D248" s="7" t="s">
        <v>736</v>
      </c>
      <c r="E248" s="6">
        <f t="shared" si="6"/>
        <v>2</v>
      </c>
      <c r="F248" s="6" t="str">
        <f t="shared" si="7"/>
        <v>RAKE + YAKE</v>
      </c>
      <c r="G248" s="7" t="s">
        <v>1679</v>
      </c>
      <c r="H248" s="7"/>
      <c r="I248" s="19" t="str">
        <f>IF(COUNTIF('Claude vs tools'!$K$2:$P$139,A248)&gt;0,"★ Yes","")</f>
        <v/>
      </c>
    </row>
    <row r="249" spans="1:9" x14ac:dyDescent="0.3">
      <c r="A249" s="18" t="s">
        <v>737</v>
      </c>
      <c r="B249" s="7" t="s">
        <v>737</v>
      </c>
      <c r="C249" s="7"/>
      <c r="D249" s="7" t="s">
        <v>737</v>
      </c>
      <c r="E249" s="6">
        <f t="shared" si="6"/>
        <v>2</v>
      </c>
      <c r="F249" s="6" t="str">
        <f t="shared" si="7"/>
        <v>Gemini + YAKE</v>
      </c>
      <c r="G249" s="7" t="s">
        <v>1680</v>
      </c>
      <c r="H249" s="7"/>
      <c r="I249" s="19" t="str">
        <f>IF(COUNTIF('Claude vs tools'!$K$2:$P$139,A249)&gt;0,"★ Yes","")</f>
        <v/>
      </c>
    </row>
    <row r="250" spans="1:9" ht="26.4" x14ac:dyDescent="0.3">
      <c r="A250" s="18" t="s">
        <v>63</v>
      </c>
      <c r="B250" s="7"/>
      <c r="C250" s="7" t="s">
        <v>63</v>
      </c>
      <c r="D250" s="7" t="s">
        <v>63</v>
      </c>
      <c r="E250" s="6">
        <f t="shared" si="6"/>
        <v>2</v>
      </c>
      <c r="F250" s="6" t="str">
        <f t="shared" si="7"/>
        <v>RAKE + YAKE</v>
      </c>
      <c r="G250" s="7" t="s">
        <v>1681</v>
      </c>
      <c r="H250" s="7"/>
      <c r="I250" s="19" t="str">
        <f>IF(COUNTIF('Claude vs tools'!$K$2:$P$139,A250)&gt;0,"★ Yes","")</f>
        <v>★ Yes</v>
      </c>
    </row>
    <row r="251" spans="1:9" x14ac:dyDescent="0.3">
      <c r="A251" s="18" t="s">
        <v>738</v>
      </c>
      <c r="B251" s="7"/>
      <c r="C251" s="7" t="s">
        <v>738</v>
      </c>
      <c r="D251" s="7" t="s">
        <v>738</v>
      </c>
      <c r="E251" s="6">
        <f t="shared" si="6"/>
        <v>2</v>
      </c>
      <c r="F251" s="6" t="str">
        <f t="shared" si="7"/>
        <v>RAKE + YAKE</v>
      </c>
      <c r="G251" s="7" t="s">
        <v>1682</v>
      </c>
      <c r="H251" s="7"/>
      <c r="I251" s="19" t="str">
        <f>IF(COUNTIF('Claude vs tools'!$K$2:$P$139,A251)&gt;0,"★ Yes","")</f>
        <v/>
      </c>
    </row>
    <row r="252" spans="1:9" x14ac:dyDescent="0.3">
      <c r="A252" s="18" t="s">
        <v>160</v>
      </c>
      <c r="B252" s="7" t="s">
        <v>160</v>
      </c>
      <c r="C252" s="7"/>
      <c r="D252" s="7" t="s">
        <v>160</v>
      </c>
      <c r="E252" s="6">
        <f t="shared" si="6"/>
        <v>2</v>
      </c>
      <c r="F252" s="6" t="str">
        <f t="shared" si="7"/>
        <v>Gemini + YAKE</v>
      </c>
      <c r="G252" s="7" t="s">
        <v>1683</v>
      </c>
      <c r="H252" s="7"/>
      <c r="I252" s="19" t="str">
        <f>IF(COUNTIF('Claude vs tools'!$K$2:$P$139,A252)&gt;0,"★ Yes","")</f>
        <v>★ Yes</v>
      </c>
    </row>
    <row r="253" spans="1:9" ht="26.4" x14ac:dyDescent="0.3">
      <c r="A253" s="18" t="s">
        <v>739</v>
      </c>
      <c r="B253" s="7"/>
      <c r="C253" s="7" t="s">
        <v>739</v>
      </c>
      <c r="D253" s="7" t="s">
        <v>739</v>
      </c>
      <c r="E253" s="6">
        <f t="shared" si="6"/>
        <v>2</v>
      </c>
      <c r="F253" s="6" t="str">
        <f t="shared" si="7"/>
        <v>RAKE + YAKE</v>
      </c>
      <c r="G253" s="7" t="s">
        <v>1684</v>
      </c>
      <c r="H253" s="7"/>
      <c r="I253" s="19" t="str">
        <f>IF(COUNTIF('Claude vs tools'!$K$2:$P$139,A253)&gt;0,"★ Yes","")</f>
        <v/>
      </c>
    </row>
    <row r="254" spans="1:9" x14ac:dyDescent="0.3">
      <c r="A254" s="18" t="s">
        <v>740</v>
      </c>
      <c r="B254" s="7"/>
      <c r="C254" s="7" t="s">
        <v>740</v>
      </c>
      <c r="D254" s="7" t="s">
        <v>740</v>
      </c>
      <c r="E254" s="6">
        <f t="shared" si="6"/>
        <v>2</v>
      </c>
      <c r="F254" s="6" t="str">
        <f t="shared" si="7"/>
        <v>RAKE + YAKE</v>
      </c>
      <c r="G254" s="7" t="s">
        <v>795</v>
      </c>
      <c r="H254" s="7"/>
      <c r="I254" s="19" t="str">
        <f>IF(COUNTIF('Claude vs tools'!$K$2:$P$139,A254)&gt;0,"★ Yes","")</f>
        <v/>
      </c>
    </row>
    <row r="255" spans="1:9" x14ac:dyDescent="0.3">
      <c r="A255" s="18" t="s">
        <v>741</v>
      </c>
      <c r="B255" s="7"/>
      <c r="C255" s="7" t="s">
        <v>741</v>
      </c>
      <c r="D255" s="7" t="s">
        <v>741</v>
      </c>
      <c r="E255" s="6">
        <f t="shared" si="6"/>
        <v>2</v>
      </c>
      <c r="F255" s="6" t="str">
        <f t="shared" si="7"/>
        <v>RAKE + YAKE</v>
      </c>
      <c r="G255" s="7" t="s">
        <v>1685</v>
      </c>
      <c r="H255" s="7"/>
      <c r="I255" s="19" t="str">
        <f>IF(COUNTIF('Claude vs tools'!$K$2:$P$139,A255)&gt;0,"★ Yes","")</f>
        <v/>
      </c>
    </row>
    <row r="256" spans="1:9" x14ac:dyDescent="0.3">
      <c r="A256" s="18" t="s">
        <v>742</v>
      </c>
      <c r="B256" s="7" t="s">
        <v>742</v>
      </c>
      <c r="C256" s="7"/>
      <c r="D256" s="7" t="s">
        <v>742</v>
      </c>
      <c r="E256" s="6">
        <f t="shared" si="6"/>
        <v>2</v>
      </c>
      <c r="F256" s="6" t="str">
        <f t="shared" si="7"/>
        <v>Gemini + YAKE</v>
      </c>
      <c r="G256" s="7" t="s">
        <v>1686</v>
      </c>
      <c r="H256" s="7"/>
      <c r="I256" s="19" t="str">
        <f>IF(COUNTIF('Claude vs tools'!$K$2:$P$139,A256)&gt;0,"★ Yes","")</f>
        <v/>
      </c>
    </row>
    <row r="257" spans="1:9" x14ac:dyDescent="0.3">
      <c r="A257" s="18" t="s">
        <v>743</v>
      </c>
      <c r="B257" s="7"/>
      <c r="C257" s="7" t="s">
        <v>743</v>
      </c>
      <c r="D257" s="7" t="s">
        <v>743</v>
      </c>
      <c r="E257" s="6">
        <f t="shared" si="6"/>
        <v>2</v>
      </c>
      <c r="F257" s="6" t="str">
        <f t="shared" si="7"/>
        <v>RAKE + YAKE</v>
      </c>
      <c r="G257" s="7" t="s">
        <v>1687</v>
      </c>
      <c r="H257" s="7"/>
      <c r="I257" s="19" t="str">
        <f>IF(COUNTIF('Claude vs tools'!$K$2:$P$139,A257)&gt;0,"★ Yes","")</f>
        <v/>
      </c>
    </row>
    <row r="258" spans="1:9" ht="39.6" x14ac:dyDescent="0.3">
      <c r="A258" s="18" t="s">
        <v>233</v>
      </c>
      <c r="B258" s="7"/>
      <c r="C258" s="7" t="s">
        <v>233</v>
      </c>
      <c r="D258" s="7" t="s">
        <v>233</v>
      </c>
      <c r="E258" s="6">
        <f t="shared" ref="E258:E321" si="8">COUNTA(B258:D258)</f>
        <v>2</v>
      </c>
      <c r="F258" s="6" t="str">
        <f t="shared" ref="F258:F321" si="9">IF(E258=3,"All three",IF(E258=2,SUBSTITUTE(TRIM(IF(B258&lt;&gt;"","Gemini ","")&amp;IF(C258&lt;&gt;"","RAKE ","")&amp;IF(D258&lt;&gt;"","YAKE",""))," "," + "),"Only "&amp;TRIM(IF(B258&lt;&gt;"","Gemini","")&amp;IF(C258&lt;&gt;"","RAKE","")&amp;IF(D258&lt;&gt;"","YAKE",""))))</f>
        <v>RAKE + YAKE</v>
      </c>
      <c r="G258" s="7" t="s">
        <v>1688</v>
      </c>
      <c r="H258" s="7"/>
      <c r="I258" s="19" t="str">
        <f>IF(COUNTIF('Claude vs tools'!$K$2:$P$139,A258)&gt;0,"★ Yes","")</f>
        <v>★ Yes</v>
      </c>
    </row>
    <row r="259" spans="1:9" x14ac:dyDescent="0.3">
      <c r="A259" s="18" t="s">
        <v>237</v>
      </c>
      <c r="B259" s="7" t="s">
        <v>237</v>
      </c>
      <c r="C259" s="7" t="s">
        <v>237</v>
      </c>
      <c r="D259" s="7"/>
      <c r="E259" s="6">
        <f t="shared" si="8"/>
        <v>2</v>
      </c>
      <c r="F259" s="6" t="str">
        <f t="shared" si="9"/>
        <v>Gemini + RAKE</v>
      </c>
      <c r="G259" s="7" t="s">
        <v>1689</v>
      </c>
      <c r="H259" s="7"/>
      <c r="I259" s="19" t="str">
        <f>IF(COUNTIF('Claude vs tools'!$K$2:$P$139,A259)&gt;0,"★ Yes","")</f>
        <v>★ Yes</v>
      </c>
    </row>
    <row r="260" spans="1:9" ht="26.4" x14ac:dyDescent="0.3">
      <c r="A260" s="18" t="s">
        <v>744</v>
      </c>
      <c r="B260" s="7"/>
      <c r="C260" s="7" t="s">
        <v>744</v>
      </c>
      <c r="D260" s="7" t="s">
        <v>744</v>
      </c>
      <c r="E260" s="6">
        <f t="shared" si="8"/>
        <v>2</v>
      </c>
      <c r="F260" s="6" t="str">
        <f t="shared" si="9"/>
        <v>RAKE + YAKE</v>
      </c>
      <c r="G260" s="7" t="s">
        <v>1690</v>
      </c>
      <c r="H260" s="7"/>
      <c r="I260" s="19" t="str">
        <f>IF(COUNTIF('Claude vs tools'!$K$2:$P$139,A260)&gt;0,"★ Yes","")</f>
        <v/>
      </c>
    </row>
    <row r="261" spans="1:9" x14ac:dyDescent="0.3">
      <c r="A261" s="18" t="s">
        <v>318</v>
      </c>
      <c r="B261" s="7"/>
      <c r="C261" s="7" t="s">
        <v>318</v>
      </c>
      <c r="D261" s="7" t="s">
        <v>318</v>
      </c>
      <c r="E261" s="6">
        <f t="shared" si="8"/>
        <v>2</v>
      </c>
      <c r="F261" s="6" t="str">
        <f t="shared" si="9"/>
        <v>RAKE + YAKE</v>
      </c>
      <c r="G261" s="7" t="s">
        <v>1691</v>
      </c>
      <c r="H261" s="7"/>
      <c r="I261" s="19" t="str">
        <f>IF(COUNTIF('Claude vs tools'!$K$2:$P$139,A261)&gt;0,"★ Yes","")</f>
        <v>★ Yes</v>
      </c>
    </row>
    <row r="262" spans="1:9" x14ac:dyDescent="0.3">
      <c r="A262" s="18" t="s">
        <v>148</v>
      </c>
      <c r="B262" s="7"/>
      <c r="C262" s="7" t="s">
        <v>148</v>
      </c>
      <c r="D262" s="7" t="s">
        <v>148</v>
      </c>
      <c r="E262" s="6">
        <f t="shared" si="8"/>
        <v>2</v>
      </c>
      <c r="F262" s="6" t="str">
        <f t="shared" si="9"/>
        <v>RAKE + YAKE</v>
      </c>
      <c r="G262" s="7" t="s">
        <v>1692</v>
      </c>
      <c r="H262" s="7"/>
      <c r="I262" s="19" t="str">
        <f>IF(COUNTIF('Claude vs tools'!$K$2:$P$139,A262)&gt;0,"★ Yes","")</f>
        <v>★ Yes</v>
      </c>
    </row>
    <row r="263" spans="1:9" ht="26.4" x14ac:dyDescent="0.3">
      <c r="A263" s="18" t="s">
        <v>1693</v>
      </c>
      <c r="B263" s="7"/>
      <c r="C263" s="7" t="s">
        <v>1694</v>
      </c>
      <c r="D263" s="7" t="s">
        <v>1694</v>
      </c>
      <c r="E263" s="6">
        <f t="shared" si="8"/>
        <v>2</v>
      </c>
      <c r="F263" s="6" t="str">
        <f t="shared" si="9"/>
        <v>RAKE + YAKE</v>
      </c>
      <c r="G263" s="7" t="s">
        <v>1695</v>
      </c>
      <c r="H263" s="7"/>
      <c r="I263" s="19" t="str">
        <f>IF(COUNTIF('Claude vs tools'!$K$2:$P$139,A263)&gt;0,"★ Yes","")</f>
        <v/>
      </c>
    </row>
    <row r="264" spans="1:9" x14ac:dyDescent="0.3">
      <c r="A264" s="18" t="s">
        <v>746</v>
      </c>
      <c r="B264" s="7"/>
      <c r="C264" s="7" t="s">
        <v>746</v>
      </c>
      <c r="D264" s="7" t="s">
        <v>746</v>
      </c>
      <c r="E264" s="6">
        <f t="shared" si="8"/>
        <v>2</v>
      </c>
      <c r="F264" s="6" t="str">
        <f t="shared" si="9"/>
        <v>RAKE + YAKE</v>
      </c>
      <c r="G264" s="7" t="s">
        <v>1696</v>
      </c>
      <c r="H264" s="7"/>
      <c r="I264" s="19" t="str">
        <f>IF(COUNTIF('Claude vs tools'!$K$2:$P$139,A264)&gt;0,"★ Yes","")</f>
        <v/>
      </c>
    </row>
    <row r="265" spans="1:9" x14ac:dyDescent="0.3">
      <c r="A265" s="18" t="s">
        <v>747</v>
      </c>
      <c r="B265" s="7" t="s">
        <v>747</v>
      </c>
      <c r="C265" s="7"/>
      <c r="D265" s="7" t="s">
        <v>747</v>
      </c>
      <c r="E265" s="6">
        <f t="shared" si="8"/>
        <v>2</v>
      </c>
      <c r="F265" s="6" t="str">
        <f t="shared" si="9"/>
        <v>Gemini + YAKE</v>
      </c>
      <c r="G265" s="7" t="s">
        <v>1697</v>
      </c>
      <c r="H265" s="7"/>
      <c r="I265" s="19" t="str">
        <f>IF(COUNTIF('Claude vs tools'!$K$2:$P$139,A265)&gt;0,"★ Yes","")</f>
        <v/>
      </c>
    </row>
    <row r="266" spans="1:9" x14ac:dyDescent="0.3">
      <c r="A266" s="18" t="s">
        <v>748</v>
      </c>
      <c r="B266" s="7"/>
      <c r="C266" s="7" t="s">
        <v>748</v>
      </c>
      <c r="D266" s="7" t="s">
        <v>748</v>
      </c>
      <c r="E266" s="6">
        <f t="shared" si="8"/>
        <v>2</v>
      </c>
      <c r="F266" s="6" t="str">
        <f t="shared" si="9"/>
        <v>RAKE + YAKE</v>
      </c>
      <c r="G266" s="7" t="s">
        <v>1698</v>
      </c>
      <c r="H266" s="7"/>
      <c r="I266" s="19" t="str">
        <f>IF(COUNTIF('Claude vs tools'!$K$2:$P$139,A266)&gt;0,"★ Yes","")</f>
        <v/>
      </c>
    </row>
    <row r="267" spans="1:9" x14ac:dyDescent="0.3">
      <c r="A267" s="18" t="s">
        <v>749</v>
      </c>
      <c r="B267" s="7"/>
      <c r="C267" s="7" t="s">
        <v>749</v>
      </c>
      <c r="D267" s="7" t="s">
        <v>749</v>
      </c>
      <c r="E267" s="6">
        <f t="shared" si="8"/>
        <v>2</v>
      </c>
      <c r="F267" s="6" t="str">
        <f t="shared" si="9"/>
        <v>RAKE + YAKE</v>
      </c>
      <c r="G267" s="7" t="s">
        <v>1699</v>
      </c>
      <c r="H267" s="7"/>
      <c r="I267" s="19" t="str">
        <f>IF(COUNTIF('Claude vs tools'!$K$2:$P$139,A267)&gt;0,"★ Yes","")</f>
        <v/>
      </c>
    </row>
    <row r="268" spans="1:9" ht="39.6" x14ac:dyDescent="0.3">
      <c r="A268" s="18" t="s">
        <v>750</v>
      </c>
      <c r="B268" s="7"/>
      <c r="C268" s="7" t="s">
        <v>750</v>
      </c>
      <c r="D268" s="7" t="s">
        <v>750</v>
      </c>
      <c r="E268" s="6">
        <f t="shared" si="8"/>
        <v>2</v>
      </c>
      <c r="F268" s="6" t="str">
        <f t="shared" si="9"/>
        <v>RAKE + YAKE</v>
      </c>
      <c r="G268" s="7" t="s">
        <v>1700</v>
      </c>
      <c r="H268" s="7"/>
      <c r="I268" s="19" t="str">
        <f>IF(COUNTIF('Claude vs tools'!$K$2:$P$139,A268)&gt;0,"★ Yes","")</f>
        <v/>
      </c>
    </row>
    <row r="269" spans="1:9" ht="26.4" x14ac:dyDescent="0.3">
      <c r="A269" s="18" t="s">
        <v>120</v>
      </c>
      <c r="B269" s="7"/>
      <c r="C269" s="7" t="s">
        <v>120</v>
      </c>
      <c r="D269" s="7" t="s">
        <v>120</v>
      </c>
      <c r="E269" s="6">
        <f t="shared" si="8"/>
        <v>2</v>
      </c>
      <c r="F269" s="6" t="str">
        <f t="shared" si="9"/>
        <v>RAKE + YAKE</v>
      </c>
      <c r="G269" s="7" t="s">
        <v>1701</v>
      </c>
      <c r="H269" s="7"/>
      <c r="I269" s="19" t="str">
        <f>IF(COUNTIF('Claude vs tools'!$K$2:$P$139,A269)&gt;0,"★ Yes","")</f>
        <v>★ Yes</v>
      </c>
    </row>
    <row r="270" spans="1:9" x14ac:dyDescent="0.3">
      <c r="A270" s="18" t="s">
        <v>751</v>
      </c>
      <c r="B270" s="7"/>
      <c r="C270" s="7" t="s">
        <v>751</v>
      </c>
      <c r="D270" s="7" t="s">
        <v>751</v>
      </c>
      <c r="E270" s="6">
        <f t="shared" si="8"/>
        <v>2</v>
      </c>
      <c r="F270" s="6" t="str">
        <f t="shared" si="9"/>
        <v>RAKE + YAKE</v>
      </c>
      <c r="G270" s="7" t="s">
        <v>1702</v>
      </c>
      <c r="H270" s="7"/>
      <c r="I270" s="19" t="str">
        <f>IF(COUNTIF('Claude vs tools'!$K$2:$P$139,A270)&gt;0,"★ Yes","")</f>
        <v/>
      </c>
    </row>
    <row r="271" spans="1:9" ht="26.4" x14ac:dyDescent="0.3">
      <c r="A271" s="18" t="s">
        <v>752</v>
      </c>
      <c r="B271" s="7"/>
      <c r="C271" s="7" t="s">
        <v>752</v>
      </c>
      <c r="D271" s="7" t="s">
        <v>752</v>
      </c>
      <c r="E271" s="6">
        <f t="shared" si="8"/>
        <v>2</v>
      </c>
      <c r="F271" s="6" t="str">
        <f t="shared" si="9"/>
        <v>RAKE + YAKE</v>
      </c>
      <c r="G271" s="7" t="s">
        <v>1703</v>
      </c>
      <c r="H271" s="7"/>
      <c r="I271" s="19" t="str">
        <f>IF(COUNTIF('Claude vs tools'!$K$2:$P$139,A271)&gt;0,"★ Yes","")</f>
        <v/>
      </c>
    </row>
    <row r="272" spans="1:9" x14ac:dyDescent="0.3">
      <c r="A272" s="18" t="s">
        <v>243</v>
      </c>
      <c r="B272" s="7"/>
      <c r="C272" s="7" t="s">
        <v>243</v>
      </c>
      <c r="D272" s="7" t="s">
        <v>243</v>
      </c>
      <c r="E272" s="6">
        <f t="shared" si="8"/>
        <v>2</v>
      </c>
      <c r="F272" s="6" t="str">
        <f t="shared" si="9"/>
        <v>RAKE + YAKE</v>
      </c>
      <c r="G272" s="7" t="s">
        <v>1704</v>
      </c>
      <c r="H272" s="7"/>
      <c r="I272" s="19" t="str">
        <f>IF(COUNTIF('Claude vs tools'!$K$2:$P$139,A272)&gt;0,"★ Yes","")</f>
        <v>★ Yes</v>
      </c>
    </row>
    <row r="273" spans="1:9" x14ac:dyDescent="0.3">
      <c r="A273" s="18" t="s">
        <v>753</v>
      </c>
      <c r="B273" s="7"/>
      <c r="C273" s="7" t="s">
        <v>753</v>
      </c>
      <c r="D273" s="7" t="s">
        <v>753</v>
      </c>
      <c r="E273" s="6">
        <f t="shared" si="8"/>
        <v>2</v>
      </c>
      <c r="F273" s="6" t="str">
        <f t="shared" si="9"/>
        <v>RAKE + YAKE</v>
      </c>
      <c r="G273" s="7" t="s">
        <v>1705</v>
      </c>
      <c r="H273" s="7"/>
      <c r="I273" s="19" t="str">
        <f>IF(COUNTIF('Claude vs tools'!$K$2:$P$139,A273)&gt;0,"★ Yes","")</f>
        <v/>
      </c>
    </row>
    <row r="274" spans="1:9" ht="26.4" x14ac:dyDescent="0.3">
      <c r="A274" s="18" t="s">
        <v>754</v>
      </c>
      <c r="B274" s="7"/>
      <c r="C274" s="7" t="s">
        <v>754</v>
      </c>
      <c r="D274" s="7" t="s">
        <v>754</v>
      </c>
      <c r="E274" s="6">
        <f t="shared" si="8"/>
        <v>2</v>
      </c>
      <c r="F274" s="6" t="str">
        <f t="shared" si="9"/>
        <v>RAKE + YAKE</v>
      </c>
      <c r="G274" s="7" t="s">
        <v>1706</v>
      </c>
      <c r="H274" s="7"/>
      <c r="I274" s="19" t="str">
        <f>IF(COUNTIF('Claude vs tools'!$K$2:$P$139,A274)&gt;0,"★ Yes","")</f>
        <v/>
      </c>
    </row>
    <row r="275" spans="1:9" x14ac:dyDescent="0.3">
      <c r="A275" s="18" t="s">
        <v>755</v>
      </c>
      <c r="B275" s="7"/>
      <c r="C275" s="7" t="s">
        <v>755</v>
      </c>
      <c r="D275" s="7" t="s">
        <v>755</v>
      </c>
      <c r="E275" s="6">
        <f t="shared" si="8"/>
        <v>2</v>
      </c>
      <c r="F275" s="6" t="str">
        <f t="shared" si="9"/>
        <v>RAKE + YAKE</v>
      </c>
      <c r="G275" s="7" t="s">
        <v>1707</v>
      </c>
      <c r="H275" s="7"/>
      <c r="I275" s="19" t="str">
        <f>IF(COUNTIF('Claude vs tools'!$K$2:$P$139,A275)&gt;0,"★ Yes","")</f>
        <v/>
      </c>
    </row>
    <row r="276" spans="1:9" ht="39.6" x14ac:dyDescent="0.3">
      <c r="A276" s="18" t="s">
        <v>756</v>
      </c>
      <c r="B276" s="7"/>
      <c r="C276" s="7" t="s">
        <v>756</v>
      </c>
      <c r="D276" s="7" t="s">
        <v>756</v>
      </c>
      <c r="E276" s="6">
        <f t="shared" si="8"/>
        <v>2</v>
      </c>
      <c r="F276" s="6" t="str">
        <f t="shared" si="9"/>
        <v>RAKE + YAKE</v>
      </c>
      <c r="G276" s="7" t="s">
        <v>1708</v>
      </c>
      <c r="H276" s="7"/>
      <c r="I276" s="19" t="str">
        <f>IF(COUNTIF('Claude vs tools'!$K$2:$P$139,A276)&gt;0,"★ Yes","")</f>
        <v/>
      </c>
    </row>
    <row r="277" spans="1:9" x14ac:dyDescent="0.3">
      <c r="A277" s="18" t="s">
        <v>757</v>
      </c>
      <c r="B277" s="7"/>
      <c r="C277" s="7" t="s">
        <v>757</v>
      </c>
      <c r="D277" s="7" t="s">
        <v>757</v>
      </c>
      <c r="E277" s="6">
        <f t="shared" si="8"/>
        <v>2</v>
      </c>
      <c r="F277" s="6" t="str">
        <f t="shared" si="9"/>
        <v>RAKE + YAKE</v>
      </c>
      <c r="G277" s="7" t="s">
        <v>1709</v>
      </c>
      <c r="H277" s="7"/>
      <c r="I277" s="19" t="str">
        <f>IF(COUNTIF('Claude vs tools'!$K$2:$P$139,A277)&gt;0,"★ Yes","")</f>
        <v/>
      </c>
    </row>
    <row r="278" spans="1:9" ht="26.4" x14ac:dyDescent="0.3">
      <c r="A278" s="18" t="s">
        <v>758</v>
      </c>
      <c r="B278" s="7"/>
      <c r="C278" s="7" t="s">
        <v>758</v>
      </c>
      <c r="D278" s="7" t="s">
        <v>758</v>
      </c>
      <c r="E278" s="6">
        <f t="shared" si="8"/>
        <v>2</v>
      </c>
      <c r="F278" s="6" t="str">
        <f t="shared" si="9"/>
        <v>RAKE + YAKE</v>
      </c>
      <c r="G278" s="7" t="s">
        <v>1710</v>
      </c>
      <c r="H278" s="7"/>
      <c r="I278" s="19" t="str">
        <f>IF(COUNTIF('Claude vs tools'!$K$2:$P$139,A278)&gt;0,"★ Yes","")</f>
        <v/>
      </c>
    </row>
    <row r="279" spans="1:9" ht="26.4" x14ac:dyDescent="0.3">
      <c r="A279" s="18" t="s">
        <v>759</v>
      </c>
      <c r="B279" s="7"/>
      <c r="C279" s="7" t="s">
        <v>759</v>
      </c>
      <c r="D279" s="7" t="s">
        <v>759</v>
      </c>
      <c r="E279" s="6">
        <f t="shared" si="8"/>
        <v>2</v>
      </c>
      <c r="F279" s="6" t="str">
        <f t="shared" si="9"/>
        <v>RAKE + YAKE</v>
      </c>
      <c r="G279" s="7" t="s">
        <v>1711</v>
      </c>
      <c r="H279" s="7"/>
      <c r="I279" s="19" t="str">
        <f>IF(COUNTIF('Claude vs tools'!$K$2:$P$139,A279)&gt;0,"★ Yes","")</f>
        <v/>
      </c>
    </row>
    <row r="280" spans="1:9" ht="26.4" x14ac:dyDescent="0.3">
      <c r="A280" s="18" t="s">
        <v>760</v>
      </c>
      <c r="B280" s="7"/>
      <c r="C280" s="7" t="s">
        <v>760</v>
      </c>
      <c r="D280" s="7" t="s">
        <v>760</v>
      </c>
      <c r="E280" s="6">
        <f t="shared" si="8"/>
        <v>2</v>
      </c>
      <c r="F280" s="6" t="str">
        <f t="shared" si="9"/>
        <v>RAKE + YAKE</v>
      </c>
      <c r="G280" s="7" t="s">
        <v>1712</v>
      </c>
      <c r="H280" s="7"/>
      <c r="I280" s="19" t="str">
        <f>IF(COUNTIF('Claude vs tools'!$K$2:$P$139,A280)&gt;0,"★ Yes","")</f>
        <v/>
      </c>
    </row>
    <row r="281" spans="1:9" x14ac:dyDescent="0.3">
      <c r="A281" s="18" t="s">
        <v>761</v>
      </c>
      <c r="B281" s="7"/>
      <c r="C281" s="7" t="s">
        <v>761</v>
      </c>
      <c r="D281" s="7" t="s">
        <v>761</v>
      </c>
      <c r="E281" s="6">
        <f t="shared" si="8"/>
        <v>2</v>
      </c>
      <c r="F281" s="6" t="str">
        <f t="shared" si="9"/>
        <v>RAKE + YAKE</v>
      </c>
      <c r="G281" s="7" t="s">
        <v>1713</v>
      </c>
      <c r="H281" s="7"/>
      <c r="I281" s="19" t="str">
        <f>IF(COUNTIF('Claude vs tools'!$K$2:$P$139,A281)&gt;0,"★ Yes","")</f>
        <v/>
      </c>
    </row>
    <row r="282" spans="1:9" ht="26.4" x14ac:dyDescent="0.3">
      <c r="A282" s="18" t="s">
        <v>762</v>
      </c>
      <c r="B282" s="7"/>
      <c r="C282" s="7" t="s">
        <v>762</v>
      </c>
      <c r="D282" s="7" t="s">
        <v>762</v>
      </c>
      <c r="E282" s="6">
        <f t="shared" si="8"/>
        <v>2</v>
      </c>
      <c r="F282" s="6" t="str">
        <f t="shared" si="9"/>
        <v>RAKE + YAKE</v>
      </c>
      <c r="G282" s="7" t="s">
        <v>1714</v>
      </c>
      <c r="H282" s="7"/>
      <c r="I282" s="19" t="str">
        <f>IF(COUNTIF('Claude vs tools'!$K$2:$P$139,A282)&gt;0,"★ Yes","")</f>
        <v/>
      </c>
    </row>
    <row r="283" spans="1:9" ht="26.4" x14ac:dyDescent="0.3">
      <c r="A283" s="18" t="s">
        <v>508</v>
      </c>
      <c r="B283" s="7"/>
      <c r="C283" s="7" t="s">
        <v>508</v>
      </c>
      <c r="D283" s="7" t="s">
        <v>508</v>
      </c>
      <c r="E283" s="6">
        <f t="shared" si="8"/>
        <v>2</v>
      </c>
      <c r="F283" s="6" t="str">
        <f t="shared" si="9"/>
        <v>RAKE + YAKE</v>
      </c>
      <c r="G283" s="7" t="s">
        <v>1715</v>
      </c>
      <c r="H283" s="7"/>
      <c r="I283" s="19" t="str">
        <f>IF(COUNTIF('Claude vs tools'!$K$2:$P$139,A283)&gt;0,"★ Yes","")</f>
        <v>★ Yes</v>
      </c>
    </row>
    <row r="284" spans="1:9" ht="26.4" x14ac:dyDescent="0.3">
      <c r="A284" s="18" t="s">
        <v>505</v>
      </c>
      <c r="B284" s="7"/>
      <c r="C284" s="7" t="s">
        <v>504</v>
      </c>
      <c r="D284" s="7" t="s">
        <v>1716</v>
      </c>
      <c r="E284" s="6">
        <f t="shared" si="8"/>
        <v>2</v>
      </c>
      <c r="F284" s="6" t="str">
        <f t="shared" si="9"/>
        <v>RAKE + YAKE</v>
      </c>
      <c r="G284" s="7" t="s">
        <v>1717</v>
      </c>
      <c r="H284" s="7"/>
      <c r="I284" s="19" t="str">
        <f>IF(COUNTIF('Claude vs tools'!$K$2:$P$139,A284)&gt;0,"★ Yes","")</f>
        <v>★ Yes</v>
      </c>
    </row>
    <row r="285" spans="1:9" x14ac:dyDescent="0.3">
      <c r="A285" s="18" t="s">
        <v>763</v>
      </c>
      <c r="B285" s="7"/>
      <c r="C285" s="7" t="s">
        <v>763</v>
      </c>
      <c r="D285" s="7" t="s">
        <v>763</v>
      </c>
      <c r="E285" s="6">
        <f t="shared" si="8"/>
        <v>2</v>
      </c>
      <c r="F285" s="6" t="str">
        <f t="shared" si="9"/>
        <v>RAKE + YAKE</v>
      </c>
      <c r="G285" s="7" t="s">
        <v>1718</v>
      </c>
      <c r="H285" s="7"/>
      <c r="I285" s="19" t="str">
        <f>IF(COUNTIF('Claude vs tools'!$K$2:$P$139,A285)&gt;0,"★ Yes","")</f>
        <v/>
      </c>
    </row>
    <row r="286" spans="1:9" x14ac:dyDescent="0.3">
      <c r="A286" s="18" t="s">
        <v>764</v>
      </c>
      <c r="B286" s="7" t="s">
        <v>764</v>
      </c>
      <c r="C286" s="7"/>
      <c r="D286" s="7" t="s">
        <v>764</v>
      </c>
      <c r="E286" s="6">
        <f t="shared" si="8"/>
        <v>2</v>
      </c>
      <c r="F286" s="6" t="str">
        <f t="shared" si="9"/>
        <v>Gemini + YAKE</v>
      </c>
      <c r="G286" s="7" t="s">
        <v>795</v>
      </c>
      <c r="H286" s="7"/>
      <c r="I286" s="19" t="str">
        <f>IF(COUNTIF('Claude vs tools'!$K$2:$P$139,A286)&gt;0,"★ Yes","")</f>
        <v/>
      </c>
    </row>
    <row r="287" spans="1:9" x14ac:dyDescent="0.3">
      <c r="A287" s="18" t="s">
        <v>766</v>
      </c>
      <c r="B287" s="7"/>
      <c r="C287" s="7" t="s">
        <v>765</v>
      </c>
      <c r="D287" s="7" t="s">
        <v>766</v>
      </c>
      <c r="E287" s="6">
        <f t="shared" si="8"/>
        <v>2</v>
      </c>
      <c r="F287" s="6" t="str">
        <f t="shared" si="9"/>
        <v>RAKE + YAKE</v>
      </c>
      <c r="G287" s="7" t="s">
        <v>1719</v>
      </c>
      <c r="H287" s="7"/>
      <c r="I287" s="19" t="str">
        <f>IF(COUNTIF('Claude vs tools'!$K$2:$P$139,A287)&gt;0,"★ Yes","")</f>
        <v/>
      </c>
    </row>
    <row r="288" spans="1:9" x14ac:dyDescent="0.3">
      <c r="A288" s="18" t="s">
        <v>413</v>
      </c>
      <c r="B288" s="7" t="s">
        <v>413</v>
      </c>
      <c r="C288" s="7"/>
      <c r="D288" s="7" t="s">
        <v>413</v>
      </c>
      <c r="E288" s="6">
        <f t="shared" si="8"/>
        <v>2</v>
      </c>
      <c r="F288" s="6" t="str">
        <f t="shared" si="9"/>
        <v>Gemini + YAKE</v>
      </c>
      <c r="G288" s="7" t="s">
        <v>795</v>
      </c>
      <c r="H288" s="7"/>
      <c r="I288" s="19" t="str">
        <f>IF(COUNTIF('Claude vs tools'!$K$2:$P$139,A288)&gt;0,"★ Yes","")</f>
        <v>★ Yes</v>
      </c>
    </row>
    <row r="289" spans="1:9" x14ac:dyDescent="0.3">
      <c r="A289" s="18" t="s">
        <v>767</v>
      </c>
      <c r="B289" s="7"/>
      <c r="C289" s="7" t="s">
        <v>767</v>
      </c>
      <c r="D289" s="7" t="s">
        <v>767</v>
      </c>
      <c r="E289" s="6">
        <f t="shared" si="8"/>
        <v>2</v>
      </c>
      <c r="F289" s="6" t="str">
        <f t="shared" si="9"/>
        <v>RAKE + YAKE</v>
      </c>
      <c r="G289" s="7" t="s">
        <v>1720</v>
      </c>
      <c r="H289" s="7"/>
      <c r="I289" s="19" t="str">
        <f>IF(COUNTIF('Claude vs tools'!$K$2:$P$139,A289)&gt;0,"★ Yes","")</f>
        <v/>
      </c>
    </row>
    <row r="290" spans="1:9" x14ac:dyDescent="0.3">
      <c r="A290" s="18" t="s">
        <v>768</v>
      </c>
      <c r="B290" s="7" t="s">
        <v>768</v>
      </c>
      <c r="C290" s="7"/>
      <c r="D290" s="7" t="s">
        <v>768</v>
      </c>
      <c r="E290" s="6">
        <f t="shared" si="8"/>
        <v>2</v>
      </c>
      <c r="F290" s="6" t="str">
        <f t="shared" si="9"/>
        <v>Gemini + YAKE</v>
      </c>
      <c r="G290" s="7" t="s">
        <v>1721</v>
      </c>
      <c r="H290" s="7"/>
      <c r="I290" s="19" t="str">
        <f>IF(COUNTIF('Claude vs tools'!$K$2:$P$139,A290)&gt;0,"★ Yes","")</f>
        <v/>
      </c>
    </row>
    <row r="291" spans="1:9" x14ac:dyDescent="0.3">
      <c r="A291" s="18" t="s">
        <v>769</v>
      </c>
      <c r="B291" s="7" t="s">
        <v>769</v>
      </c>
      <c r="C291" s="7"/>
      <c r="D291" s="7" t="s">
        <v>769</v>
      </c>
      <c r="E291" s="6">
        <f t="shared" si="8"/>
        <v>2</v>
      </c>
      <c r="F291" s="6" t="str">
        <f t="shared" si="9"/>
        <v>Gemini + YAKE</v>
      </c>
      <c r="G291" s="7" t="s">
        <v>1722</v>
      </c>
      <c r="H291" s="7"/>
      <c r="I291" s="19" t="str">
        <f>IF(COUNTIF('Claude vs tools'!$K$2:$P$139,A291)&gt;0,"★ Yes","")</f>
        <v/>
      </c>
    </row>
    <row r="292" spans="1:9" x14ac:dyDescent="0.3">
      <c r="A292" s="18" t="s">
        <v>770</v>
      </c>
      <c r="B292" s="7" t="s">
        <v>770</v>
      </c>
      <c r="C292" s="7"/>
      <c r="D292" s="7" t="s">
        <v>770</v>
      </c>
      <c r="E292" s="6">
        <f t="shared" si="8"/>
        <v>2</v>
      </c>
      <c r="F292" s="6" t="str">
        <f t="shared" si="9"/>
        <v>Gemini + YAKE</v>
      </c>
      <c r="G292" s="7" t="s">
        <v>1723</v>
      </c>
      <c r="H292" s="7"/>
      <c r="I292" s="19" t="str">
        <f>IF(COUNTIF('Claude vs tools'!$K$2:$P$139,A292)&gt;0,"★ Yes","")</f>
        <v/>
      </c>
    </row>
    <row r="293" spans="1:9" ht="26.4" x14ac:dyDescent="0.3">
      <c r="A293" s="18" t="s">
        <v>771</v>
      </c>
      <c r="B293" s="7"/>
      <c r="C293" s="7" t="s">
        <v>771</v>
      </c>
      <c r="D293" s="7" t="s">
        <v>771</v>
      </c>
      <c r="E293" s="6">
        <f t="shared" si="8"/>
        <v>2</v>
      </c>
      <c r="F293" s="6" t="str">
        <f t="shared" si="9"/>
        <v>RAKE + YAKE</v>
      </c>
      <c r="G293" s="7" t="s">
        <v>1724</v>
      </c>
      <c r="H293" s="7"/>
      <c r="I293" s="19" t="str">
        <f>IF(COUNTIF('Claude vs tools'!$K$2:$P$139,A293)&gt;0,"★ Yes","")</f>
        <v/>
      </c>
    </row>
    <row r="294" spans="1:9" ht="26.4" x14ac:dyDescent="0.3">
      <c r="A294" s="18" t="s">
        <v>772</v>
      </c>
      <c r="B294" s="7"/>
      <c r="C294" s="7" t="s">
        <v>772</v>
      </c>
      <c r="D294" s="7" t="s">
        <v>772</v>
      </c>
      <c r="E294" s="6">
        <f t="shared" si="8"/>
        <v>2</v>
      </c>
      <c r="F294" s="6" t="str">
        <f t="shared" si="9"/>
        <v>RAKE + YAKE</v>
      </c>
      <c r="G294" s="7" t="s">
        <v>1725</v>
      </c>
      <c r="H294" s="7"/>
      <c r="I294" s="19" t="str">
        <f>IF(COUNTIF('Claude vs tools'!$K$2:$P$139,A294)&gt;0,"★ Yes","")</f>
        <v/>
      </c>
    </row>
    <row r="295" spans="1:9" ht="26.4" x14ac:dyDescent="0.3">
      <c r="A295" s="18" t="s">
        <v>773</v>
      </c>
      <c r="B295" s="7"/>
      <c r="C295" s="7" t="s">
        <v>773</v>
      </c>
      <c r="D295" s="7" t="s">
        <v>1726</v>
      </c>
      <c r="E295" s="6">
        <f t="shared" si="8"/>
        <v>2</v>
      </c>
      <c r="F295" s="6" t="str">
        <f t="shared" si="9"/>
        <v>RAKE + YAKE</v>
      </c>
      <c r="G295" s="7" t="s">
        <v>1727</v>
      </c>
      <c r="H295" s="7"/>
      <c r="I295" s="19" t="str">
        <f>IF(COUNTIF('Claude vs tools'!$K$2:$P$139,A295)&gt;0,"★ Yes","")</f>
        <v/>
      </c>
    </row>
    <row r="296" spans="1:9" x14ac:dyDescent="0.3">
      <c r="A296" s="18" t="s">
        <v>775</v>
      </c>
      <c r="B296" s="7"/>
      <c r="C296" s="7" t="s">
        <v>775</v>
      </c>
      <c r="D296" s="7" t="s">
        <v>775</v>
      </c>
      <c r="E296" s="6">
        <f t="shared" si="8"/>
        <v>2</v>
      </c>
      <c r="F296" s="6" t="str">
        <f t="shared" si="9"/>
        <v>RAKE + YAKE</v>
      </c>
      <c r="G296" s="7" t="s">
        <v>1728</v>
      </c>
      <c r="H296" s="7"/>
      <c r="I296" s="19" t="str">
        <f>IF(COUNTIF('Claude vs tools'!$K$2:$P$139,A296)&gt;0,"★ Yes","")</f>
        <v/>
      </c>
    </row>
    <row r="297" spans="1:9" x14ac:dyDescent="0.3">
      <c r="A297" s="18" t="s">
        <v>144</v>
      </c>
      <c r="B297" s="7"/>
      <c r="C297" s="7" t="s">
        <v>144</v>
      </c>
      <c r="D297" s="7" t="s">
        <v>144</v>
      </c>
      <c r="E297" s="6">
        <f t="shared" si="8"/>
        <v>2</v>
      </c>
      <c r="F297" s="6" t="str">
        <f t="shared" si="9"/>
        <v>RAKE + YAKE</v>
      </c>
      <c r="G297" s="7" t="s">
        <v>1729</v>
      </c>
      <c r="H297" s="7"/>
      <c r="I297" s="19" t="str">
        <f>IF(COUNTIF('Claude vs tools'!$K$2:$P$139,A297)&gt;0,"★ Yes","")</f>
        <v>★ Yes</v>
      </c>
    </row>
    <row r="298" spans="1:9" x14ac:dyDescent="0.3">
      <c r="A298" s="18" t="s">
        <v>776</v>
      </c>
      <c r="B298" s="7"/>
      <c r="C298" s="7" t="s">
        <v>776</v>
      </c>
      <c r="D298" s="7" t="s">
        <v>776</v>
      </c>
      <c r="E298" s="6">
        <f t="shared" si="8"/>
        <v>2</v>
      </c>
      <c r="F298" s="6" t="str">
        <f t="shared" si="9"/>
        <v>RAKE + YAKE</v>
      </c>
      <c r="G298" s="7" t="s">
        <v>795</v>
      </c>
      <c r="H298" s="7"/>
      <c r="I298" s="19" t="str">
        <f>IF(COUNTIF('Claude vs tools'!$K$2:$P$139,A298)&gt;0,"★ Yes","")</f>
        <v/>
      </c>
    </row>
    <row r="299" spans="1:9" x14ac:dyDescent="0.3">
      <c r="A299" s="18" t="s">
        <v>777</v>
      </c>
      <c r="B299" s="7"/>
      <c r="C299" s="7" t="s">
        <v>777</v>
      </c>
      <c r="D299" s="7" t="s">
        <v>777</v>
      </c>
      <c r="E299" s="6">
        <f t="shared" si="8"/>
        <v>2</v>
      </c>
      <c r="F299" s="6" t="str">
        <f t="shared" si="9"/>
        <v>RAKE + YAKE</v>
      </c>
      <c r="G299" s="7" t="s">
        <v>1730</v>
      </c>
      <c r="H299" s="7"/>
      <c r="I299" s="19" t="str">
        <f>IF(COUNTIF('Claude vs tools'!$K$2:$P$139,A299)&gt;0,"★ Yes","")</f>
        <v/>
      </c>
    </row>
    <row r="300" spans="1:9" ht="26.4" x14ac:dyDescent="0.3">
      <c r="A300" s="18" t="s">
        <v>778</v>
      </c>
      <c r="B300" s="7"/>
      <c r="C300" s="7" t="s">
        <v>778</v>
      </c>
      <c r="D300" s="7" t="s">
        <v>778</v>
      </c>
      <c r="E300" s="6">
        <f t="shared" si="8"/>
        <v>2</v>
      </c>
      <c r="F300" s="6" t="str">
        <f t="shared" si="9"/>
        <v>RAKE + YAKE</v>
      </c>
      <c r="G300" s="7" t="s">
        <v>1731</v>
      </c>
      <c r="H300" s="7"/>
      <c r="I300" s="19" t="str">
        <f>IF(COUNTIF('Claude vs tools'!$K$2:$P$139,A300)&gt;0,"★ Yes","")</f>
        <v/>
      </c>
    </row>
    <row r="301" spans="1:9" x14ac:dyDescent="0.3">
      <c r="A301" s="18" t="s">
        <v>779</v>
      </c>
      <c r="B301" s="7"/>
      <c r="C301" s="7" t="s">
        <v>779</v>
      </c>
      <c r="D301" s="7" t="s">
        <v>779</v>
      </c>
      <c r="E301" s="6">
        <f t="shared" si="8"/>
        <v>2</v>
      </c>
      <c r="F301" s="6" t="str">
        <f t="shared" si="9"/>
        <v>RAKE + YAKE</v>
      </c>
      <c r="G301" s="7" t="s">
        <v>1732</v>
      </c>
      <c r="H301" s="7"/>
      <c r="I301" s="19" t="str">
        <f>IF(COUNTIF('Claude vs tools'!$K$2:$P$139,A301)&gt;0,"★ Yes","")</f>
        <v/>
      </c>
    </row>
    <row r="302" spans="1:9" x14ac:dyDescent="0.3">
      <c r="A302" s="18" t="s">
        <v>22</v>
      </c>
      <c r="B302" s="7"/>
      <c r="C302" s="7" t="s">
        <v>22</v>
      </c>
      <c r="D302" s="7" t="s">
        <v>22</v>
      </c>
      <c r="E302" s="6">
        <f t="shared" si="8"/>
        <v>2</v>
      </c>
      <c r="F302" s="6" t="str">
        <f t="shared" si="9"/>
        <v>RAKE + YAKE</v>
      </c>
      <c r="G302" s="7" t="s">
        <v>1733</v>
      </c>
      <c r="H302" s="7"/>
      <c r="I302" s="19" t="str">
        <f>IF(COUNTIF('Claude vs tools'!$K$2:$P$139,A302)&gt;0,"★ Yes","")</f>
        <v>★ Yes</v>
      </c>
    </row>
    <row r="303" spans="1:9" ht="26.4" x14ac:dyDescent="0.3">
      <c r="A303" s="18" t="s">
        <v>780</v>
      </c>
      <c r="B303" s="7"/>
      <c r="C303" s="7" t="s">
        <v>780</v>
      </c>
      <c r="D303" s="7" t="s">
        <v>780</v>
      </c>
      <c r="E303" s="6">
        <f t="shared" si="8"/>
        <v>2</v>
      </c>
      <c r="F303" s="6" t="str">
        <f t="shared" si="9"/>
        <v>RAKE + YAKE</v>
      </c>
      <c r="G303" s="7" t="s">
        <v>1734</v>
      </c>
      <c r="H303" s="7"/>
      <c r="I303" s="19" t="str">
        <f>IF(COUNTIF('Claude vs tools'!$K$2:$P$139,A303)&gt;0,"★ Yes","")</f>
        <v/>
      </c>
    </row>
    <row r="304" spans="1:9" x14ac:dyDescent="0.3">
      <c r="A304" s="18" t="s">
        <v>781</v>
      </c>
      <c r="B304" s="7" t="s">
        <v>781</v>
      </c>
      <c r="C304" s="7"/>
      <c r="D304" s="7" t="s">
        <v>781</v>
      </c>
      <c r="E304" s="6">
        <f t="shared" si="8"/>
        <v>2</v>
      </c>
      <c r="F304" s="6" t="str">
        <f t="shared" si="9"/>
        <v>Gemini + YAKE</v>
      </c>
      <c r="G304" s="7" t="s">
        <v>1735</v>
      </c>
      <c r="H304" s="7"/>
      <c r="I304" s="19" t="str">
        <f>IF(COUNTIF('Claude vs tools'!$K$2:$P$139,A304)&gt;0,"★ Yes","")</f>
        <v/>
      </c>
    </row>
    <row r="305" spans="1:9" x14ac:dyDescent="0.3">
      <c r="A305" s="18" t="s">
        <v>40</v>
      </c>
      <c r="B305" s="7" t="s">
        <v>40</v>
      </c>
      <c r="C305" s="7" t="s">
        <v>40</v>
      </c>
      <c r="D305" s="7"/>
      <c r="E305" s="6">
        <f t="shared" si="8"/>
        <v>2</v>
      </c>
      <c r="F305" s="6" t="str">
        <f t="shared" si="9"/>
        <v>Gemini + RAKE</v>
      </c>
      <c r="G305" s="7" t="s">
        <v>1622</v>
      </c>
      <c r="H305" s="7"/>
      <c r="I305" s="19" t="str">
        <f>IF(COUNTIF('Claude vs tools'!$K$2:$P$139,A305)&gt;0,"★ Yes","")</f>
        <v>★ Yes</v>
      </c>
    </row>
    <row r="306" spans="1:9" x14ac:dyDescent="0.3">
      <c r="A306" s="18" t="s">
        <v>216</v>
      </c>
      <c r="B306" s="7"/>
      <c r="C306" s="7" t="s">
        <v>216</v>
      </c>
      <c r="D306" s="7" t="s">
        <v>216</v>
      </c>
      <c r="E306" s="6">
        <f t="shared" si="8"/>
        <v>2</v>
      </c>
      <c r="F306" s="6" t="str">
        <f t="shared" si="9"/>
        <v>RAKE + YAKE</v>
      </c>
      <c r="G306" s="7" t="s">
        <v>1736</v>
      </c>
      <c r="H306" s="7"/>
      <c r="I306" s="19" t="str">
        <f>IF(COUNTIF('Claude vs tools'!$K$2:$P$139,A306)&gt;0,"★ Yes","")</f>
        <v>★ Yes</v>
      </c>
    </row>
    <row r="307" spans="1:9" x14ac:dyDescent="0.3">
      <c r="A307" s="18" t="s">
        <v>783</v>
      </c>
      <c r="B307" s="7"/>
      <c r="C307" s="7" t="s">
        <v>782</v>
      </c>
      <c r="D307" s="7" t="s">
        <v>783</v>
      </c>
      <c r="E307" s="6">
        <f t="shared" si="8"/>
        <v>2</v>
      </c>
      <c r="F307" s="6" t="str">
        <f t="shared" si="9"/>
        <v>RAKE + YAKE</v>
      </c>
      <c r="G307" s="7" t="s">
        <v>1737</v>
      </c>
      <c r="H307" s="7"/>
      <c r="I307" s="19" t="str">
        <f>IF(COUNTIF('Claude vs tools'!$K$2:$P$139,A307)&gt;0,"★ Yes","")</f>
        <v/>
      </c>
    </row>
    <row r="308" spans="1:9" ht="26.4" x14ac:dyDescent="0.3">
      <c r="A308" s="18" t="s">
        <v>787</v>
      </c>
      <c r="B308" s="7"/>
      <c r="C308" s="7" t="s">
        <v>786</v>
      </c>
      <c r="D308" s="7" t="s">
        <v>787</v>
      </c>
      <c r="E308" s="6">
        <f t="shared" si="8"/>
        <v>2</v>
      </c>
      <c r="F308" s="6" t="str">
        <f t="shared" si="9"/>
        <v>RAKE + YAKE</v>
      </c>
      <c r="G308" s="7" t="s">
        <v>1738</v>
      </c>
      <c r="H308" s="7"/>
      <c r="I308" s="19" t="str">
        <f>IF(COUNTIF('Claude vs tools'!$K$2:$P$139,A308)&gt;0,"★ Yes","")</f>
        <v/>
      </c>
    </row>
    <row r="309" spans="1:9" ht="26.4" x14ac:dyDescent="0.3">
      <c r="A309" s="18" t="s">
        <v>108</v>
      </c>
      <c r="B309" s="7"/>
      <c r="C309" s="7" t="s">
        <v>1739</v>
      </c>
      <c r="D309" s="7" t="s">
        <v>108</v>
      </c>
      <c r="E309" s="6">
        <f t="shared" si="8"/>
        <v>2</v>
      </c>
      <c r="F309" s="6" t="str">
        <f t="shared" si="9"/>
        <v>RAKE + YAKE</v>
      </c>
      <c r="G309" s="7" t="s">
        <v>1740</v>
      </c>
      <c r="H309" s="7"/>
      <c r="I309" s="19" t="str">
        <f>IF(COUNTIF('Claude vs tools'!$K$2:$P$139,A309)&gt;0,"★ Yes","")</f>
        <v>★ Yes</v>
      </c>
    </row>
    <row r="310" spans="1:9" ht="26.4" x14ac:dyDescent="0.3">
      <c r="A310" s="18" t="s">
        <v>784</v>
      </c>
      <c r="B310" s="7"/>
      <c r="C310" s="7" t="s">
        <v>784</v>
      </c>
      <c r="D310" s="7" t="s">
        <v>784</v>
      </c>
      <c r="E310" s="6">
        <f t="shared" si="8"/>
        <v>2</v>
      </c>
      <c r="F310" s="6" t="str">
        <f t="shared" si="9"/>
        <v>RAKE + YAKE</v>
      </c>
      <c r="G310" s="7" t="s">
        <v>1741</v>
      </c>
      <c r="H310" s="7"/>
      <c r="I310" s="19" t="str">
        <f>IF(COUNTIF('Claude vs tools'!$K$2:$P$139,A310)&gt;0,"★ Yes","")</f>
        <v/>
      </c>
    </row>
    <row r="311" spans="1:9" x14ac:dyDescent="0.3">
      <c r="A311" s="18" t="s">
        <v>785</v>
      </c>
      <c r="B311" s="7"/>
      <c r="C311" s="7" t="s">
        <v>785</v>
      </c>
      <c r="D311" s="7" t="s">
        <v>785</v>
      </c>
      <c r="E311" s="6">
        <f t="shared" si="8"/>
        <v>2</v>
      </c>
      <c r="F311" s="6" t="str">
        <f t="shared" si="9"/>
        <v>RAKE + YAKE</v>
      </c>
      <c r="G311" s="7" t="s">
        <v>1742</v>
      </c>
      <c r="H311" s="7"/>
      <c r="I311" s="19" t="str">
        <f>IF(COUNTIF('Claude vs tools'!$K$2:$P$139,A311)&gt;0,"★ Yes","")</f>
        <v/>
      </c>
    </row>
    <row r="312" spans="1:9" x14ac:dyDescent="0.3">
      <c r="A312" s="18" t="s">
        <v>788</v>
      </c>
      <c r="B312" s="7"/>
      <c r="C312" s="7" t="s">
        <v>788</v>
      </c>
      <c r="D312" s="7" t="s">
        <v>788</v>
      </c>
      <c r="E312" s="6">
        <f t="shared" si="8"/>
        <v>2</v>
      </c>
      <c r="F312" s="6" t="str">
        <f t="shared" si="9"/>
        <v>RAKE + YAKE</v>
      </c>
      <c r="G312" s="7" t="s">
        <v>1743</v>
      </c>
      <c r="H312" s="7"/>
      <c r="I312" s="19" t="str">
        <f>IF(COUNTIF('Claude vs tools'!$K$2:$P$139,A312)&gt;0,"★ Yes","")</f>
        <v/>
      </c>
    </row>
    <row r="313" spans="1:9" ht="26.4" x14ac:dyDescent="0.3">
      <c r="A313" s="18" t="s">
        <v>789</v>
      </c>
      <c r="B313" s="7"/>
      <c r="C313" s="7" t="s">
        <v>789</v>
      </c>
      <c r="D313" s="7" t="s">
        <v>789</v>
      </c>
      <c r="E313" s="6">
        <f t="shared" si="8"/>
        <v>2</v>
      </c>
      <c r="F313" s="6" t="str">
        <f t="shared" si="9"/>
        <v>RAKE + YAKE</v>
      </c>
      <c r="G313" s="7" t="s">
        <v>1744</v>
      </c>
      <c r="H313" s="7"/>
      <c r="I313" s="19" t="str">
        <f>IF(COUNTIF('Claude vs tools'!$K$2:$P$139,A313)&gt;0,"★ Yes","")</f>
        <v/>
      </c>
    </row>
    <row r="314" spans="1:9" x14ac:dyDescent="0.3">
      <c r="A314" s="18" t="s">
        <v>790</v>
      </c>
      <c r="B314" s="7" t="s">
        <v>790</v>
      </c>
      <c r="C314" s="7"/>
      <c r="D314" s="7" t="s">
        <v>790</v>
      </c>
      <c r="E314" s="6">
        <f t="shared" si="8"/>
        <v>2</v>
      </c>
      <c r="F314" s="6" t="str">
        <f t="shared" si="9"/>
        <v>Gemini + YAKE</v>
      </c>
      <c r="G314" s="7" t="s">
        <v>1745</v>
      </c>
      <c r="H314" s="7"/>
      <c r="I314" s="19" t="str">
        <f>IF(COUNTIF('Claude vs tools'!$K$2:$P$139,A314)&gt;0,"★ Yes","")</f>
        <v/>
      </c>
    </row>
    <row r="315" spans="1:9" x14ac:dyDescent="0.3">
      <c r="A315" s="18" t="s">
        <v>791</v>
      </c>
      <c r="B315" s="7" t="s">
        <v>791</v>
      </c>
      <c r="C315" s="7"/>
      <c r="D315" s="7" t="s">
        <v>791</v>
      </c>
      <c r="E315" s="6">
        <f t="shared" si="8"/>
        <v>2</v>
      </c>
      <c r="F315" s="6" t="str">
        <f t="shared" si="9"/>
        <v>Gemini + YAKE</v>
      </c>
      <c r="G315" s="7" t="s">
        <v>1746</v>
      </c>
      <c r="H315" s="7"/>
      <c r="I315" s="19" t="str">
        <f>IF(COUNTIF('Claude vs tools'!$K$2:$P$139,A315)&gt;0,"★ Yes","")</f>
        <v/>
      </c>
    </row>
    <row r="316" spans="1:9" x14ac:dyDescent="0.3">
      <c r="A316" s="18" t="s">
        <v>315</v>
      </c>
      <c r="B316" s="7"/>
      <c r="C316" s="7" t="s">
        <v>315</v>
      </c>
      <c r="D316" s="7" t="s">
        <v>315</v>
      </c>
      <c r="E316" s="6">
        <f t="shared" si="8"/>
        <v>2</v>
      </c>
      <c r="F316" s="6" t="str">
        <f t="shared" si="9"/>
        <v>RAKE + YAKE</v>
      </c>
      <c r="G316" s="7" t="s">
        <v>1747</v>
      </c>
      <c r="H316" s="7"/>
      <c r="I316" s="19" t="str">
        <f>IF(COUNTIF('Claude vs tools'!$K$2:$P$139,A316)&gt;0,"★ Yes","")</f>
        <v>★ Yes</v>
      </c>
    </row>
    <row r="317" spans="1:9" ht="26.4" x14ac:dyDescent="0.3">
      <c r="A317" s="18" t="s">
        <v>792</v>
      </c>
      <c r="B317" s="7" t="s">
        <v>792</v>
      </c>
      <c r="C317" s="7"/>
      <c r="D317" s="7" t="s">
        <v>792</v>
      </c>
      <c r="E317" s="6">
        <f t="shared" si="8"/>
        <v>2</v>
      </c>
      <c r="F317" s="6" t="str">
        <f t="shared" si="9"/>
        <v>Gemini + YAKE</v>
      </c>
      <c r="G317" s="7" t="s">
        <v>1748</v>
      </c>
      <c r="H317" s="7"/>
      <c r="I317" s="19" t="str">
        <f>IF(COUNTIF('Claude vs tools'!$K$2:$P$139,A317)&gt;0,"★ Yes","")</f>
        <v/>
      </c>
    </row>
    <row r="318" spans="1:9" x14ac:dyDescent="0.3">
      <c r="A318" s="18" t="s">
        <v>793</v>
      </c>
      <c r="B318" s="7"/>
      <c r="C318" s="7" t="s">
        <v>793</v>
      </c>
      <c r="D318" s="7" t="s">
        <v>793</v>
      </c>
      <c r="E318" s="6">
        <f t="shared" si="8"/>
        <v>2</v>
      </c>
      <c r="F318" s="6" t="str">
        <f t="shared" si="9"/>
        <v>RAKE + YAKE</v>
      </c>
      <c r="G318" s="7" t="s">
        <v>1749</v>
      </c>
      <c r="H318" s="7"/>
      <c r="I318" s="19" t="str">
        <f>IF(COUNTIF('Claude vs tools'!$K$2:$P$139,A318)&gt;0,"★ Yes","")</f>
        <v/>
      </c>
    </row>
    <row r="319" spans="1:9" x14ac:dyDescent="0.3">
      <c r="A319" s="18" t="s">
        <v>794</v>
      </c>
      <c r="B319" s="7"/>
      <c r="C319" s="7" t="s">
        <v>794</v>
      </c>
      <c r="D319" s="7" t="s">
        <v>794</v>
      </c>
      <c r="E319" s="6">
        <f t="shared" si="8"/>
        <v>2</v>
      </c>
      <c r="F319" s="6" t="str">
        <f t="shared" si="9"/>
        <v>RAKE + YAKE</v>
      </c>
      <c r="G319" s="7" t="s">
        <v>795</v>
      </c>
      <c r="H319" s="7"/>
      <c r="I319" s="19" t="str">
        <f>IF(COUNTIF('Claude vs tools'!$K$2:$P$139,A319)&gt;0,"★ Yes","")</f>
        <v/>
      </c>
    </row>
    <row r="320" spans="1:9" ht="26.4" x14ac:dyDescent="0.3">
      <c r="A320" s="18" t="s">
        <v>795</v>
      </c>
      <c r="B320" s="7"/>
      <c r="C320" s="7" t="s">
        <v>795</v>
      </c>
      <c r="D320" s="7" t="s">
        <v>795</v>
      </c>
      <c r="E320" s="6">
        <f t="shared" si="8"/>
        <v>2</v>
      </c>
      <c r="F320" s="6" t="str">
        <f t="shared" si="9"/>
        <v>RAKE + YAKE</v>
      </c>
      <c r="G320" s="7" t="s">
        <v>1750</v>
      </c>
      <c r="H320" s="7"/>
      <c r="I320" s="19" t="str">
        <f>IF(COUNTIF('Claude vs tools'!$K$2:$P$139,A320)&gt;0,"★ Yes","")</f>
        <v/>
      </c>
    </row>
    <row r="321" spans="1:9" x14ac:dyDescent="0.3">
      <c r="A321" s="18" t="s">
        <v>796</v>
      </c>
      <c r="B321" s="7"/>
      <c r="C321" s="7" t="s">
        <v>796</v>
      </c>
      <c r="D321" s="7"/>
      <c r="E321" s="6">
        <f t="shared" si="8"/>
        <v>1</v>
      </c>
      <c r="F321" s="6" t="str">
        <f t="shared" si="9"/>
        <v>Only RAKE</v>
      </c>
      <c r="G321" s="7" t="s">
        <v>1751</v>
      </c>
      <c r="H321" s="7"/>
      <c r="I321" s="19" t="str">
        <f>IF(COUNTIF('Claude vs tools'!$K$2:$P$139,A321)&gt;0,"★ Yes","")</f>
        <v/>
      </c>
    </row>
    <row r="322" spans="1:9" x14ac:dyDescent="0.3">
      <c r="A322" s="18" t="s">
        <v>797</v>
      </c>
      <c r="B322" s="7"/>
      <c r="C322" s="7" t="s">
        <v>797</v>
      </c>
      <c r="D322" s="7"/>
      <c r="E322" s="6">
        <f t="shared" ref="E322:E385" si="10">COUNTA(B322:D322)</f>
        <v>1</v>
      </c>
      <c r="F322" s="6" t="str">
        <f t="shared" ref="F322:F385" si="11">IF(E322=3,"All three",IF(E322=2,SUBSTITUTE(TRIM(IF(B322&lt;&gt;"","Gemini ","")&amp;IF(C322&lt;&gt;"","RAKE ","")&amp;IF(D322&lt;&gt;"","YAKE",""))," "," + "),"Only "&amp;TRIM(IF(B322&lt;&gt;"","Gemini","")&amp;IF(C322&lt;&gt;"","RAKE","")&amp;IF(D322&lt;&gt;"","YAKE",""))))</f>
        <v>Only RAKE</v>
      </c>
      <c r="G322" s="7" t="s">
        <v>1752</v>
      </c>
      <c r="H322" s="7"/>
      <c r="I322" s="19" t="str">
        <f>IF(COUNTIF('Claude vs tools'!$K$2:$P$139,A322)&gt;0,"★ Yes","")</f>
        <v/>
      </c>
    </row>
    <row r="323" spans="1:9" x14ac:dyDescent="0.3">
      <c r="A323" s="18" t="s">
        <v>798</v>
      </c>
      <c r="B323" s="7"/>
      <c r="C323" s="7" t="s">
        <v>798</v>
      </c>
      <c r="D323" s="7"/>
      <c r="E323" s="6">
        <f t="shared" si="10"/>
        <v>1</v>
      </c>
      <c r="F323" s="6" t="str">
        <f t="shared" si="11"/>
        <v>Only RAKE</v>
      </c>
      <c r="G323" s="7" t="s">
        <v>1753</v>
      </c>
      <c r="H323" s="7"/>
      <c r="I323" s="19" t="str">
        <f>IF(COUNTIF('Claude vs tools'!$K$2:$P$139,A323)&gt;0,"★ Yes","")</f>
        <v/>
      </c>
    </row>
    <row r="324" spans="1:9" x14ac:dyDescent="0.3">
      <c r="A324" s="18" t="s">
        <v>799</v>
      </c>
      <c r="B324" s="7"/>
      <c r="C324" s="7" t="s">
        <v>799</v>
      </c>
      <c r="D324" s="7"/>
      <c r="E324" s="6">
        <f t="shared" si="10"/>
        <v>1</v>
      </c>
      <c r="F324" s="6" t="str">
        <f t="shared" si="11"/>
        <v>Only RAKE</v>
      </c>
      <c r="G324" s="7" t="s">
        <v>1752</v>
      </c>
      <c r="H324" s="7"/>
      <c r="I324" s="19" t="str">
        <f>IF(COUNTIF('Claude vs tools'!$K$2:$P$139,A324)&gt;0,"★ Yes","")</f>
        <v/>
      </c>
    </row>
    <row r="325" spans="1:9" x14ac:dyDescent="0.3">
      <c r="A325" s="18" t="s">
        <v>800</v>
      </c>
      <c r="B325" s="7" t="s">
        <v>800</v>
      </c>
      <c r="C325" s="7"/>
      <c r="D325" s="7"/>
      <c r="E325" s="6">
        <f t="shared" si="10"/>
        <v>1</v>
      </c>
      <c r="F325" s="6" t="str">
        <f t="shared" si="11"/>
        <v>Only Gemini</v>
      </c>
      <c r="G325" s="7" t="s">
        <v>1754</v>
      </c>
      <c r="H325" s="7" t="s">
        <v>801</v>
      </c>
      <c r="I325" s="19" t="str">
        <f>IF(COUNTIF('Claude vs tools'!$K$2:$P$139,A325)&gt;0,"★ Yes","")</f>
        <v/>
      </c>
    </row>
    <row r="326" spans="1:9" ht="26.4" x14ac:dyDescent="0.3">
      <c r="A326" s="18" t="s">
        <v>346</v>
      </c>
      <c r="B326" s="7" t="s">
        <v>346</v>
      </c>
      <c r="C326" s="7"/>
      <c r="D326" s="7"/>
      <c r="E326" s="6">
        <f t="shared" si="10"/>
        <v>1</v>
      </c>
      <c r="F326" s="6" t="str">
        <f t="shared" si="11"/>
        <v>Only Gemini</v>
      </c>
      <c r="G326" s="7" t="s">
        <v>1755</v>
      </c>
      <c r="H326" s="7"/>
      <c r="I326" s="19" t="str">
        <f>IF(COUNTIF('Claude vs tools'!$K$2:$P$139,A326)&gt;0,"★ Yes","")</f>
        <v>★ Yes</v>
      </c>
    </row>
    <row r="327" spans="1:9" x14ac:dyDescent="0.3">
      <c r="A327" s="18" t="s">
        <v>802</v>
      </c>
      <c r="B327" s="7"/>
      <c r="C327" s="7" t="s">
        <v>802</v>
      </c>
      <c r="D327" s="7"/>
      <c r="E327" s="6">
        <f t="shared" si="10"/>
        <v>1</v>
      </c>
      <c r="F327" s="6" t="str">
        <f t="shared" si="11"/>
        <v>Only RAKE</v>
      </c>
      <c r="G327" s="7" t="s">
        <v>1756</v>
      </c>
      <c r="H327" s="7"/>
      <c r="I327" s="19" t="str">
        <f>IF(COUNTIF('Claude vs tools'!$K$2:$P$139,A327)&gt;0,"★ Yes","")</f>
        <v/>
      </c>
    </row>
    <row r="328" spans="1:9" x14ac:dyDescent="0.3">
      <c r="A328" s="18" t="s">
        <v>803</v>
      </c>
      <c r="B328" s="7"/>
      <c r="C328" s="7" t="s">
        <v>803</v>
      </c>
      <c r="D328" s="7"/>
      <c r="E328" s="6">
        <f t="shared" si="10"/>
        <v>1</v>
      </c>
      <c r="F328" s="6" t="str">
        <f t="shared" si="11"/>
        <v>Only RAKE</v>
      </c>
      <c r="G328" s="7" t="s">
        <v>1757</v>
      </c>
      <c r="H328" s="7"/>
      <c r="I328" s="19" t="str">
        <f>IF(COUNTIF('Claude vs tools'!$K$2:$P$139,A328)&gt;0,"★ Yes","")</f>
        <v/>
      </c>
    </row>
    <row r="329" spans="1:9" x14ac:dyDescent="0.3">
      <c r="A329" s="18" t="s">
        <v>804</v>
      </c>
      <c r="B329" s="7"/>
      <c r="C329" s="7" t="s">
        <v>804</v>
      </c>
      <c r="D329" s="7"/>
      <c r="E329" s="6">
        <f t="shared" si="10"/>
        <v>1</v>
      </c>
      <c r="F329" s="6" t="str">
        <f t="shared" si="11"/>
        <v>Only RAKE</v>
      </c>
      <c r="G329" s="7" t="s">
        <v>1758</v>
      </c>
      <c r="H329" s="7"/>
      <c r="I329" s="19" t="str">
        <f>IF(COUNTIF('Claude vs tools'!$K$2:$P$139,A329)&gt;0,"★ Yes","")</f>
        <v/>
      </c>
    </row>
    <row r="330" spans="1:9" ht="26.4" x14ac:dyDescent="0.3">
      <c r="A330" s="18" t="s">
        <v>473</v>
      </c>
      <c r="B330" s="7" t="s">
        <v>473</v>
      </c>
      <c r="C330" s="7"/>
      <c r="D330" s="7"/>
      <c r="E330" s="6">
        <f t="shared" si="10"/>
        <v>1</v>
      </c>
      <c r="F330" s="6" t="str">
        <f t="shared" si="11"/>
        <v>Only Gemini</v>
      </c>
      <c r="G330" s="7" t="s">
        <v>1759</v>
      </c>
      <c r="H330" s="7"/>
      <c r="I330" s="19" t="str">
        <f>IF(COUNTIF('Claude vs tools'!$K$2:$P$139,A330)&gt;0,"★ Yes","")</f>
        <v>★ Yes</v>
      </c>
    </row>
    <row r="331" spans="1:9" x14ac:dyDescent="0.3">
      <c r="A331" s="18" t="s">
        <v>805</v>
      </c>
      <c r="B331" s="7"/>
      <c r="C331" s="7"/>
      <c r="D331" s="7" t="s">
        <v>805</v>
      </c>
      <c r="E331" s="6">
        <f t="shared" si="10"/>
        <v>1</v>
      </c>
      <c r="F331" s="6" t="str">
        <f t="shared" si="11"/>
        <v>Only YAKE</v>
      </c>
      <c r="G331" s="7" t="s">
        <v>1760</v>
      </c>
      <c r="H331" s="7"/>
      <c r="I331" s="19" t="str">
        <f>IF(COUNTIF('Claude vs tools'!$K$2:$P$139,A331)&gt;0,"★ Yes","")</f>
        <v/>
      </c>
    </row>
    <row r="332" spans="1:9" x14ac:dyDescent="0.3">
      <c r="A332" s="18" t="s">
        <v>806</v>
      </c>
      <c r="B332" s="7"/>
      <c r="C332" s="7" t="s">
        <v>806</v>
      </c>
      <c r="D332" s="7"/>
      <c r="E332" s="6">
        <f t="shared" si="10"/>
        <v>1</v>
      </c>
      <c r="F332" s="6" t="str">
        <f t="shared" si="11"/>
        <v>Only RAKE</v>
      </c>
      <c r="G332" s="7" t="s">
        <v>795</v>
      </c>
      <c r="H332" s="7"/>
      <c r="I332" s="19" t="str">
        <f>IF(COUNTIF('Claude vs tools'!$K$2:$P$139,A332)&gt;0,"★ Yes","")</f>
        <v/>
      </c>
    </row>
    <row r="333" spans="1:9" x14ac:dyDescent="0.3">
      <c r="A333" s="18" t="s">
        <v>807</v>
      </c>
      <c r="B333" s="7"/>
      <c r="C333" s="7" t="s">
        <v>807</v>
      </c>
      <c r="D333" s="7"/>
      <c r="E333" s="6">
        <f t="shared" si="10"/>
        <v>1</v>
      </c>
      <c r="F333" s="6" t="str">
        <f t="shared" si="11"/>
        <v>Only RAKE</v>
      </c>
      <c r="G333" s="7" t="s">
        <v>795</v>
      </c>
      <c r="H333" s="7" t="s">
        <v>808</v>
      </c>
      <c r="I333" s="19" t="str">
        <f>IF(COUNTIF('Claude vs tools'!$K$2:$P$139,A333)&gt;0,"★ Yes","")</f>
        <v/>
      </c>
    </row>
    <row r="334" spans="1:9" x14ac:dyDescent="0.3">
      <c r="A334" s="18" t="s">
        <v>809</v>
      </c>
      <c r="B334" s="7"/>
      <c r="C334" s="7" t="s">
        <v>809</v>
      </c>
      <c r="D334" s="7"/>
      <c r="E334" s="6">
        <f t="shared" si="10"/>
        <v>1</v>
      </c>
      <c r="F334" s="6" t="str">
        <f t="shared" si="11"/>
        <v>Only RAKE</v>
      </c>
      <c r="G334" s="7" t="s">
        <v>1761</v>
      </c>
      <c r="H334" s="7"/>
      <c r="I334" s="19" t="str">
        <f>IF(COUNTIF('Claude vs tools'!$K$2:$P$139,A334)&gt;0,"★ Yes","")</f>
        <v/>
      </c>
    </row>
    <row r="335" spans="1:9" x14ac:dyDescent="0.3">
      <c r="A335" s="18" t="s">
        <v>810</v>
      </c>
      <c r="B335" s="7"/>
      <c r="C335" s="7" t="s">
        <v>810</v>
      </c>
      <c r="D335" s="7"/>
      <c r="E335" s="6">
        <f t="shared" si="10"/>
        <v>1</v>
      </c>
      <c r="F335" s="6" t="str">
        <f t="shared" si="11"/>
        <v>Only RAKE</v>
      </c>
      <c r="G335" s="7" t="s">
        <v>1761</v>
      </c>
      <c r="H335" s="7"/>
      <c r="I335" s="19" t="str">
        <f>IF(COUNTIF('Claude vs tools'!$K$2:$P$139,A335)&gt;0,"★ Yes","")</f>
        <v/>
      </c>
    </row>
    <row r="336" spans="1:9" x14ac:dyDescent="0.3">
      <c r="A336" s="18" t="s">
        <v>232</v>
      </c>
      <c r="B336" s="7" t="s">
        <v>232</v>
      </c>
      <c r="C336" s="7"/>
      <c r="D336" s="7"/>
      <c r="E336" s="6">
        <f t="shared" si="10"/>
        <v>1</v>
      </c>
      <c r="F336" s="6" t="str">
        <f t="shared" si="11"/>
        <v>Only Gemini</v>
      </c>
      <c r="G336" s="7" t="s">
        <v>1762</v>
      </c>
      <c r="H336" s="7"/>
      <c r="I336" s="19" t="str">
        <f>IF(COUNTIF('Claude vs tools'!$K$2:$P$139,A336)&gt;0,"★ Yes","")</f>
        <v>★ Yes</v>
      </c>
    </row>
    <row r="337" spans="1:9" x14ac:dyDescent="0.3">
      <c r="A337" s="18" t="s">
        <v>811</v>
      </c>
      <c r="B337" s="7"/>
      <c r="C337" s="7"/>
      <c r="D337" s="7" t="s">
        <v>811</v>
      </c>
      <c r="E337" s="6">
        <f t="shared" si="10"/>
        <v>1</v>
      </c>
      <c r="F337" s="6" t="str">
        <f t="shared" si="11"/>
        <v>Only YAKE</v>
      </c>
      <c r="G337" s="7" t="s">
        <v>1763</v>
      </c>
      <c r="H337" s="7"/>
      <c r="I337" s="19" t="str">
        <f>IF(COUNTIF('Claude vs tools'!$K$2:$P$139,A337)&gt;0,"★ Yes","")</f>
        <v/>
      </c>
    </row>
    <row r="338" spans="1:9" x14ac:dyDescent="0.3">
      <c r="A338" s="18" t="s">
        <v>812</v>
      </c>
      <c r="B338" s="7"/>
      <c r="C338" s="7" t="s">
        <v>812</v>
      </c>
      <c r="D338" s="7"/>
      <c r="E338" s="6">
        <f t="shared" si="10"/>
        <v>1</v>
      </c>
      <c r="F338" s="6" t="str">
        <f t="shared" si="11"/>
        <v>Only RAKE</v>
      </c>
      <c r="G338" s="7" t="s">
        <v>1764</v>
      </c>
      <c r="H338" s="7"/>
      <c r="I338" s="19" t="str">
        <f>IF(COUNTIF('Claude vs tools'!$K$2:$P$139,A338)&gt;0,"★ Yes","")</f>
        <v/>
      </c>
    </row>
    <row r="339" spans="1:9" x14ac:dyDescent="0.3">
      <c r="A339" s="18" t="s">
        <v>813</v>
      </c>
      <c r="B339" s="7"/>
      <c r="C339" s="7" t="s">
        <v>813</v>
      </c>
      <c r="D339" s="7"/>
      <c r="E339" s="6">
        <f t="shared" si="10"/>
        <v>1</v>
      </c>
      <c r="F339" s="6" t="str">
        <f t="shared" si="11"/>
        <v>Only RAKE</v>
      </c>
      <c r="G339" s="7" t="s">
        <v>1764</v>
      </c>
      <c r="H339" s="7"/>
      <c r="I339" s="19" t="str">
        <f>IF(COUNTIF('Claude vs tools'!$K$2:$P$139,A339)&gt;0,"★ Yes","")</f>
        <v/>
      </c>
    </row>
    <row r="340" spans="1:9" x14ac:dyDescent="0.3">
      <c r="A340" s="18" t="s">
        <v>814</v>
      </c>
      <c r="B340" s="7"/>
      <c r="C340" s="7" t="s">
        <v>814</v>
      </c>
      <c r="D340" s="7"/>
      <c r="E340" s="6">
        <f t="shared" si="10"/>
        <v>1</v>
      </c>
      <c r="F340" s="6" t="str">
        <f t="shared" si="11"/>
        <v>Only RAKE</v>
      </c>
      <c r="G340" s="7" t="s">
        <v>1765</v>
      </c>
      <c r="H340" s="7"/>
      <c r="I340" s="19" t="str">
        <f>IF(COUNTIF('Claude vs tools'!$K$2:$P$139,A340)&gt;0,"★ Yes","")</f>
        <v/>
      </c>
    </row>
    <row r="341" spans="1:9" x14ac:dyDescent="0.3">
      <c r="A341" s="18" t="s">
        <v>815</v>
      </c>
      <c r="B341" s="7"/>
      <c r="C341" s="7" t="s">
        <v>815</v>
      </c>
      <c r="D341" s="7"/>
      <c r="E341" s="6">
        <f t="shared" si="10"/>
        <v>1</v>
      </c>
      <c r="F341" s="6" t="str">
        <f t="shared" si="11"/>
        <v>Only RAKE</v>
      </c>
      <c r="G341" s="7" t="s">
        <v>1766</v>
      </c>
      <c r="H341" s="7"/>
      <c r="I341" s="19" t="str">
        <f>IF(COUNTIF('Claude vs tools'!$K$2:$P$139,A341)&gt;0,"★ Yes","")</f>
        <v/>
      </c>
    </row>
    <row r="342" spans="1:9" ht="26.4" x14ac:dyDescent="0.3">
      <c r="A342" s="18" t="s">
        <v>816</v>
      </c>
      <c r="B342" s="7"/>
      <c r="C342" s="7"/>
      <c r="D342" s="7" t="s">
        <v>816</v>
      </c>
      <c r="E342" s="6">
        <f t="shared" si="10"/>
        <v>1</v>
      </c>
      <c r="F342" s="6" t="str">
        <f t="shared" si="11"/>
        <v>Only YAKE</v>
      </c>
      <c r="G342" s="7" t="s">
        <v>1767</v>
      </c>
      <c r="H342" s="7"/>
      <c r="I342" s="19" t="str">
        <f>IF(COUNTIF('Claude vs tools'!$K$2:$P$139,A342)&gt;0,"★ Yes","")</f>
        <v/>
      </c>
    </row>
    <row r="343" spans="1:9" ht="26.4" x14ac:dyDescent="0.3">
      <c r="A343" s="18" t="s">
        <v>817</v>
      </c>
      <c r="B343" s="7" t="s">
        <v>817</v>
      </c>
      <c r="C343" s="7"/>
      <c r="D343" s="7"/>
      <c r="E343" s="6">
        <f t="shared" si="10"/>
        <v>1</v>
      </c>
      <c r="F343" s="6" t="str">
        <f t="shared" si="11"/>
        <v>Only Gemini</v>
      </c>
      <c r="G343" s="7" t="s">
        <v>1768</v>
      </c>
      <c r="H343" s="7"/>
      <c r="I343" s="19" t="str">
        <f>IF(COUNTIF('Claude vs tools'!$K$2:$P$139,A343)&gt;0,"★ Yes","")</f>
        <v/>
      </c>
    </row>
    <row r="344" spans="1:9" x14ac:dyDescent="0.3">
      <c r="A344" s="18" t="s">
        <v>818</v>
      </c>
      <c r="B344" s="7"/>
      <c r="C344" s="7" t="s">
        <v>818</v>
      </c>
      <c r="D344" s="7"/>
      <c r="E344" s="6">
        <f t="shared" si="10"/>
        <v>1</v>
      </c>
      <c r="F344" s="6" t="str">
        <f t="shared" si="11"/>
        <v>Only RAKE</v>
      </c>
      <c r="G344" s="7" t="s">
        <v>1769</v>
      </c>
      <c r="H344" s="7"/>
      <c r="I344" s="19" t="str">
        <f>IF(COUNTIF('Claude vs tools'!$K$2:$P$139,A344)&gt;0,"★ Yes","")</f>
        <v/>
      </c>
    </row>
    <row r="345" spans="1:9" x14ac:dyDescent="0.3">
      <c r="A345" s="18" t="s">
        <v>819</v>
      </c>
      <c r="B345" s="7"/>
      <c r="C345" s="7" t="s">
        <v>819</v>
      </c>
      <c r="D345" s="7"/>
      <c r="E345" s="6">
        <f t="shared" si="10"/>
        <v>1</v>
      </c>
      <c r="F345" s="6" t="str">
        <f t="shared" si="11"/>
        <v>Only RAKE</v>
      </c>
      <c r="G345" s="7" t="s">
        <v>1769</v>
      </c>
      <c r="H345" s="7"/>
      <c r="I345" s="19" t="str">
        <f>IF(COUNTIF('Claude vs tools'!$K$2:$P$139,A345)&gt;0,"★ Yes","")</f>
        <v/>
      </c>
    </row>
    <row r="346" spans="1:9" ht="26.4" x14ac:dyDescent="0.3">
      <c r="A346" s="18" t="s">
        <v>820</v>
      </c>
      <c r="B346" s="7"/>
      <c r="C346" s="7" t="s">
        <v>820</v>
      </c>
      <c r="D346" s="7"/>
      <c r="E346" s="6">
        <f t="shared" si="10"/>
        <v>1</v>
      </c>
      <c r="F346" s="6" t="str">
        <f t="shared" si="11"/>
        <v>Only RAKE</v>
      </c>
      <c r="G346" s="7" t="s">
        <v>1770</v>
      </c>
      <c r="H346" s="7" t="s">
        <v>808</v>
      </c>
      <c r="I346" s="19" t="str">
        <f>IF(COUNTIF('Claude vs tools'!$K$2:$P$139,A346)&gt;0,"★ Yes","")</f>
        <v/>
      </c>
    </row>
    <row r="347" spans="1:9" x14ac:dyDescent="0.3">
      <c r="A347" s="18" t="s">
        <v>821</v>
      </c>
      <c r="B347" s="7"/>
      <c r="C347" s="7" t="s">
        <v>821</v>
      </c>
      <c r="D347" s="7"/>
      <c r="E347" s="6">
        <f t="shared" si="10"/>
        <v>1</v>
      </c>
      <c r="F347" s="6" t="str">
        <f t="shared" si="11"/>
        <v>Only RAKE</v>
      </c>
      <c r="G347" s="7" t="s">
        <v>1771</v>
      </c>
      <c r="H347" s="7"/>
      <c r="I347" s="19" t="str">
        <f>IF(COUNTIF('Claude vs tools'!$K$2:$P$139,A347)&gt;0,"★ Yes","")</f>
        <v/>
      </c>
    </row>
    <row r="348" spans="1:9" x14ac:dyDescent="0.3">
      <c r="A348" s="18" t="s">
        <v>822</v>
      </c>
      <c r="B348" s="7"/>
      <c r="C348" s="7" t="s">
        <v>822</v>
      </c>
      <c r="D348" s="7"/>
      <c r="E348" s="6">
        <f t="shared" si="10"/>
        <v>1</v>
      </c>
      <c r="F348" s="6" t="str">
        <f t="shared" si="11"/>
        <v>Only RAKE</v>
      </c>
      <c r="G348" s="7" t="s">
        <v>1772</v>
      </c>
      <c r="H348" s="7"/>
      <c r="I348" s="19" t="str">
        <f>IF(COUNTIF('Claude vs tools'!$K$2:$P$139,A348)&gt;0,"★ Yes","")</f>
        <v/>
      </c>
    </row>
    <row r="349" spans="1:9" x14ac:dyDescent="0.3">
      <c r="A349" s="18" t="s">
        <v>823</v>
      </c>
      <c r="B349" s="7"/>
      <c r="C349" s="7" t="s">
        <v>823</v>
      </c>
      <c r="D349" s="7"/>
      <c r="E349" s="6">
        <f t="shared" si="10"/>
        <v>1</v>
      </c>
      <c r="F349" s="6" t="str">
        <f t="shared" si="11"/>
        <v>Only RAKE</v>
      </c>
      <c r="G349" s="7" t="s">
        <v>1773</v>
      </c>
      <c r="H349" s="7"/>
      <c r="I349" s="19" t="str">
        <f>IF(COUNTIF('Claude vs tools'!$K$2:$P$139,A349)&gt;0,"★ Yes","")</f>
        <v/>
      </c>
    </row>
    <row r="350" spans="1:9" x14ac:dyDescent="0.3">
      <c r="A350" s="18" t="s">
        <v>824</v>
      </c>
      <c r="B350" s="7"/>
      <c r="C350" s="7"/>
      <c r="D350" s="7" t="s">
        <v>824</v>
      </c>
      <c r="E350" s="6">
        <f t="shared" si="10"/>
        <v>1</v>
      </c>
      <c r="F350" s="6" t="str">
        <f t="shared" si="11"/>
        <v>Only YAKE</v>
      </c>
      <c r="G350" s="7" t="s">
        <v>795</v>
      </c>
      <c r="H350" s="7"/>
      <c r="I350" s="19" t="str">
        <f>IF(COUNTIF('Claude vs tools'!$K$2:$P$139,A350)&gt;0,"★ Yes","")</f>
        <v/>
      </c>
    </row>
    <row r="351" spans="1:9" ht="26.4" x14ac:dyDescent="0.3">
      <c r="A351" s="18" t="s">
        <v>825</v>
      </c>
      <c r="B351" s="7"/>
      <c r="C351" s="7" t="s">
        <v>825</v>
      </c>
      <c r="D351" s="7"/>
      <c r="E351" s="6">
        <f t="shared" si="10"/>
        <v>1</v>
      </c>
      <c r="F351" s="6" t="str">
        <f t="shared" si="11"/>
        <v>Only RAKE</v>
      </c>
      <c r="G351" s="7" t="s">
        <v>1774</v>
      </c>
      <c r="H351" s="7"/>
      <c r="I351" s="19" t="str">
        <f>IF(COUNTIF('Claude vs tools'!$K$2:$P$139,A351)&gt;0,"★ Yes","")</f>
        <v/>
      </c>
    </row>
    <row r="352" spans="1:9" ht="26.4" x14ac:dyDescent="0.3">
      <c r="A352" s="18" t="s">
        <v>826</v>
      </c>
      <c r="B352" s="7"/>
      <c r="C352" s="7"/>
      <c r="D352" s="7" t="s">
        <v>826</v>
      </c>
      <c r="E352" s="6">
        <f t="shared" si="10"/>
        <v>1</v>
      </c>
      <c r="F352" s="6" t="str">
        <f t="shared" si="11"/>
        <v>Only YAKE</v>
      </c>
      <c r="G352" s="7" t="s">
        <v>1775</v>
      </c>
      <c r="H352" s="7"/>
      <c r="I352" s="19" t="str">
        <f>IF(COUNTIF('Claude vs tools'!$K$2:$P$139,A352)&gt;0,"★ Yes","")</f>
        <v/>
      </c>
    </row>
    <row r="353" spans="1:9" ht="26.4" x14ac:dyDescent="0.3">
      <c r="A353" s="18" t="s">
        <v>827</v>
      </c>
      <c r="B353" s="7"/>
      <c r="C353" s="7"/>
      <c r="D353" s="7" t="s">
        <v>827</v>
      </c>
      <c r="E353" s="6">
        <f t="shared" si="10"/>
        <v>1</v>
      </c>
      <c r="F353" s="6" t="str">
        <f t="shared" si="11"/>
        <v>Only YAKE</v>
      </c>
      <c r="G353" s="7" t="s">
        <v>1776</v>
      </c>
      <c r="H353" s="7"/>
      <c r="I353" s="19" t="str">
        <f>IF(COUNTIF('Claude vs tools'!$K$2:$P$139,A353)&gt;0,"★ Yes","")</f>
        <v/>
      </c>
    </row>
    <row r="354" spans="1:9" x14ac:dyDescent="0.3">
      <c r="A354" s="18" t="s">
        <v>471</v>
      </c>
      <c r="B354" s="7"/>
      <c r="C354" s="7"/>
      <c r="D354" s="7" t="s">
        <v>471</v>
      </c>
      <c r="E354" s="6">
        <f t="shared" si="10"/>
        <v>1</v>
      </c>
      <c r="F354" s="6" t="str">
        <f t="shared" si="11"/>
        <v>Only YAKE</v>
      </c>
      <c r="G354" s="7" t="s">
        <v>1777</v>
      </c>
      <c r="H354" s="7"/>
      <c r="I354" s="19" t="str">
        <f>IF(COUNTIF('Claude vs tools'!$K$2:$P$139,A354)&gt;0,"★ Yes","")</f>
        <v>★ Yes</v>
      </c>
    </row>
    <row r="355" spans="1:9" x14ac:dyDescent="0.3">
      <c r="A355" s="18" t="s">
        <v>155</v>
      </c>
      <c r="B355" s="7"/>
      <c r="C355" s="7"/>
      <c r="D355" s="7" t="s">
        <v>155</v>
      </c>
      <c r="E355" s="6">
        <f t="shared" si="10"/>
        <v>1</v>
      </c>
      <c r="F355" s="6" t="str">
        <f t="shared" si="11"/>
        <v>Only YAKE</v>
      </c>
      <c r="G355" s="7" t="s">
        <v>1778</v>
      </c>
      <c r="H355" s="7"/>
      <c r="I355" s="19" t="str">
        <f>IF(COUNTIF('Claude vs tools'!$K$2:$P$139,A355)&gt;0,"★ Yes","")</f>
        <v>★ Yes</v>
      </c>
    </row>
    <row r="356" spans="1:9" x14ac:dyDescent="0.3">
      <c r="A356" s="18" t="s">
        <v>828</v>
      </c>
      <c r="B356" s="7"/>
      <c r="C356" s="7" t="s">
        <v>828</v>
      </c>
      <c r="D356" s="7"/>
      <c r="E356" s="6">
        <f t="shared" si="10"/>
        <v>1</v>
      </c>
      <c r="F356" s="6" t="str">
        <f t="shared" si="11"/>
        <v>Only RAKE</v>
      </c>
      <c r="G356" s="7" t="s">
        <v>1636</v>
      </c>
      <c r="H356" s="7"/>
      <c r="I356" s="19" t="str">
        <f>IF(COUNTIF('Claude vs tools'!$K$2:$P$139,A356)&gt;0,"★ Yes","")</f>
        <v/>
      </c>
    </row>
    <row r="357" spans="1:9" ht="26.4" x14ac:dyDescent="0.3">
      <c r="A357" s="18" t="s">
        <v>83</v>
      </c>
      <c r="B357" s="7"/>
      <c r="C357" s="7"/>
      <c r="D357" s="7" t="s">
        <v>83</v>
      </c>
      <c r="E357" s="6">
        <f t="shared" si="10"/>
        <v>1</v>
      </c>
      <c r="F357" s="6" t="str">
        <f t="shared" si="11"/>
        <v>Only YAKE</v>
      </c>
      <c r="G357" s="7" t="s">
        <v>1779</v>
      </c>
      <c r="H357" s="7"/>
      <c r="I357" s="19" t="str">
        <f>IF(COUNTIF('Claude vs tools'!$K$2:$P$139,A357)&gt;0,"★ Yes","")</f>
        <v>★ Yes</v>
      </c>
    </row>
    <row r="358" spans="1:9" ht="26.4" x14ac:dyDescent="0.3">
      <c r="A358" s="18" t="s">
        <v>829</v>
      </c>
      <c r="B358" s="7"/>
      <c r="C358" s="7"/>
      <c r="D358" s="7" t="s">
        <v>829</v>
      </c>
      <c r="E358" s="6">
        <f t="shared" si="10"/>
        <v>1</v>
      </c>
      <c r="F358" s="6" t="str">
        <f t="shared" si="11"/>
        <v>Only YAKE</v>
      </c>
      <c r="G358" s="7" t="s">
        <v>1780</v>
      </c>
      <c r="H358" s="7"/>
      <c r="I358" s="19" t="str">
        <f>IF(COUNTIF('Claude vs tools'!$K$2:$P$139,A358)&gt;0,"★ Yes","")</f>
        <v/>
      </c>
    </row>
    <row r="359" spans="1:9" ht="26.4" x14ac:dyDescent="0.3">
      <c r="A359" s="18" t="s">
        <v>830</v>
      </c>
      <c r="B359" s="7"/>
      <c r="C359" s="7" t="s">
        <v>830</v>
      </c>
      <c r="D359" s="7"/>
      <c r="E359" s="6">
        <f t="shared" si="10"/>
        <v>1</v>
      </c>
      <c r="F359" s="6" t="str">
        <f t="shared" si="11"/>
        <v>Only RAKE</v>
      </c>
      <c r="G359" s="7" t="s">
        <v>1781</v>
      </c>
      <c r="H359" s="7"/>
      <c r="I359" s="19" t="str">
        <f>IF(COUNTIF('Claude vs tools'!$K$2:$P$139,A359)&gt;0,"★ Yes","")</f>
        <v/>
      </c>
    </row>
    <row r="360" spans="1:9" x14ac:dyDescent="0.3">
      <c r="A360" s="18" t="s">
        <v>831</v>
      </c>
      <c r="B360" s="7"/>
      <c r="C360" s="7"/>
      <c r="D360" s="7" t="s">
        <v>831</v>
      </c>
      <c r="E360" s="6">
        <f t="shared" si="10"/>
        <v>1</v>
      </c>
      <c r="F360" s="6" t="str">
        <f t="shared" si="11"/>
        <v>Only YAKE</v>
      </c>
      <c r="G360" s="7" t="s">
        <v>1651</v>
      </c>
      <c r="H360" s="7"/>
      <c r="I360" s="19" t="str">
        <f>IF(COUNTIF('Claude vs tools'!$K$2:$P$139,A360)&gt;0,"★ Yes","")</f>
        <v/>
      </c>
    </row>
    <row r="361" spans="1:9" ht="26.4" x14ac:dyDescent="0.3">
      <c r="A361" s="18" t="s">
        <v>563</v>
      </c>
      <c r="B361" s="7" t="s">
        <v>563</v>
      </c>
      <c r="C361" s="7"/>
      <c r="D361" s="7"/>
      <c r="E361" s="6">
        <f t="shared" si="10"/>
        <v>1</v>
      </c>
      <c r="F361" s="6" t="str">
        <f t="shared" si="11"/>
        <v>Only Gemini</v>
      </c>
      <c r="G361" s="7" t="s">
        <v>1782</v>
      </c>
      <c r="H361" s="7"/>
      <c r="I361" s="19" t="str">
        <f>IF(COUNTIF('Claude vs tools'!$K$2:$P$139,A361)&gt;0,"★ Yes","")</f>
        <v>★ Yes</v>
      </c>
    </row>
    <row r="362" spans="1:9" x14ac:dyDescent="0.3">
      <c r="A362" s="18" t="s">
        <v>832</v>
      </c>
      <c r="B362" s="7"/>
      <c r="C362" s="7" t="s">
        <v>832</v>
      </c>
      <c r="D362" s="7"/>
      <c r="E362" s="6">
        <f t="shared" si="10"/>
        <v>1</v>
      </c>
      <c r="F362" s="6" t="str">
        <f t="shared" si="11"/>
        <v>Only RAKE</v>
      </c>
      <c r="G362" s="7" t="s">
        <v>1783</v>
      </c>
      <c r="H362" s="7"/>
      <c r="I362" s="19" t="str">
        <f>IF(COUNTIF('Claude vs tools'!$K$2:$P$139,A362)&gt;0,"★ Yes","")</f>
        <v/>
      </c>
    </row>
    <row r="363" spans="1:9" x14ac:dyDescent="0.3">
      <c r="A363" s="18" t="s">
        <v>833</v>
      </c>
      <c r="B363" s="7"/>
      <c r="C363" s="7" t="s">
        <v>833</v>
      </c>
      <c r="D363" s="7"/>
      <c r="E363" s="6">
        <f t="shared" si="10"/>
        <v>1</v>
      </c>
      <c r="F363" s="6" t="str">
        <f t="shared" si="11"/>
        <v>Only RAKE</v>
      </c>
      <c r="G363" s="7" t="s">
        <v>1784</v>
      </c>
      <c r="H363" s="7"/>
      <c r="I363" s="19" t="str">
        <f>IF(COUNTIF('Claude vs tools'!$K$2:$P$139,A363)&gt;0,"★ Yes","")</f>
        <v/>
      </c>
    </row>
    <row r="364" spans="1:9" x14ac:dyDescent="0.3">
      <c r="A364" s="18" t="s">
        <v>834</v>
      </c>
      <c r="B364" s="7" t="s">
        <v>834</v>
      </c>
      <c r="C364" s="7"/>
      <c r="D364" s="7"/>
      <c r="E364" s="6">
        <f t="shared" si="10"/>
        <v>1</v>
      </c>
      <c r="F364" s="6" t="str">
        <f t="shared" si="11"/>
        <v>Only Gemini</v>
      </c>
      <c r="G364" s="7" t="s">
        <v>1785</v>
      </c>
      <c r="H364" s="7"/>
      <c r="I364" s="19" t="str">
        <f>IF(COUNTIF('Claude vs tools'!$K$2:$P$139,A364)&gt;0,"★ Yes","")</f>
        <v/>
      </c>
    </row>
    <row r="365" spans="1:9" x14ac:dyDescent="0.3">
      <c r="A365" s="18" t="s">
        <v>835</v>
      </c>
      <c r="B365" s="7" t="s">
        <v>835</v>
      </c>
      <c r="C365" s="7"/>
      <c r="D365" s="7"/>
      <c r="E365" s="6">
        <f t="shared" si="10"/>
        <v>1</v>
      </c>
      <c r="F365" s="6" t="str">
        <f t="shared" si="11"/>
        <v>Only Gemini</v>
      </c>
      <c r="G365" s="7" t="s">
        <v>1761</v>
      </c>
      <c r="H365" s="7"/>
      <c r="I365" s="19" t="str">
        <f>IF(COUNTIF('Claude vs tools'!$K$2:$P$139,A365)&gt;0,"★ Yes","")</f>
        <v/>
      </c>
    </row>
    <row r="366" spans="1:9" x14ac:dyDescent="0.3">
      <c r="A366" s="18" t="s">
        <v>836</v>
      </c>
      <c r="B366" s="7" t="s">
        <v>836</v>
      </c>
      <c r="C366" s="7"/>
      <c r="D366" s="7"/>
      <c r="E366" s="6">
        <f t="shared" si="10"/>
        <v>1</v>
      </c>
      <c r="F366" s="6" t="str">
        <f t="shared" si="11"/>
        <v>Only Gemini</v>
      </c>
      <c r="G366" s="7" t="s">
        <v>1786</v>
      </c>
      <c r="H366" s="7"/>
      <c r="I366" s="19" t="str">
        <f>IF(COUNTIF('Claude vs tools'!$K$2:$P$139,A366)&gt;0,"★ Yes","")</f>
        <v/>
      </c>
    </row>
    <row r="367" spans="1:9" x14ac:dyDescent="0.3">
      <c r="A367" s="18" t="s">
        <v>837</v>
      </c>
      <c r="B367" s="7" t="s">
        <v>837</v>
      </c>
      <c r="C367" s="7"/>
      <c r="D367" s="7"/>
      <c r="E367" s="6">
        <f t="shared" si="10"/>
        <v>1</v>
      </c>
      <c r="F367" s="6" t="str">
        <f t="shared" si="11"/>
        <v>Only Gemini</v>
      </c>
      <c r="G367" s="7" t="s">
        <v>1787</v>
      </c>
      <c r="H367" s="7"/>
      <c r="I367" s="19" t="str">
        <f>IF(COUNTIF('Claude vs tools'!$K$2:$P$139,A367)&gt;0,"★ Yes","")</f>
        <v/>
      </c>
    </row>
    <row r="368" spans="1:9" x14ac:dyDescent="0.3">
      <c r="A368" s="18" t="s">
        <v>838</v>
      </c>
      <c r="B368" s="7" t="s">
        <v>838</v>
      </c>
      <c r="C368" s="7"/>
      <c r="D368" s="7"/>
      <c r="E368" s="6">
        <f t="shared" si="10"/>
        <v>1</v>
      </c>
      <c r="F368" s="6" t="str">
        <f t="shared" si="11"/>
        <v>Only Gemini</v>
      </c>
      <c r="G368" s="7" t="s">
        <v>1788</v>
      </c>
      <c r="H368" s="7"/>
      <c r="I368" s="19" t="str">
        <f>IF(COUNTIF('Claude vs tools'!$K$2:$P$139,A368)&gt;0,"★ Yes","")</f>
        <v/>
      </c>
    </row>
    <row r="369" spans="1:9" x14ac:dyDescent="0.3">
      <c r="A369" s="18" t="s">
        <v>839</v>
      </c>
      <c r="B369" s="7"/>
      <c r="C369" s="7"/>
      <c r="D369" s="7" t="s">
        <v>839</v>
      </c>
      <c r="E369" s="6">
        <f t="shared" si="10"/>
        <v>1</v>
      </c>
      <c r="F369" s="6" t="str">
        <f t="shared" si="11"/>
        <v>Only YAKE</v>
      </c>
      <c r="G369" s="7" t="s">
        <v>1667</v>
      </c>
      <c r="H369" s="7"/>
      <c r="I369" s="19" t="str">
        <f>IF(COUNTIF('Claude vs tools'!$K$2:$P$139,A369)&gt;0,"★ Yes","")</f>
        <v/>
      </c>
    </row>
    <row r="370" spans="1:9" x14ac:dyDescent="0.3">
      <c r="A370" s="18" t="s">
        <v>840</v>
      </c>
      <c r="B370" s="7"/>
      <c r="C370" s="7" t="s">
        <v>840</v>
      </c>
      <c r="D370" s="7"/>
      <c r="E370" s="6">
        <f t="shared" si="10"/>
        <v>1</v>
      </c>
      <c r="F370" s="6" t="str">
        <f t="shared" si="11"/>
        <v>Only RAKE</v>
      </c>
      <c r="G370" s="7" t="s">
        <v>1569</v>
      </c>
      <c r="H370" s="7"/>
      <c r="I370" s="19" t="str">
        <f>IF(COUNTIF('Claude vs tools'!$K$2:$P$139,A370)&gt;0,"★ Yes","")</f>
        <v/>
      </c>
    </row>
    <row r="371" spans="1:9" x14ac:dyDescent="0.3">
      <c r="A371" s="18" t="s">
        <v>841</v>
      </c>
      <c r="B371" s="7"/>
      <c r="C371" s="7"/>
      <c r="D371" s="7" t="s">
        <v>841</v>
      </c>
      <c r="E371" s="6">
        <f t="shared" si="10"/>
        <v>1</v>
      </c>
      <c r="F371" s="6" t="str">
        <f t="shared" si="11"/>
        <v>Only YAKE</v>
      </c>
      <c r="G371" s="7" t="s">
        <v>1789</v>
      </c>
      <c r="H371" s="7"/>
      <c r="I371" s="19" t="str">
        <f>IF(COUNTIF('Claude vs tools'!$K$2:$P$139,A371)&gt;0,"★ Yes","")</f>
        <v/>
      </c>
    </row>
    <row r="372" spans="1:9" x14ac:dyDescent="0.3">
      <c r="A372" s="18" t="s">
        <v>842</v>
      </c>
      <c r="B372" s="7"/>
      <c r="C372" s="7"/>
      <c r="D372" s="7" t="s">
        <v>842</v>
      </c>
      <c r="E372" s="6">
        <f t="shared" si="10"/>
        <v>1</v>
      </c>
      <c r="F372" s="6" t="str">
        <f t="shared" si="11"/>
        <v>Only YAKE</v>
      </c>
      <c r="G372" s="7" t="s">
        <v>1667</v>
      </c>
      <c r="H372" s="7"/>
      <c r="I372" s="19" t="str">
        <f>IF(COUNTIF('Claude vs tools'!$K$2:$P$139,A372)&gt;0,"★ Yes","")</f>
        <v/>
      </c>
    </row>
    <row r="373" spans="1:9" ht="26.4" x14ac:dyDescent="0.3">
      <c r="A373" s="18" t="s">
        <v>843</v>
      </c>
      <c r="B373" s="7"/>
      <c r="C373" s="7"/>
      <c r="D373" s="7" t="s">
        <v>843</v>
      </c>
      <c r="E373" s="6">
        <f t="shared" si="10"/>
        <v>1</v>
      </c>
      <c r="F373" s="6" t="str">
        <f t="shared" si="11"/>
        <v>Only YAKE</v>
      </c>
      <c r="G373" s="7" t="s">
        <v>1790</v>
      </c>
      <c r="H373" s="7"/>
      <c r="I373" s="19" t="str">
        <f>IF(COUNTIF('Claude vs tools'!$K$2:$P$139,A373)&gt;0,"★ Yes","")</f>
        <v/>
      </c>
    </row>
    <row r="374" spans="1:9" x14ac:dyDescent="0.3">
      <c r="A374" s="18" t="s">
        <v>844</v>
      </c>
      <c r="B374" s="7"/>
      <c r="C374" s="7" t="s">
        <v>844</v>
      </c>
      <c r="D374" s="7"/>
      <c r="E374" s="6">
        <f t="shared" si="10"/>
        <v>1</v>
      </c>
      <c r="F374" s="6" t="str">
        <f t="shared" si="11"/>
        <v>Only RAKE</v>
      </c>
      <c r="G374" s="7" t="s">
        <v>1791</v>
      </c>
      <c r="H374" s="7"/>
      <c r="I374" s="19" t="str">
        <f>IF(COUNTIF('Claude vs tools'!$K$2:$P$139,A374)&gt;0,"★ Yes","")</f>
        <v/>
      </c>
    </row>
    <row r="375" spans="1:9" ht="26.4" x14ac:dyDescent="0.3">
      <c r="A375" s="18" t="s">
        <v>845</v>
      </c>
      <c r="B375" s="7"/>
      <c r="C375" s="7"/>
      <c r="D375" s="7" t="s">
        <v>845</v>
      </c>
      <c r="E375" s="6">
        <f t="shared" si="10"/>
        <v>1</v>
      </c>
      <c r="F375" s="6" t="str">
        <f t="shared" si="11"/>
        <v>Only YAKE</v>
      </c>
      <c r="G375" s="7" t="s">
        <v>1792</v>
      </c>
      <c r="H375" s="7"/>
      <c r="I375" s="19" t="str">
        <f>IF(COUNTIF('Claude vs tools'!$K$2:$P$139,A375)&gt;0,"★ Yes","")</f>
        <v/>
      </c>
    </row>
    <row r="376" spans="1:9" x14ac:dyDescent="0.3">
      <c r="A376" s="18" t="s">
        <v>846</v>
      </c>
      <c r="B376" s="7"/>
      <c r="C376" s="7"/>
      <c r="D376" s="7" t="s">
        <v>846</v>
      </c>
      <c r="E376" s="6">
        <f t="shared" si="10"/>
        <v>1</v>
      </c>
      <c r="F376" s="6" t="str">
        <f t="shared" si="11"/>
        <v>Only YAKE</v>
      </c>
      <c r="G376" s="7" t="s">
        <v>1793</v>
      </c>
      <c r="H376" s="7"/>
      <c r="I376" s="19" t="str">
        <f>IF(COUNTIF('Claude vs tools'!$K$2:$P$139,A376)&gt;0,"★ Yes","")</f>
        <v/>
      </c>
    </row>
    <row r="377" spans="1:9" ht="39.6" x14ac:dyDescent="0.3">
      <c r="A377" s="18" t="s">
        <v>847</v>
      </c>
      <c r="B377" s="7"/>
      <c r="C377" s="7"/>
      <c r="D377" s="7" t="s">
        <v>847</v>
      </c>
      <c r="E377" s="6">
        <f t="shared" si="10"/>
        <v>1</v>
      </c>
      <c r="F377" s="6" t="str">
        <f t="shared" si="11"/>
        <v>Only YAKE</v>
      </c>
      <c r="G377" s="7" t="s">
        <v>1794</v>
      </c>
      <c r="H377" s="7"/>
      <c r="I377" s="19" t="str">
        <f>IF(COUNTIF('Claude vs tools'!$K$2:$P$139,A377)&gt;0,"★ Yes","")</f>
        <v/>
      </c>
    </row>
    <row r="378" spans="1:9" x14ac:dyDescent="0.3">
      <c r="A378" s="18" t="s">
        <v>848</v>
      </c>
      <c r="B378" s="7"/>
      <c r="C378" s="7"/>
      <c r="D378" s="7" t="s">
        <v>848</v>
      </c>
      <c r="E378" s="6">
        <f t="shared" si="10"/>
        <v>1</v>
      </c>
      <c r="F378" s="6" t="str">
        <f t="shared" si="11"/>
        <v>Only YAKE</v>
      </c>
      <c r="G378" s="7" t="s">
        <v>1795</v>
      </c>
      <c r="H378" s="7"/>
      <c r="I378" s="19" t="str">
        <f>IF(COUNTIF('Claude vs tools'!$K$2:$P$139,A378)&gt;0,"★ Yes","")</f>
        <v/>
      </c>
    </row>
    <row r="379" spans="1:9" x14ac:dyDescent="0.3">
      <c r="A379" s="18" t="s">
        <v>849</v>
      </c>
      <c r="B379" s="7"/>
      <c r="C379" s="7" t="s">
        <v>849</v>
      </c>
      <c r="D379" s="7"/>
      <c r="E379" s="6">
        <f t="shared" si="10"/>
        <v>1</v>
      </c>
      <c r="F379" s="6" t="str">
        <f t="shared" si="11"/>
        <v>Only RAKE</v>
      </c>
      <c r="G379" s="7" t="s">
        <v>1796</v>
      </c>
      <c r="H379" s="7"/>
      <c r="I379" s="19" t="str">
        <f>IF(COUNTIF('Claude vs tools'!$K$2:$P$139,A379)&gt;0,"★ Yes","")</f>
        <v/>
      </c>
    </row>
    <row r="380" spans="1:9" x14ac:dyDescent="0.3">
      <c r="A380" s="18" t="s">
        <v>850</v>
      </c>
      <c r="B380" s="7"/>
      <c r="C380" s="7"/>
      <c r="D380" s="7" t="s">
        <v>850</v>
      </c>
      <c r="E380" s="6">
        <f t="shared" si="10"/>
        <v>1</v>
      </c>
      <c r="F380" s="6" t="str">
        <f t="shared" si="11"/>
        <v>Only YAKE</v>
      </c>
      <c r="G380" s="7" t="s">
        <v>1797</v>
      </c>
      <c r="H380" s="7"/>
      <c r="I380" s="19" t="str">
        <f>IF(COUNTIF('Claude vs tools'!$K$2:$P$139,A380)&gt;0,"★ Yes","")</f>
        <v/>
      </c>
    </row>
    <row r="381" spans="1:9" x14ac:dyDescent="0.3">
      <c r="A381" s="18" t="s">
        <v>851</v>
      </c>
      <c r="B381" s="7"/>
      <c r="C381" s="7"/>
      <c r="D381" s="7" t="s">
        <v>851</v>
      </c>
      <c r="E381" s="6">
        <f t="shared" si="10"/>
        <v>1</v>
      </c>
      <c r="F381" s="6" t="str">
        <f t="shared" si="11"/>
        <v>Only YAKE</v>
      </c>
      <c r="G381" s="7" t="s">
        <v>1798</v>
      </c>
      <c r="H381" s="7"/>
      <c r="I381" s="19" t="str">
        <f>IF(COUNTIF('Claude vs tools'!$K$2:$P$139,A381)&gt;0,"★ Yes","")</f>
        <v/>
      </c>
    </row>
    <row r="382" spans="1:9" x14ac:dyDescent="0.3">
      <c r="A382" s="18" t="s">
        <v>175</v>
      </c>
      <c r="B382" s="7"/>
      <c r="C382" s="7" t="s">
        <v>175</v>
      </c>
      <c r="D382" s="7"/>
      <c r="E382" s="6">
        <f t="shared" si="10"/>
        <v>1</v>
      </c>
      <c r="F382" s="6" t="str">
        <f t="shared" si="11"/>
        <v>Only RAKE</v>
      </c>
      <c r="G382" s="7" t="s">
        <v>795</v>
      </c>
      <c r="H382" s="7"/>
      <c r="I382" s="19" t="str">
        <f>IF(COUNTIF('Claude vs tools'!$K$2:$P$139,A382)&gt;0,"★ Yes","")</f>
        <v>★ Yes</v>
      </c>
    </row>
    <row r="383" spans="1:9" x14ac:dyDescent="0.3">
      <c r="A383" s="18" t="s">
        <v>852</v>
      </c>
      <c r="B383" s="7"/>
      <c r="C383" s="7" t="s">
        <v>852</v>
      </c>
      <c r="D383" s="7"/>
      <c r="E383" s="6">
        <f t="shared" si="10"/>
        <v>1</v>
      </c>
      <c r="F383" s="6" t="str">
        <f t="shared" si="11"/>
        <v>Only RAKE</v>
      </c>
      <c r="G383" s="7" t="s">
        <v>1799</v>
      </c>
      <c r="H383" s="7"/>
      <c r="I383" s="19" t="str">
        <f>IF(COUNTIF('Claude vs tools'!$K$2:$P$139,A383)&gt;0,"★ Yes","")</f>
        <v/>
      </c>
    </row>
    <row r="384" spans="1:9" ht="26.4" x14ac:dyDescent="0.3">
      <c r="A384" s="18" t="s">
        <v>853</v>
      </c>
      <c r="B384" s="7"/>
      <c r="C384" s="7" t="s">
        <v>853</v>
      </c>
      <c r="D384" s="7"/>
      <c r="E384" s="6">
        <f t="shared" si="10"/>
        <v>1</v>
      </c>
      <c r="F384" s="6" t="str">
        <f t="shared" si="11"/>
        <v>Only RAKE</v>
      </c>
      <c r="G384" s="7" t="s">
        <v>1800</v>
      </c>
      <c r="H384" s="7"/>
      <c r="I384" s="19" t="str">
        <f>IF(COUNTIF('Claude vs tools'!$K$2:$P$139,A384)&gt;0,"★ Yes","")</f>
        <v/>
      </c>
    </row>
    <row r="385" spans="1:9" x14ac:dyDescent="0.3">
      <c r="A385" s="18" t="s">
        <v>854</v>
      </c>
      <c r="B385" s="7"/>
      <c r="C385" s="7" t="s">
        <v>854</v>
      </c>
      <c r="D385" s="7"/>
      <c r="E385" s="6">
        <f t="shared" si="10"/>
        <v>1</v>
      </c>
      <c r="F385" s="6" t="str">
        <f t="shared" si="11"/>
        <v>Only RAKE</v>
      </c>
      <c r="G385" s="7" t="s">
        <v>1801</v>
      </c>
      <c r="H385" s="7"/>
      <c r="I385" s="19" t="str">
        <f>IF(COUNTIF('Claude vs tools'!$K$2:$P$139,A385)&gt;0,"★ Yes","")</f>
        <v/>
      </c>
    </row>
    <row r="386" spans="1:9" ht="26.4" x14ac:dyDescent="0.3">
      <c r="A386" s="18" t="s">
        <v>855</v>
      </c>
      <c r="B386" s="7"/>
      <c r="C386" s="7"/>
      <c r="D386" s="7" t="s">
        <v>855</v>
      </c>
      <c r="E386" s="6">
        <f t="shared" ref="E386:E449" si="12">COUNTA(B386:D386)</f>
        <v>1</v>
      </c>
      <c r="F386" s="6" t="str">
        <f t="shared" ref="F386:F449" si="13">IF(E386=3,"All three",IF(E386=2,SUBSTITUTE(TRIM(IF(B386&lt;&gt;"","Gemini ","")&amp;IF(C386&lt;&gt;"","RAKE ","")&amp;IF(D386&lt;&gt;"","YAKE",""))," "," + "),"Only "&amp;TRIM(IF(B386&lt;&gt;"","Gemini","")&amp;IF(C386&lt;&gt;"","RAKE","")&amp;IF(D386&lt;&gt;"","YAKE",""))))</f>
        <v>Only YAKE</v>
      </c>
      <c r="G386" s="7" t="s">
        <v>1802</v>
      </c>
      <c r="H386" s="7"/>
      <c r="I386" s="19" t="str">
        <f>IF(COUNTIF('Claude vs tools'!$K$2:$P$139,A386)&gt;0,"★ Yes","")</f>
        <v/>
      </c>
    </row>
    <row r="387" spans="1:9" x14ac:dyDescent="0.3">
      <c r="A387" s="18" t="s">
        <v>856</v>
      </c>
      <c r="B387" s="7"/>
      <c r="C387" s="7" t="s">
        <v>856</v>
      </c>
      <c r="D387" s="7"/>
      <c r="E387" s="6">
        <f t="shared" si="12"/>
        <v>1</v>
      </c>
      <c r="F387" s="6" t="str">
        <f t="shared" si="13"/>
        <v>Only RAKE</v>
      </c>
      <c r="G387" s="7" t="s">
        <v>1803</v>
      </c>
      <c r="H387" s="7"/>
      <c r="I387" s="19" t="str">
        <f>IF(COUNTIF('Claude vs tools'!$K$2:$P$139,A387)&gt;0,"★ Yes","")</f>
        <v/>
      </c>
    </row>
    <row r="388" spans="1:9" x14ac:dyDescent="0.3">
      <c r="A388" s="18" t="s">
        <v>857</v>
      </c>
      <c r="B388" s="7"/>
      <c r="C388" s="7" t="s">
        <v>857</v>
      </c>
      <c r="D388" s="7"/>
      <c r="E388" s="6">
        <f t="shared" si="12"/>
        <v>1</v>
      </c>
      <c r="F388" s="6" t="str">
        <f t="shared" si="13"/>
        <v>Only RAKE</v>
      </c>
      <c r="G388" s="7" t="s">
        <v>1804</v>
      </c>
      <c r="H388" s="7"/>
      <c r="I388" s="19" t="str">
        <f>IF(COUNTIF('Claude vs tools'!$K$2:$P$139,A388)&gt;0,"★ Yes","")</f>
        <v/>
      </c>
    </row>
    <row r="389" spans="1:9" ht="26.4" x14ac:dyDescent="0.3">
      <c r="A389" s="18" t="s">
        <v>858</v>
      </c>
      <c r="B389" s="7"/>
      <c r="C389" s="7"/>
      <c r="D389" s="7" t="s">
        <v>858</v>
      </c>
      <c r="E389" s="6">
        <f t="shared" si="12"/>
        <v>1</v>
      </c>
      <c r="F389" s="6" t="str">
        <f t="shared" si="13"/>
        <v>Only YAKE</v>
      </c>
      <c r="G389" s="7" t="s">
        <v>1805</v>
      </c>
      <c r="H389" s="7"/>
      <c r="I389" s="19" t="str">
        <f>IF(COUNTIF('Claude vs tools'!$K$2:$P$139,A389)&gt;0,"★ Yes","")</f>
        <v/>
      </c>
    </row>
    <row r="390" spans="1:9" x14ac:dyDescent="0.3">
      <c r="A390" s="18" t="s">
        <v>859</v>
      </c>
      <c r="B390" s="7"/>
      <c r="C390" s="7"/>
      <c r="D390" s="7" t="s">
        <v>859</v>
      </c>
      <c r="E390" s="6">
        <f t="shared" si="12"/>
        <v>1</v>
      </c>
      <c r="F390" s="6" t="str">
        <f t="shared" si="13"/>
        <v>Only YAKE</v>
      </c>
      <c r="G390" s="7" t="s">
        <v>1806</v>
      </c>
      <c r="H390" s="7"/>
      <c r="I390" s="19" t="str">
        <f>IF(COUNTIF('Claude vs tools'!$K$2:$P$139,A390)&gt;0,"★ Yes","")</f>
        <v/>
      </c>
    </row>
    <row r="391" spans="1:9" x14ac:dyDescent="0.3">
      <c r="A391" s="18" t="s">
        <v>860</v>
      </c>
      <c r="B391" s="7"/>
      <c r="C391" s="7"/>
      <c r="D391" s="7" t="s">
        <v>860</v>
      </c>
      <c r="E391" s="6">
        <f t="shared" si="12"/>
        <v>1</v>
      </c>
      <c r="F391" s="6" t="str">
        <f t="shared" si="13"/>
        <v>Only YAKE</v>
      </c>
      <c r="G391" s="7" t="s">
        <v>1807</v>
      </c>
      <c r="H391" s="7"/>
      <c r="I391" s="19" t="str">
        <f>IF(COUNTIF('Claude vs tools'!$K$2:$P$139,A391)&gt;0,"★ Yes","")</f>
        <v/>
      </c>
    </row>
    <row r="392" spans="1:9" ht="26.4" x14ac:dyDescent="0.3">
      <c r="A392" s="18" t="s">
        <v>861</v>
      </c>
      <c r="B392" s="7"/>
      <c r="C392" s="7"/>
      <c r="D392" s="7" t="s">
        <v>861</v>
      </c>
      <c r="E392" s="6">
        <f t="shared" si="12"/>
        <v>1</v>
      </c>
      <c r="F392" s="6" t="str">
        <f t="shared" si="13"/>
        <v>Only YAKE</v>
      </c>
      <c r="G392" s="7" t="s">
        <v>1792</v>
      </c>
      <c r="H392" s="7"/>
      <c r="I392" s="19" t="str">
        <f>IF(COUNTIF('Claude vs tools'!$K$2:$P$139,A392)&gt;0,"★ Yes","")</f>
        <v/>
      </c>
    </row>
    <row r="393" spans="1:9" x14ac:dyDescent="0.3">
      <c r="A393" s="18" t="s">
        <v>862</v>
      </c>
      <c r="B393" s="7"/>
      <c r="C393" s="7"/>
      <c r="D393" s="7" t="s">
        <v>862</v>
      </c>
      <c r="E393" s="6">
        <f t="shared" si="12"/>
        <v>1</v>
      </c>
      <c r="F393" s="6" t="str">
        <f t="shared" si="13"/>
        <v>Only YAKE</v>
      </c>
      <c r="G393" s="7" t="s">
        <v>1808</v>
      </c>
      <c r="H393" s="7"/>
      <c r="I393" s="19" t="str">
        <f>IF(COUNTIF('Claude vs tools'!$K$2:$P$139,A393)&gt;0,"★ Yes","")</f>
        <v/>
      </c>
    </row>
    <row r="394" spans="1:9" x14ac:dyDescent="0.3">
      <c r="A394" s="18" t="s">
        <v>863</v>
      </c>
      <c r="B394" s="7"/>
      <c r="C394" s="7"/>
      <c r="D394" s="7" t="s">
        <v>863</v>
      </c>
      <c r="E394" s="6">
        <f t="shared" si="12"/>
        <v>1</v>
      </c>
      <c r="F394" s="6" t="str">
        <f t="shared" si="13"/>
        <v>Only YAKE</v>
      </c>
      <c r="G394" s="7" t="s">
        <v>1809</v>
      </c>
      <c r="H394" s="7"/>
      <c r="I394" s="19" t="str">
        <f>IF(COUNTIF('Claude vs tools'!$K$2:$P$139,A394)&gt;0,"★ Yes","")</f>
        <v/>
      </c>
    </row>
    <row r="395" spans="1:9" ht="26.4" x14ac:dyDescent="0.3">
      <c r="A395" s="18" t="s">
        <v>864</v>
      </c>
      <c r="B395" s="7"/>
      <c r="C395" s="7"/>
      <c r="D395" s="7" t="s">
        <v>864</v>
      </c>
      <c r="E395" s="6">
        <f t="shared" si="12"/>
        <v>1</v>
      </c>
      <c r="F395" s="6" t="str">
        <f t="shared" si="13"/>
        <v>Only YAKE</v>
      </c>
      <c r="G395" s="7" t="s">
        <v>1810</v>
      </c>
      <c r="H395" s="7"/>
      <c r="I395" s="19" t="str">
        <f>IF(COUNTIF('Claude vs tools'!$K$2:$P$139,A395)&gt;0,"★ Yes","")</f>
        <v/>
      </c>
    </row>
    <row r="396" spans="1:9" x14ac:dyDescent="0.3">
      <c r="A396" s="18" t="s">
        <v>865</v>
      </c>
      <c r="B396" s="7"/>
      <c r="C396" s="7" t="s">
        <v>865</v>
      </c>
      <c r="D396" s="7"/>
      <c r="E396" s="6">
        <f t="shared" si="12"/>
        <v>1</v>
      </c>
      <c r="F396" s="6" t="str">
        <f t="shared" si="13"/>
        <v>Only RAKE</v>
      </c>
      <c r="G396" s="7" t="s">
        <v>1811</v>
      </c>
      <c r="H396" s="7"/>
      <c r="I396" s="19" t="str">
        <f>IF(COUNTIF('Claude vs tools'!$K$2:$P$139,A396)&gt;0,"★ Yes","")</f>
        <v/>
      </c>
    </row>
    <row r="397" spans="1:9" x14ac:dyDescent="0.3">
      <c r="A397" s="18" t="s">
        <v>439</v>
      </c>
      <c r="B397" s="7" t="s">
        <v>439</v>
      </c>
      <c r="C397" s="7"/>
      <c r="D397" s="7"/>
      <c r="E397" s="6">
        <f t="shared" si="12"/>
        <v>1</v>
      </c>
      <c r="F397" s="6" t="str">
        <f t="shared" si="13"/>
        <v>Only Gemini</v>
      </c>
      <c r="G397" s="7" t="s">
        <v>1812</v>
      </c>
      <c r="H397" s="7"/>
      <c r="I397" s="19" t="str">
        <f>IF(COUNTIF('Claude vs tools'!$K$2:$P$139,A397)&gt;0,"★ Yes","")</f>
        <v>★ Yes</v>
      </c>
    </row>
    <row r="398" spans="1:9" x14ac:dyDescent="0.3">
      <c r="A398" s="18" t="s">
        <v>866</v>
      </c>
      <c r="B398" s="7"/>
      <c r="C398" s="7" t="s">
        <v>866</v>
      </c>
      <c r="D398" s="7"/>
      <c r="E398" s="6">
        <f t="shared" si="12"/>
        <v>1</v>
      </c>
      <c r="F398" s="6" t="str">
        <f t="shared" si="13"/>
        <v>Only RAKE</v>
      </c>
      <c r="G398" s="7" t="s">
        <v>795</v>
      </c>
      <c r="H398" s="7"/>
      <c r="I398" s="19" t="str">
        <f>IF(COUNTIF('Claude vs tools'!$K$2:$P$139,A398)&gt;0,"★ Yes","")</f>
        <v/>
      </c>
    </row>
    <row r="399" spans="1:9" x14ac:dyDescent="0.3">
      <c r="A399" s="18" t="s">
        <v>867</v>
      </c>
      <c r="B399" s="7"/>
      <c r="C399" s="7" t="s">
        <v>867</v>
      </c>
      <c r="D399" s="7"/>
      <c r="E399" s="6">
        <f t="shared" si="12"/>
        <v>1</v>
      </c>
      <c r="F399" s="6" t="str">
        <f t="shared" si="13"/>
        <v>Only RAKE</v>
      </c>
      <c r="G399" s="7" t="s">
        <v>1813</v>
      </c>
      <c r="H399" s="7"/>
      <c r="I399" s="19" t="str">
        <f>IF(COUNTIF('Claude vs tools'!$K$2:$P$139,A399)&gt;0,"★ Yes","")</f>
        <v/>
      </c>
    </row>
    <row r="400" spans="1:9" ht="26.4" x14ac:dyDescent="0.3">
      <c r="A400" s="18" t="s">
        <v>868</v>
      </c>
      <c r="B400" s="7"/>
      <c r="C400" s="7"/>
      <c r="D400" s="7" t="s">
        <v>868</v>
      </c>
      <c r="E400" s="6">
        <f t="shared" si="12"/>
        <v>1</v>
      </c>
      <c r="F400" s="6" t="str">
        <f t="shared" si="13"/>
        <v>Only YAKE</v>
      </c>
      <c r="G400" s="7" t="s">
        <v>1814</v>
      </c>
      <c r="H400" s="7"/>
      <c r="I400" s="19" t="str">
        <f>IF(COUNTIF('Claude vs tools'!$K$2:$P$139,A400)&gt;0,"★ Yes","")</f>
        <v/>
      </c>
    </row>
    <row r="401" spans="1:9" ht="26.4" x14ac:dyDescent="0.3">
      <c r="A401" s="18" t="s">
        <v>869</v>
      </c>
      <c r="B401" s="7"/>
      <c r="C401" s="7"/>
      <c r="D401" s="7" t="s">
        <v>869</v>
      </c>
      <c r="E401" s="6">
        <f t="shared" si="12"/>
        <v>1</v>
      </c>
      <c r="F401" s="6" t="str">
        <f t="shared" si="13"/>
        <v>Only YAKE</v>
      </c>
      <c r="G401" s="7" t="s">
        <v>1815</v>
      </c>
      <c r="H401" s="7"/>
      <c r="I401" s="19" t="str">
        <f>IF(COUNTIF('Claude vs tools'!$K$2:$P$139,A401)&gt;0,"★ Yes","")</f>
        <v/>
      </c>
    </row>
    <row r="402" spans="1:9" ht="39.6" x14ac:dyDescent="0.3">
      <c r="A402" s="18" t="s">
        <v>1816</v>
      </c>
      <c r="B402" s="7"/>
      <c r="C402" s="7"/>
      <c r="D402" s="7" t="s">
        <v>1817</v>
      </c>
      <c r="E402" s="6">
        <f t="shared" si="12"/>
        <v>1</v>
      </c>
      <c r="F402" s="6" t="str">
        <f t="shared" si="13"/>
        <v>Only YAKE</v>
      </c>
      <c r="G402" s="7" t="s">
        <v>1818</v>
      </c>
      <c r="H402" s="7"/>
      <c r="I402" s="19" t="str">
        <f>IF(COUNTIF('Claude vs tools'!$K$2:$P$139,A402)&gt;0,"★ Yes","")</f>
        <v/>
      </c>
    </row>
    <row r="403" spans="1:9" x14ac:dyDescent="0.3">
      <c r="A403" s="18" t="s">
        <v>871</v>
      </c>
      <c r="B403" s="7" t="s">
        <v>871</v>
      </c>
      <c r="C403" s="7"/>
      <c r="D403" s="7"/>
      <c r="E403" s="6">
        <f t="shared" si="12"/>
        <v>1</v>
      </c>
      <c r="F403" s="6" t="str">
        <f t="shared" si="13"/>
        <v>Only Gemini</v>
      </c>
      <c r="G403" s="7" t="s">
        <v>1819</v>
      </c>
      <c r="H403" s="7"/>
      <c r="I403" s="19" t="str">
        <f>IF(COUNTIF('Claude vs tools'!$K$2:$P$139,A403)&gt;0,"★ Yes","")</f>
        <v/>
      </c>
    </row>
    <row r="404" spans="1:9" x14ac:dyDescent="0.3">
      <c r="A404" s="18" t="s">
        <v>872</v>
      </c>
      <c r="B404" s="7"/>
      <c r="C404" s="7" t="s">
        <v>872</v>
      </c>
      <c r="D404" s="7"/>
      <c r="E404" s="6">
        <f t="shared" si="12"/>
        <v>1</v>
      </c>
      <c r="F404" s="6" t="str">
        <f t="shared" si="13"/>
        <v>Only RAKE</v>
      </c>
      <c r="G404" s="7" t="s">
        <v>1820</v>
      </c>
      <c r="H404" s="7"/>
      <c r="I404" s="19" t="str">
        <f>IF(COUNTIF('Claude vs tools'!$K$2:$P$139,A404)&gt;0,"★ Yes","")</f>
        <v/>
      </c>
    </row>
    <row r="405" spans="1:9" ht="26.4" x14ac:dyDescent="0.3">
      <c r="A405" s="18" t="s">
        <v>873</v>
      </c>
      <c r="B405" s="7"/>
      <c r="C405" s="7" t="s">
        <v>873</v>
      </c>
      <c r="D405" s="7"/>
      <c r="E405" s="6">
        <f t="shared" si="12"/>
        <v>1</v>
      </c>
      <c r="F405" s="6" t="str">
        <f t="shared" si="13"/>
        <v>Only RAKE</v>
      </c>
      <c r="G405" s="7" t="s">
        <v>1821</v>
      </c>
      <c r="H405" s="7"/>
      <c r="I405" s="19" t="str">
        <f>IF(COUNTIF('Claude vs tools'!$K$2:$P$139,A405)&gt;0,"★ Yes","")</f>
        <v/>
      </c>
    </row>
    <row r="406" spans="1:9" x14ac:dyDescent="0.3">
      <c r="A406" s="18" t="s">
        <v>874</v>
      </c>
      <c r="B406" s="7"/>
      <c r="C406" s="7"/>
      <c r="D406" s="7" t="s">
        <v>874</v>
      </c>
      <c r="E406" s="6">
        <f t="shared" si="12"/>
        <v>1</v>
      </c>
      <c r="F406" s="6" t="str">
        <f t="shared" si="13"/>
        <v>Only YAKE</v>
      </c>
      <c r="G406" s="7" t="s">
        <v>1822</v>
      </c>
      <c r="H406" s="7"/>
      <c r="I406" s="19" t="str">
        <f>IF(COUNTIF('Claude vs tools'!$K$2:$P$139,A406)&gt;0,"★ Yes","")</f>
        <v/>
      </c>
    </row>
    <row r="407" spans="1:9" x14ac:dyDescent="0.3">
      <c r="A407" s="18" t="s">
        <v>467</v>
      </c>
      <c r="B407" s="7"/>
      <c r="C407" s="7" t="s">
        <v>467</v>
      </c>
      <c r="D407" s="7"/>
      <c r="E407" s="6">
        <f t="shared" si="12"/>
        <v>1</v>
      </c>
      <c r="F407" s="6" t="str">
        <f t="shared" si="13"/>
        <v>Only RAKE</v>
      </c>
      <c r="G407" s="7" t="s">
        <v>1823</v>
      </c>
      <c r="H407" s="7"/>
      <c r="I407" s="19" t="str">
        <f>IF(COUNTIF('Claude vs tools'!$K$2:$P$139,A407)&gt;0,"★ Yes","")</f>
        <v>★ Yes</v>
      </c>
    </row>
    <row r="408" spans="1:9" x14ac:dyDescent="0.3">
      <c r="A408" s="18" t="s">
        <v>466</v>
      </c>
      <c r="B408" s="7"/>
      <c r="C408" s="7" t="s">
        <v>466</v>
      </c>
      <c r="D408" s="7"/>
      <c r="E408" s="6">
        <f t="shared" si="12"/>
        <v>1</v>
      </c>
      <c r="F408" s="6" t="str">
        <f t="shared" si="13"/>
        <v>Only RAKE</v>
      </c>
      <c r="G408" s="7" t="s">
        <v>1824</v>
      </c>
      <c r="H408" s="7"/>
      <c r="I408" s="19" t="str">
        <f>IF(COUNTIF('Claude vs tools'!$K$2:$P$139,A408)&gt;0,"★ Yes","")</f>
        <v>★ Yes</v>
      </c>
    </row>
    <row r="409" spans="1:9" x14ac:dyDescent="0.3">
      <c r="A409" s="18" t="s">
        <v>875</v>
      </c>
      <c r="B409" s="7"/>
      <c r="C409" s="7"/>
      <c r="D409" s="7" t="s">
        <v>875</v>
      </c>
      <c r="E409" s="6">
        <f t="shared" si="12"/>
        <v>1</v>
      </c>
      <c r="F409" s="6" t="str">
        <f t="shared" si="13"/>
        <v>Only YAKE</v>
      </c>
      <c r="G409" s="7" t="s">
        <v>1825</v>
      </c>
      <c r="H409" s="7"/>
      <c r="I409" s="19" t="str">
        <f>IF(COUNTIF('Claude vs tools'!$K$2:$P$139,A409)&gt;0,"★ Yes","")</f>
        <v/>
      </c>
    </row>
    <row r="410" spans="1:9" x14ac:dyDescent="0.3">
      <c r="A410" s="18" t="s">
        <v>162</v>
      </c>
      <c r="B410" s="7"/>
      <c r="C410" s="7" t="s">
        <v>162</v>
      </c>
      <c r="D410" s="7"/>
      <c r="E410" s="6">
        <f t="shared" si="12"/>
        <v>1</v>
      </c>
      <c r="F410" s="6" t="str">
        <f t="shared" si="13"/>
        <v>Only RAKE</v>
      </c>
      <c r="G410" s="7" t="s">
        <v>1826</v>
      </c>
      <c r="H410" s="7"/>
      <c r="I410" s="19" t="str">
        <f>IF(COUNTIF('Claude vs tools'!$K$2:$P$139,A410)&gt;0,"★ Yes","")</f>
        <v>★ Yes</v>
      </c>
    </row>
    <row r="411" spans="1:9" x14ac:dyDescent="0.3">
      <c r="A411" s="18" t="s">
        <v>164</v>
      </c>
      <c r="B411" s="7"/>
      <c r="C411" s="7"/>
      <c r="D411" s="7" t="s">
        <v>164</v>
      </c>
      <c r="E411" s="6">
        <f t="shared" si="12"/>
        <v>1</v>
      </c>
      <c r="F411" s="6" t="str">
        <f t="shared" si="13"/>
        <v>Only YAKE</v>
      </c>
      <c r="G411" s="7" t="s">
        <v>1827</v>
      </c>
      <c r="H411" s="7"/>
      <c r="I411" s="19" t="str">
        <f>IF(COUNTIF('Claude vs tools'!$K$2:$P$139,A411)&gt;0,"★ Yes","")</f>
        <v>★ Yes</v>
      </c>
    </row>
    <row r="412" spans="1:9" x14ac:dyDescent="0.3">
      <c r="A412" s="18" t="s">
        <v>876</v>
      </c>
      <c r="B412" s="7"/>
      <c r="C412" s="7" t="s">
        <v>876</v>
      </c>
      <c r="D412" s="7"/>
      <c r="E412" s="6">
        <f t="shared" si="12"/>
        <v>1</v>
      </c>
      <c r="F412" s="6" t="str">
        <f t="shared" si="13"/>
        <v>Only RAKE</v>
      </c>
      <c r="G412" s="7" t="s">
        <v>1828</v>
      </c>
      <c r="H412" s="7"/>
      <c r="I412" s="19" t="str">
        <f>IF(COUNTIF('Claude vs tools'!$K$2:$P$139,A412)&gt;0,"★ Yes","")</f>
        <v/>
      </c>
    </row>
    <row r="413" spans="1:9" x14ac:dyDescent="0.3">
      <c r="A413" s="18" t="s">
        <v>877</v>
      </c>
      <c r="B413" s="7"/>
      <c r="C413" s="7" t="s">
        <v>877</v>
      </c>
      <c r="D413" s="7"/>
      <c r="E413" s="6">
        <f t="shared" si="12"/>
        <v>1</v>
      </c>
      <c r="F413" s="6" t="str">
        <f t="shared" si="13"/>
        <v>Only RAKE</v>
      </c>
      <c r="G413" s="7" t="s">
        <v>795</v>
      </c>
      <c r="H413" s="7"/>
      <c r="I413" s="19" t="str">
        <f>IF(COUNTIF('Claude vs tools'!$K$2:$P$139,A413)&gt;0,"★ Yes","")</f>
        <v/>
      </c>
    </row>
    <row r="414" spans="1:9" x14ac:dyDescent="0.3">
      <c r="A414" s="18" t="s">
        <v>440</v>
      </c>
      <c r="B414" s="7"/>
      <c r="C414" s="7"/>
      <c r="D414" s="7" t="s">
        <v>440</v>
      </c>
      <c r="E414" s="6">
        <f t="shared" si="12"/>
        <v>1</v>
      </c>
      <c r="F414" s="6" t="str">
        <f t="shared" si="13"/>
        <v>Only YAKE</v>
      </c>
      <c r="G414" s="7" t="s">
        <v>1829</v>
      </c>
      <c r="H414" s="7"/>
      <c r="I414" s="19" t="str">
        <f>IF(COUNTIF('Claude vs tools'!$K$2:$P$139,A414)&gt;0,"★ Yes","")</f>
        <v>★ Yes</v>
      </c>
    </row>
    <row r="415" spans="1:9" x14ac:dyDescent="0.3">
      <c r="A415" s="18" t="s">
        <v>249</v>
      </c>
      <c r="B415" s="7"/>
      <c r="C415" s="7" t="s">
        <v>249</v>
      </c>
      <c r="D415" s="7"/>
      <c r="E415" s="6">
        <f t="shared" si="12"/>
        <v>1</v>
      </c>
      <c r="F415" s="6" t="str">
        <f t="shared" si="13"/>
        <v>Only RAKE</v>
      </c>
      <c r="G415" s="7" t="s">
        <v>1665</v>
      </c>
      <c r="H415" s="7"/>
      <c r="I415" s="19" t="str">
        <f>IF(COUNTIF('Claude vs tools'!$K$2:$P$139,A415)&gt;0,"★ Yes","")</f>
        <v>★ Yes</v>
      </c>
    </row>
    <row r="416" spans="1:9" x14ac:dyDescent="0.3">
      <c r="A416" s="18" t="s">
        <v>878</v>
      </c>
      <c r="B416" s="7"/>
      <c r="C416" s="7" t="s">
        <v>878</v>
      </c>
      <c r="D416" s="7"/>
      <c r="E416" s="6">
        <f t="shared" si="12"/>
        <v>1</v>
      </c>
      <c r="F416" s="6" t="str">
        <f t="shared" si="13"/>
        <v>Only RAKE</v>
      </c>
      <c r="G416" s="7" t="s">
        <v>1830</v>
      </c>
      <c r="H416" s="7"/>
      <c r="I416" s="19" t="str">
        <f>IF(COUNTIF('Claude vs tools'!$K$2:$P$139,A416)&gt;0,"★ Yes","")</f>
        <v/>
      </c>
    </row>
    <row r="417" spans="1:9" x14ac:dyDescent="0.3">
      <c r="A417" s="18" t="s">
        <v>879</v>
      </c>
      <c r="B417" s="7"/>
      <c r="C417" s="7" t="s">
        <v>879</v>
      </c>
      <c r="D417" s="7"/>
      <c r="E417" s="6">
        <f t="shared" si="12"/>
        <v>1</v>
      </c>
      <c r="F417" s="6" t="str">
        <f t="shared" si="13"/>
        <v>Only RAKE</v>
      </c>
      <c r="G417" s="7" t="s">
        <v>795</v>
      </c>
      <c r="H417" s="7"/>
      <c r="I417" s="19" t="str">
        <f>IF(COUNTIF('Claude vs tools'!$K$2:$P$139,A417)&gt;0,"★ Yes","")</f>
        <v/>
      </c>
    </row>
    <row r="418" spans="1:9" x14ac:dyDescent="0.3">
      <c r="A418" s="18" t="s">
        <v>880</v>
      </c>
      <c r="B418" s="7"/>
      <c r="C418" s="7" t="s">
        <v>880</v>
      </c>
      <c r="D418" s="7"/>
      <c r="E418" s="6">
        <f t="shared" si="12"/>
        <v>1</v>
      </c>
      <c r="F418" s="6" t="str">
        <f t="shared" si="13"/>
        <v>Only RAKE</v>
      </c>
      <c r="G418" s="7" t="s">
        <v>795</v>
      </c>
      <c r="H418" s="7"/>
      <c r="I418" s="19" t="str">
        <f>IF(COUNTIF('Claude vs tools'!$K$2:$P$139,A418)&gt;0,"★ Yes","")</f>
        <v/>
      </c>
    </row>
    <row r="419" spans="1:9" x14ac:dyDescent="0.3">
      <c r="A419" s="18" t="s">
        <v>881</v>
      </c>
      <c r="B419" s="7"/>
      <c r="C419" s="7" t="s">
        <v>881</v>
      </c>
      <c r="D419" s="7"/>
      <c r="E419" s="6">
        <f t="shared" si="12"/>
        <v>1</v>
      </c>
      <c r="F419" s="6" t="str">
        <f t="shared" si="13"/>
        <v>Only RAKE</v>
      </c>
      <c r="G419" s="7" t="s">
        <v>1831</v>
      </c>
      <c r="H419" s="7"/>
      <c r="I419" s="19" t="str">
        <f>IF(COUNTIF('Claude vs tools'!$K$2:$P$139,A419)&gt;0,"★ Yes","")</f>
        <v/>
      </c>
    </row>
    <row r="420" spans="1:9" x14ac:dyDescent="0.3">
      <c r="A420" s="18" t="s">
        <v>882</v>
      </c>
      <c r="B420" s="7"/>
      <c r="C420" s="7" t="s">
        <v>882</v>
      </c>
      <c r="D420" s="7"/>
      <c r="E420" s="6">
        <f t="shared" si="12"/>
        <v>1</v>
      </c>
      <c r="F420" s="6" t="str">
        <f t="shared" si="13"/>
        <v>Only RAKE</v>
      </c>
      <c r="G420" s="7" t="s">
        <v>1832</v>
      </c>
      <c r="H420" s="7"/>
      <c r="I420" s="19" t="str">
        <f>IF(COUNTIF('Claude vs tools'!$K$2:$P$139,A420)&gt;0,"★ Yes","")</f>
        <v/>
      </c>
    </row>
    <row r="421" spans="1:9" x14ac:dyDescent="0.3">
      <c r="A421" s="18" t="s">
        <v>883</v>
      </c>
      <c r="B421" s="7"/>
      <c r="C421" s="7" t="s">
        <v>883</v>
      </c>
      <c r="D421" s="7"/>
      <c r="E421" s="6">
        <f t="shared" si="12"/>
        <v>1</v>
      </c>
      <c r="F421" s="6" t="str">
        <f t="shared" si="13"/>
        <v>Only RAKE</v>
      </c>
      <c r="G421" s="7" t="s">
        <v>1833</v>
      </c>
      <c r="H421" s="7"/>
      <c r="I421" s="19" t="str">
        <f>IF(COUNTIF('Claude vs tools'!$K$2:$P$139,A421)&gt;0,"★ Yes","")</f>
        <v/>
      </c>
    </row>
    <row r="422" spans="1:9" ht="26.4" x14ac:dyDescent="0.3">
      <c r="A422" s="18" t="s">
        <v>884</v>
      </c>
      <c r="B422" s="7"/>
      <c r="C422" s="7"/>
      <c r="D422" s="7" t="s">
        <v>884</v>
      </c>
      <c r="E422" s="6">
        <f t="shared" si="12"/>
        <v>1</v>
      </c>
      <c r="F422" s="6" t="str">
        <f t="shared" si="13"/>
        <v>Only YAKE</v>
      </c>
      <c r="G422" s="7" t="s">
        <v>1834</v>
      </c>
      <c r="H422" s="7"/>
      <c r="I422" s="19" t="str">
        <f>IF(COUNTIF('Claude vs tools'!$K$2:$P$139,A422)&gt;0,"★ Yes","")</f>
        <v/>
      </c>
    </row>
    <row r="423" spans="1:9" x14ac:dyDescent="0.3">
      <c r="A423" s="18" t="s">
        <v>885</v>
      </c>
      <c r="B423" s="7"/>
      <c r="C423" s="7"/>
      <c r="D423" s="7" t="s">
        <v>885</v>
      </c>
      <c r="E423" s="6">
        <f t="shared" si="12"/>
        <v>1</v>
      </c>
      <c r="F423" s="6" t="str">
        <f t="shared" si="13"/>
        <v>Only YAKE</v>
      </c>
      <c r="G423" s="7" t="s">
        <v>1835</v>
      </c>
      <c r="H423" s="7"/>
      <c r="I423" s="19" t="str">
        <f>IF(COUNTIF('Claude vs tools'!$K$2:$P$139,A423)&gt;0,"★ Yes","")</f>
        <v/>
      </c>
    </row>
    <row r="424" spans="1:9" x14ac:dyDescent="0.3">
      <c r="A424" s="18" t="s">
        <v>280</v>
      </c>
      <c r="B424" s="7"/>
      <c r="C424" s="7"/>
      <c r="D424" s="7" t="s">
        <v>280</v>
      </c>
      <c r="E424" s="6">
        <f t="shared" si="12"/>
        <v>1</v>
      </c>
      <c r="F424" s="6" t="str">
        <f t="shared" si="13"/>
        <v>Only YAKE</v>
      </c>
      <c r="G424" s="7" t="s">
        <v>1836</v>
      </c>
      <c r="H424" s="7"/>
      <c r="I424" s="19" t="str">
        <f>IF(COUNTIF('Claude vs tools'!$K$2:$P$139,A424)&gt;0,"★ Yes","")</f>
        <v>★ Yes</v>
      </c>
    </row>
    <row r="425" spans="1:9" x14ac:dyDescent="0.3">
      <c r="A425" s="18" t="s">
        <v>886</v>
      </c>
      <c r="B425" s="7"/>
      <c r="C425" s="7" t="s">
        <v>886</v>
      </c>
      <c r="D425" s="7"/>
      <c r="E425" s="6">
        <f t="shared" si="12"/>
        <v>1</v>
      </c>
      <c r="F425" s="6" t="str">
        <f t="shared" si="13"/>
        <v>Only RAKE</v>
      </c>
      <c r="G425" s="7" t="s">
        <v>1837</v>
      </c>
      <c r="H425" s="7"/>
      <c r="I425" s="19" t="str">
        <f>IF(COUNTIF('Claude vs tools'!$K$2:$P$139,A425)&gt;0,"★ Yes","")</f>
        <v/>
      </c>
    </row>
    <row r="426" spans="1:9" x14ac:dyDescent="0.3">
      <c r="A426" s="18" t="s">
        <v>887</v>
      </c>
      <c r="B426" s="7"/>
      <c r="C426" s="7" t="s">
        <v>887</v>
      </c>
      <c r="D426" s="7"/>
      <c r="E426" s="6">
        <f t="shared" si="12"/>
        <v>1</v>
      </c>
      <c r="F426" s="6" t="str">
        <f t="shared" si="13"/>
        <v>Only RAKE</v>
      </c>
      <c r="G426" s="7" t="s">
        <v>1838</v>
      </c>
      <c r="H426" s="7"/>
      <c r="I426" s="19" t="str">
        <f>IF(COUNTIF('Claude vs tools'!$K$2:$P$139,A426)&gt;0,"★ Yes","")</f>
        <v/>
      </c>
    </row>
    <row r="427" spans="1:9" x14ac:dyDescent="0.3">
      <c r="A427" s="18" t="s">
        <v>888</v>
      </c>
      <c r="B427" s="7"/>
      <c r="C427" s="7"/>
      <c r="D427" s="7" t="s">
        <v>888</v>
      </c>
      <c r="E427" s="6">
        <f t="shared" si="12"/>
        <v>1</v>
      </c>
      <c r="F427" s="6" t="str">
        <f t="shared" si="13"/>
        <v>Only YAKE</v>
      </c>
      <c r="G427" s="7" t="s">
        <v>1839</v>
      </c>
      <c r="H427" s="7"/>
      <c r="I427" s="19" t="str">
        <f>IF(COUNTIF('Claude vs tools'!$K$2:$P$139,A427)&gt;0,"★ Yes","")</f>
        <v/>
      </c>
    </row>
    <row r="428" spans="1:9" x14ac:dyDescent="0.3">
      <c r="A428" s="18" t="s">
        <v>465</v>
      </c>
      <c r="B428" s="7"/>
      <c r="C428" s="7"/>
      <c r="D428" s="7" t="s">
        <v>465</v>
      </c>
      <c r="E428" s="6">
        <f t="shared" si="12"/>
        <v>1</v>
      </c>
      <c r="F428" s="6" t="str">
        <f t="shared" si="13"/>
        <v>Only YAKE</v>
      </c>
      <c r="G428" s="7" t="s">
        <v>1840</v>
      </c>
      <c r="H428" s="7"/>
      <c r="I428" s="19" t="str">
        <f>IF(COUNTIF('Claude vs tools'!$K$2:$P$139,A428)&gt;0,"★ Yes","")</f>
        <v>★ Yes</v>
      </c>
    </row>
    <row r="429" spans="1:9" x14ac:dyDescent="0.3">
      <c r="A429" s="18" t="s">
        <v>889</v>
      </c>
      <c r="B429" s="7"/>
      <c r="C429" s="7" t="s">
        <v>889</v>
      </c>
      <c r="D429" s="7"/>
      <c r="E429" s="6">
        <f t="shared" si="12"/>
        <v>1</v>
      </c>
      <c r="F429" s="6" t="str">
        <f t="shared" si="13"/>
        <v>Only RAKE</v>
      </c>
      <c r="G429" s="7" t="s">
        <v>1841</v>
      </c>
      <c r="H429" s="7"/>
      <c r="I429" s="19" t="str">
        <f>IF(COUNTIF('Claude vs tools'!$K$2:$P$139,A429)&gt;0,"★ Yes","")</f>
        <v/>
      </c>
    </row>
    <row r="430" spans="1:9" x14ac:dyDescent="0.3">
      <c r="A430" s="18" t="s">
        <v>890</v>
      </c>
      <c r="B430" s="7"/>
      <c r="C430" s="7" t="s">
        <v>890</v>
      </c>
      <c r="D430" s="7"/>
      <c r="E430" s="6">
        <f t="shared" si="12"/>
        <v>1</v>
      </c>
      <c r="F430" s="6" t="str">
        <f t="shared" si="13"/>
        <v>Only RAKE</v>
      </c>
      <c r="G430" s="7" t="s">
        <v>1842</v>
      </c>
      <c r="H430" s="7"/>
      <c r="I430" s="19" t="str">
        <f>IF(COUNTIF('Claude vs tools'!$K$2:$P$139,A430)&gt;0,"★ Yes","")</f>
        <v/>
      </c>
    </row>
    <row r="431" spans="1:9" x14ac:dyDescent="0.3">
      <c r="A431" s="18" t="s">
        <v>891</v>
      </c>
      <c r="B431" s="7"/>
      <c r="C431" s="7" t="s">
        <v>891</v>
      </c>
      <c r="D431" s="7"/>
      <c r="E431" s="6">
        <f t="shared" si="12"/>
        <v>1</v>
      </c>
      <c r="F431" s="6" t="str">
        <f t="shared" si="13"/>
        <v>Only RAKE</v>
      </c>
      <c r="G431" s="7" t="s">
        <v>795</v>
      </c>
      <c r="H431" s="7"/>
      <c r="I431" s="19" t="str">
        <f>IF(COUNTIF('Claude vs tools'!$K$2:$P$139,A431)&gt;0,"★ Yes","")</f>
        <v/>
      </c>
    </row>
    <row r="432" spans="1:9" x14ac:dyDescent="0.3">
      <c r="A432" s="18" t="s">
        <v>892</v>
      </c>
      <c r="B432" s="7"/>
      <c r="C432" s="7" t="s">
        <v>892</v>
      </c>
      <c r="D432" s="7"/>
      <c r="E432" s="6">
        <f t="shared" si="12"/>
        <v>1</v>
      </c>
      <c r="F432" s="6" t="str">
        <f t="shared" si="13"/>
        <v>Only RAKE</v>
      </c>
      <c r="G432" s="7" t="s">
        <v>1843</v>
      </c>
      <c r="H432" s="7"/>
      <c r="I432" s="19" t="str">
        <f>IF(COUNTIF('Claude vs tools'!$K$2:$P$139,A432)&gt;0,"★ Yes","")</f>
        <v/>
      </c>
    </row>
    <row r="433" spans="1:9" x14ac:dyDescent="0.3">
      <c r="A433" s="18" t="s">
        <v>893</v>
      </c>
      <c r="B433" s="7"/>
      <c r="C433" s="7" t="s">
        <v>893</v>
      </c>
      <c r="D433" s="7"/>
      <c r="E433" s="6">
        <f t="shared" si="12"/>
        <v>1</v>
      </c>
      <c r="F433" s="6" t="str">
        <f t="shared" si="13"/>
        <v>Only RAKE</v>
      </c>
      <c r="G433" s="7" t="s">
        <v>795</v>
      </c>
      <c r="H433" s="7"/>
      <c r="I433" s="19" t="str">
        <f>IF(COUNTIF('Claude vs tools'!$K$2:$P$139,A433)&gt;0,"★ Yes","")</f>
        <v/>
      </c>
    </row>
    <row r="434" spans="1:9" x14ac:dyDescent="0.3">
      <c r="A434" s="18" t="s">
        <v>894</v>
      </c>
      <c r="B434" s="7"/>
      <c r="C434" s="7"/>
      <c r="D434" s="7" t="s">
        <v>894</v>
      </c>
      <c r="E434" s="6">
        <f t="shared" si="12"/>
        <v>1</v>
      </c>
      <c r="F434" s="6" t="str">
        <f t="shared" si="13"/>
        <v>Only YAKE</v>
      </c>
      <c r="G434" s="7" t="s">
        <v>1844</v>
      </c>
      <c r="H434" s="7"/>
      <c r="I434" s="19" t="str">
        <f>IF(COUNTIF('Claude vs tools'!$K$2:$P$139,A434)&gt;0,"★ Yes","")</f>
        <v/>
      </c>
    </row>
    <row r="435" spans="1:9" ht="26.4" x14ac:dyDescent="0.3">
      <c r="A435" s="18" t="s">
        <v>895</v>
      </c>
      <c r="B435" s="7"/>
      <c r="C435" s="7"/>
      <c r="D435" s="7" t="s">
        <v>895</v>
      </c>
      <c r="E435" s="6">
        <f t="shared" si="12"/>
        <v>1</v>
      </c>
      <c r="F435" s="6" t="str">
        <f t="shared" si="13"/>
        <v>Only YAKE</v>
      </c>
      <c r="G435" s="7" t="s">
        <v>1845</v>
      </c>
      <c r="H435" s="7"/>
      <c r="I435" s="19" t="str">
        <f>IF(COUNTIF('Claude vs tools'!$K$2:$P$139,A435)&gt;0,"★ Yes","")</f>
        <v/>
      </c>
    </row>
    <row r="436" spans="1:9" ht="26.4" x14ac:dyDescent="0.3">
      <c r="A436" s="18" t="s">
        <v>896</v>
      </c>
      <c r="B436" s="7"/>
      <c r="C436" s="7"/>
      <c r="D436" s="7" t="s">
        <v>896</v>
      </c>
      <c r="E436" s="6">
        <f t="shared" si="12"/>
        <v>1</v>
      </c>
      <c r="F436" s="6" t="str">
        <f t="shared" si="13"/>
        <v>Only YAKE</v>
      </c>
      <c r="G436" s="7" t="s">
        <v>1846</v>
      </c>
      <c r="H436" s="7"/>
      <c r="I436" s="19" t="str">
        <f>IF(COUNTIF('Claude vs tools'!$K$2:$P$139,A436)&gt;0,"★ Yes","")</f>
        <v/>
      </c>
    </row>
    <row r="437" spans="1:9" ht="26.4" x14ac:dyDescent="0.3">
      <c r="A437" s="18" t="s">
        <v>897</v>
      </c>
      <c r="B437" s="7"/>
      <c r="C437" s="7"/>
      <c r="D437" s="7" t="s">
        <v>897</v>
      </c>
      <c r="E437" s="6">
        <f t="shared" si="12"/>
        <v>1</v>
      </c>
      <c r="F437" s="6" t="str">
        <f t="shared" si="13"/>
        <v>Only YAKE</v>
      </c>
      <c r="G437" s="7" t="s">
        <v>1847</v>
      </c>
      <c r="H437" s="7"/>
      <c r="I437" s="19" t="str">
        <f>IF(COUNTIF('Claude vs tools'!$K$2:$P$139,A437)&gt;0,"★ Yes","")</f>
        <v/>
      </c>
    </row>
    <row r="438" spans="1:9" ht="26.4" x14ac:dyDescent="0.3">
      <c r="A438" s="18" t="s">
        <v>898</v>
      </c>
      <c r="B438" s="7"/>
      <c r="C438" s="7"/>
      <c r="D438" s="7" t="s">
        <v>898</v>
      </c>
      <c r="E438" s="6">
        <f t="shared" si="12"/>
        <v>1</v>
      </c>
      <c r="F438" s="6" t="str">
        <f t="shared" si="13"/>
        <v>Only YAKE</v>
      </c>
      <c r="G438" s="7" t="s">
        <v>1848</v>
      </c>
      <c r="H438" s="7"/>
      <c r="I438" s="19" t="str">
        <f>IF(COUNTIF('Claude vs tools'!$K$2:$P$139,A438)&gt;0,"★ Yes","")</f>
        <v/>
      </c>
    </row>
    <row r="439" spans="1:9" x14ac:dyDescent="0.3">
      <c r="A439" s="18" t="s">
        <v>899</v>
      </c>
      <c r="B439" s="7"/>
      <c r="C439" s="7"/>
      <c r="D439" s="7" t="s">
        <v>899</v>
      </c>
      <c r="E439" s="6">
        <f t="shared" si="12"/>
        <v>1</v>
      </c>
      <c r="F439" s="6" t="str">
        <f t="shared" si="13"/>
        <v>Only YAKE</v>
      </c>
      <c r="G439" s="7" t="s">
        <v>1849</v>
      </c>
      <c r="H439" s="7"/>
      <c r="I439" s="19" t="str">
        <f>IF(COUNTIF('Claude vs tools'!$K$2:$P$139,A439)&gt;0,"★ Yes","")</f>
        <v/>
      </c>
    </row>
    <row r="440" spans="1:9" ht="26.4" x14ac:dyDescent="0.3">
      <c r="A440" s="18" t="s">
        <v>900</v>
      </c>
      <c r="B440" s="7"/>
      <c r="C440" s="7" t="s">
        <v>900</v>
      </c>
      <c r="D440" s="7"/>
      <c r="E440" s="6">
        <f t="shared" si="12"/>
        <v>1</v>
      </c>
      <c r="F440" s="6" t="str">
        <f t="shared" si="13"/>
        <v>Only RAKE</v>
      </c>
      <c r="G440" s="7" t="s">
        <v>1850</v>
      </c>
      <c r="H440" s="7"/>
      <c r="I440" s="19" t="str">
        <f>IF(COUNTIF('Claude vs tools'!$K$2:$P$139,A440)&gt;0,"★ Yes","")</f>
        <v/>
      </c>
    </row>
    <row r="441" spans="1:9" x14ac:dyDescent="0.3">
      <c r="A441" s="18" t="s">
        <v>901</v>
      </c>
      <c r="B441" s="7"/>
      <c r="C441" s="7"/>
      <c r="D441" s="7" t="s">
        <v>901</v>
      </c>
      <c r="E441" s="6">
        <f t="shared" si="12"/>
        <v>1</v>
      </c>
      <c r="F441" s="6" t="str">
        <f t="shared" si="13"/>
        <v>Only YAKE</v>
      </c>
      <c r="G441" s="7" t="s">
        <v>1851</v>
      </c>
      <c r="H441" s="7"/>
      <c r="I441" s="19" t="str">
        <f>IF(COUNTIF('Claude vs tools'!$K$2:$P$139,A441)&gt;0,"★ Yes","")</f>
        <v/>
      </c>
    </row>
    <row r="442" spans="1:9" x14ac:dyDescent="0.3">
      <c r="A442" s="18" t="s">
        <v>902</v>
      </c>
      <c r="B442" s="7"/>
      <c r="C442" s="7"/>
      <c r="D442" s="7" t="s">
        <v>902</v>
      </c>
      <c r="E442" s="6">
        <f t="shared" si="12"/>
        <v>1</v>
      </c>
      <c r="F442" s="6" t="str">
        <f t="shared" si="13"/>
        <v>Only YAKE</v>
      </c>
      <c r="G442" s="7" t="s">
        <v>1852</v>
      </c>
      <c r="H442" s="7"/>
      <c r="I442" s="19" t="str">
        <f>IF(COUNTIF('Claude vs tools'!$K$2:$P$139,A442)&gt;0,"★ Yes","")</f>
        <v/>
      </c>
    </row>
    <row r="443" spans="1:9" x14ac:dyDescent="0.3">
      <c r="A443" s="18" t="s">
        <v>903</v>
      </c>
      <c r="B443" s="7"/>
      <c r="C443" s="7"/>
      <c r="D443" s="7" t="s">
        <v>903</v>
      </c>
      <c r="E443" s="6">
        <f t="shared" si="12"/>
        <v>1</v>
      </c>
      <c r="F443" s="6" t="str">
        <f t="shared" si="13"/>
        <v>Only YAKE</v>
      </c>
      <c r="G443" s="7" t="s">
        <v>1566</v>
      </c>
      <c r="H443" s="7"/>
      <c r="I443" s="19" t="str">
        <f>IF(COUNTIF('Claude vs tools'!$K$2:$P$139,A443)&gt;0,"★ Yes","")</f>
        <v/>
      </c>
    </row>
    <row r="444" spans="1:9" x14ac:dyDescent="0.3">
      <c r="A444" s="18" t="s">
        <v>904</v>
      </c>
      <c r="B444" s="7"/>
      <c r="C444" s="7"/>
      <c r="D444" s="7" t="s">
        <v>904</v>
      </c>
      <c r="E444" s="6">
        <f t="shared" si="12"/>
        <v>1</v>
      </c>
      <c r="F444" s="6" t="str">
        <f t="shared" si="13"/>
        <v>Only YAKE</v>
      </c>
      <c r="G444" s="7" t="s">
        <v>1853</v>
      </c>
      <c r="H444" s="7"/>
      <c r="I444" s="19" t="str">
        <f>IF(COUNTIF('Claude vs tools'!$K$2:$P$139,A444)&gt;0,"★ Yes","")</f>
        <v/>
      </c>
    </row>
    <row r="445" spans="1:9" x14ac:dyDescent="0.3">
      <c r="A445" s="18" t="s">
        <v>905</v>
      </c>
      <c r="B445" s="7"/>
      <c r="C445" s="7"/>
      <c r="D445" s="7" t="s">
        <v>905</v>
      </c>
      <c r="E445" s="6">
        <f t="shared" si="12"/>
        <v>1</v>
      </c>
      <c r="F445" s="6" t="str">
        <f t="shared" si="13"/>
        <v>Only YAKE</v>
      </c>
      <c r="G445" s="7" t="s">
        <v>1854</v>
      </c>
      <c r="H445" s="7"/>
      <c r="I445" s="19" t="str">
        <f>IF(COUNTIF('Claude vs tools'!$K$2:$P$139,A445)&gt;0,"★ Yes","")</f>
        <v/>
      </c>
    </row>
    <row r="446" spans="1:9" x14ac:dyDescent="0.3">
      <c r="A446" s="18" t="s">
        <v>149</v>
      </c>
      <c r="B446" s="7"/>
      <c r="C446" s="7" t="s">
        <v>149</v>
      </c>
      <c r="D446" s="7"/>
      <c r="E446" s="6">
        <f t="shared" si="12"/>
        <v>1</v>
      </c>
      <c r="F446" s="6" t="str">
        <f t="shared" si="13"/>
        <v>Only RAKE</v>
      </c>
      <c r="G446" s="7" t="s">
        <v>1692</v>
      </c>
      <c r="H446" s="7"/>
      <c r="I446" s="19" t="str">
        <f>IF(COUNTIF('Claude vs tools'!$K$2:$P$139,A446)&gt;0,"★ Yes","")</f>
        <v>★ Yes</v>
      </c>
    </row>
    <row r="447" spans="1:9" x14ac:dyDescent="0.3">
      <c r="A447" s="18" t="s">
        <v>906</v>
      </c>
      <c r="B447" s="7"/>
      <c r="C447" s="7" t="s">
        <v>906</v>
      </c>
      <c r="D447" s="7"/>
      <c r="E447" s="6">
        <f t="shared" si="12"/>
        <v>1</v>
      </c>
      <c r="F447" s="6" t="str">
        <f t="shared" si="13"/>
        <v>Only RAKE</v>
      </c>
      <c r="G447" s="7" t="s">
        <v>795</v>
      </c>
      <c r="H447" s="7"/>
      <c r="I447" s="19" t="str">
        <f>IF(COUNTIF('Claude vs tools'!$K$2:$P$139,A447)&gt;0,"★ Yes","")</f>
        <v/>
      </c>
    </row>
    <row r="448" spans="1:9" x14ac:dyDescent="0.3">
      <c r="A448" s="18" t="s">
        <v>357</v>
      </c>
      <c r="B448" s="7"/>
      <c r="C448" s="7"/>
      <c r="D448" s="7" t="s">
        <v>357</v>
      </c>
      <c r="E448" s="6">
        <f t="shared" si="12"/>
        <v>1</v>
      </c>
      <c r="F448" s="6" t="str">
        <f t="shared" si="13"/>
        <v>Only YAKE</v>
      </c>
      <c r="G448" s="7" t="s">
        <v>1855</v>
      </c>
      <c r="H448" s="7"/>
      <c r="I448" s="19" t="str">
        <f>IF(COUNTIF('Claude vs tools'!$K$2:$P$139,A448)&gt;0,"★ Yes","")</f>
        <v>★ Yes</v>
      </c>
    </row>
    <row r="449" spans="1:9" x14ac:dyDescent="0.3">
      <c r="A449" s="18" t="s">
        <v>907</v>
      </c>
      <c r="B449" s="7"/>
      <c r="C449" s="7" t="s">
        <v>907</v>
      </c>
      <c r="D449" s="7"/>
      <c r="E449" s="6">
        <f t="shared" si="12"/>
        <v>1</v>
      </c>
      <c r="F449" s="6" t="str">
        <f t="shared" si="13"/>
        <v>Only RAKE</v>
      </c>
      <c r="G449" s="7" t="s">
        <v>1856</v>
      </c>
      <c r="H449" s="7"/>
      <c r="I449" s="19" t="str">
        <f>IF(COUNTIF('Claude vs tools'!$K$2:$P$139,A449)&gt;0,"★ Yes","")</f>
        <v/>
      </c>
    </row>
    <row r="450" spans="1:9" x14ac:dyDescent="0.3">
      <c r="A450" s="18" t="s">
        <v>908</v>
      </c>
      <c r="B450" s="7"/>
      <c r="C450" s="7" t="s">
        <v>908</v>
      </c>
      <c r="D450" s="7"/>
      <c r="E450" s="6">
        <f t="shared" ref="E450:E513" si="14">COUNTA(B450:D450)</f>
        <v>1</v>
      </c>
      <c r="F450" s="6" t="str">
        <f t="shared" ref="F450:F513" si="15">IF(E450=3,"All three",IF(E450=2,SUBSTITUTE(TRIM(IF(B450&lt;&gt;"","Gemini ","")&amp;IF(C450&lt;&gt;"","RAKE ","")&amp;IF(D450&lt;&gt;"","YAKE",""))," "," + "),"Only "&amp;TRIM(IF(B450&lt;&gt;"","Gemini","")&amp;IF(C450&lt;&gt;"","RAKE","")&amp;IF(D450&lt;&gt;"","YAKE",""))))</f>
        <v>Only RAKE</v>
      </c>
      <c r="G450" s="7" t="s">
        <v>795</v>
      </c>
      <c r="H450" s="7"/>
      <c r="I450" s="19" t="str">
        <f>IF(COUNTIF('Claude vs tools'!$K$2:$P$139,A450)&gt;0,"★ Yes","")</f>
        <v/>
      </c>
    </row>
    <row r="451" spans="1:9" x14ac:dyDescent="0.3">
      <c r="A451" s="18" t="s">
        <v>909</v>
      </c>
      <c r="B451" s="7"/>
      <c r="C451" s="7" t="s">
        <v>909</v>
      </c>
      <c r="D451" s="7"/>
      <c r="E451" s="6">
        <f t="shared" si="14"/>
        <v>1</v>
      </c>
      <c r="F451" s="6" t="str">
        <f t="shared" si="15"/>
        <v>Only RAKE</v>
      </c>
      <c r="G451" s="7" t="s">
        <v>795</v>
      </c>
      <c r="H451" s="7"/>
      <c r="I451" s="19" t="str">
        <f>IF(COUNTIF('Claude vs tools'!$K$2:$P$139,A451)&gt;0,"★ Yes","")</f>
        <v/>
      </c>
    </row>
    <row r="452" spans="1:9" x14ac:dyDescent="0.3">
      <c r="A452" s="18" t="s">
        <v>910</v>
      </c>
      <c r="B452" s="7"/>
      <c r="C452" s="7"/>
      <c r="D452" s="7" t="s">
        <v>910</v>
      </c>
      <c r="E452" s="6">
        <f t="shared" si="14"/>
        <v>1</v>
      </c>
      <c r="F452" s="6" t="str">
        <f t="shared" si="15"/>
        <v>Only YAKE</v>
      </c>
      <c r="G452" s="7" t="s">
        <v>1857</v>
      </c>
      <c r="H452" s="7"/>
      <c r="I452" s="19" t="str">
        <f>IF(COUNTIF('Claude vs tools'!$K$2:$P$139,A452)&gt;0,"★ Yes","")</f>
        <v/>
      </c>
    </row>
    <row r="453" spans="1:9" x14ac:dyDescent="0.3">
      <c r="A453" s="18" t="s">
        <v>911</v>
      </c>
      <c r="B453" s="7"/>
      <c r="C453" s="7"/>
      <c r="D453" s="7" t="s">
        <v>911</v>
      </c>
      <c r="E453" s="6">
        <f t="shared" si="14"/>
        <v>1</v>
      </c>
      <c r="F453" s="6" t="str">
        <f t="shared" si="15"/>
        <v>Only YAKE</v>
      </c>
      <c r="G453" s="7" t="s">
        <v>1858</v>
      </c>
      <c r="H453" s="7"/>
      <c r="I453" s="19" t="str">
        <f>IF(COUNTIF('Claude vs tools'!$K$2:$P$139,A453)&gt;0,"★ Yes","")</f>
        <v/>
      </c>
    </row>
    <row r="454" spans="1:9" ht="26.4" x14ac:dyDescent="0.3">
      <c r="A454" s="18" t="s">
        <v>912</v>
      </c>
      <c r="B454" s="7"/>
      <c r="C454" s="7" t="s">
        <v>912</v>
      </c>
      <c r="D454" s="7"/>
      <c r="E454" s="6">
        <f t="shared" si="14"/>
        <v>1</v>
      </c>
      <c r="F454" s="6" t="str">
        <f t="shared" si="15"/>
        <v>Only RAKE</v>
      </c>
      <c r="G454" s="7" t="s">
        <v>1859</v>
      </c>
      <c r="H454" s="7"/>
      <c r="I454" s="19" t="str">
        <f>IF(COUNTIF('Claude vs tools'!$K$2:$P$139,A454)&gt;0,"★ Yes","")</f>
        <v/>
      </c>
    </row>
    <row r="455" spans="1:9" x14ac:dyDescent="0.3">
      <c r="A455" s="18" t="s">
        <v>913</v>
      </c>
      <c r="B455" s="7"/>
      <c r="C455" s="7" t="s">
        <v>913</v>
      </c>
      <c r="D455" s="7"/>
      <c r="E455" s="6">
        <f t="shared" si="14"/>
        <v>1</v>
      </c>
      <c r="F455" s="6" t="str">
        <f t="shared" si="15"/>
        <v>Only RAKE</v>
      </c>
      <c r="G455" s="7" t="s">
        <v>1860</v>
      </c>
      <c r="H455" s="7"/>
      <c r="I455" s="19" t="str">
        <f>IF(COUNTIF('Claude vs tools'!$K$2:$P$139,A455)&gt;0,"★ Yes","")</f>
        <v/>
      </c>
    </row>
    <row r="456" spans="1:9" x14ac:dyDescent="0.3">
      <c r="A456" s="18" t="s">
        <v>914</v>
      </c>
      <c r="B456" s="7"/>
      <c r="C456" s="7" t="s">
        <v>914</v>
      </c>
      <c r="D456" s="7"/>
      <c r="E456" s="6">
        <f t="shared" si="14"/>
        <v>1</v>
      </c>
      <c r="F456" s="6" t="str">
        <f t="shared" si="15"/>
        <v>Only RAKE</v>
      </c>
      <c r="G456" s="7" t="s">
        <v>1860</v>
      </c>
      <c r="H456" s="7"/>
      <c r="I456" s="19" t="str">
        <f>IF(COUNTIF('Claude vs tools'!$K$2:$P$139,A456)&gt;0,"★ Yes","")</f>
        <v/>
      </c>
    </row>
    <row r="457" spans="1:9" x14ac:dyDescent="0.3">
      <c r="A457" s="18" t="s">
        <v>560</v>
      </c>
      <c r="B457" s="7"/>
      <c r="C457" s="7" t="s">
        <v>560</v>
      </c>
      <c r="D457" s="7"/>
      <c r="E457" s="6">
        <f t="shared" si="14"/>
        <v>1</v>
      </c>
      <c r="F457" s="6" t="str">
        <f t="shared" si="15"/>
        <v>Only RAKE</v>
      </c>
      <c r="G457" s="7" t="s">
        <v>795</v>
      </c>
      <c r="H457" s="7"/>
      <c r="I457" s="19" t="str">
        <f>IF(COUNTIF('Claude vs tools'!$K$2:$P$139,A457)&gt;0,"★ Yes","")</f>
        <v>★ Yes</v>
      </c>
    </row>
    <row r="458" spans="1:9" ht="26.4" x14ac:dyDescent="0.3">
      <c r="A458" s="18" t="s">
        <v>1861</v>
      </c>
      <c r="B458" s="7"/>
      <c r="C458" s="7"/>
      <c r="D458" s="7" t="s">
        <v>1862</v>
      </c>
      <c r="E458" s="6">
        <f t="shared" si="14"/>
        <v>1</v>
      </c>
      <c r="F458" s="6" t="str">
        <f t="shared" si="15"/>
        <v>Only YAKE</v>
      </c>
      <c r="G458" s="7" t="s">
        <v>1863</v>
      </c>
      <c r="H458" s="7"/>
      <c r="I458" s="19" t="str">
        <f>IF(COUNTIF('Claude vs tools'!$K$2:$P$139,A458)&gt;0,"★ Yes","")</f>
        <v/>
      </c>
    </row>
    <row r="459" spans="1:9" x14ac:dyDescent="0.3">
      <c r="A459" s="18" t="s">
        <v>916</v>
      </c>
      <c r="B459" s="7"/>
      <c r="C459" s="7" t="s">
        <v>916</v>
      </c>
      <c r="D459" s="7"/>
      <c r="E459" s="6">
        <f t="shared" si="14"/>
        <v>1</v>
      </c>
      <c r="F459" s="6" t="str">
        <f t="shared" si="15"/>
        <v>Only RAKE</v>
      </c>
      <c r="G459" s="7" t="s">
        <v>1864</v>
      </c>
      <c r="H459" s="7"/>
      <c r="I459" s="19" t="str">
        <f>IF(COUNTIF('Claude vs tools'!$K$2:$P$139,A459)&gt;0,"★ Yes","")</f>
        <v/>
      </c>
    </row>
    <row r="460" spans="1:9" ht="26.4" x14ac:dyDescent="0.3">
      <c r="A460" s="18" t="s">
        <v>917</v>
      </c>
      <c r="B460" s="7"/>
      <c r="C460" s="7"/>
      <c r="D460" s="7" t="s">
        <v>917</v>
      </c>
      <c r="E460" s="6">
        <f t="shared" si="14"/>
        <v>1</v>
      </c>
      <c r="F460" s="6" t="str">
        <f t="shared" si="15"/>
        <v>Only YAKE</v>
      </c>
      <c r="G460" s="7" t="s">
        <v>1865</v>
      </c>
      <c r="H460" s="7"/>
      <c r="I460" s="19" t="str">
        <f>IF(COUNTIF('Claude vs tools'!$K$2:$P$139,A460)&gt;0,"★ Yes","")</f>
        <v/>
      </c>
    </row>
    <row r="461" spans="1:9" x14ac:dyDescent="0.3">
      <c r="A461" s="18" t="s">
        <v>918</v>
      </c>
      <c r="B461" s="7"/>
      <c r="C461" s="7" t="s">
        <v>918</v>
      </c>
      <c r="D461" s="7"/>
      <c r="E461" s="6">
        <f t="shared" si="14"/>
        <v>1</v>
      </c>
      <c r="F461" s="6" t="str">
        <f t="shared" si="15"/>
        <v>Only RAKE</v>
      </c>
      <c r="G461" s="7" t="s">
        <v>1866</v>
      </c>
      <c r="H461" s="7"/>
      <c r="I461" s="19" t="str">
        <f>IF(COUNTIF('Claude vs tools'!$K$2:$P$139,A461)&gt;0,"★ Yes","")</f>
        <v/>
      </c>
    </row>
    <row r="462" spans="1:9" ht="26.4" x14ac:dyDescent="0.3">
      <c r="A462" s="18" t="s">
        <v>919</v>
      </c>
      <c r="B462" s="7" t="s">
        <v>919</v>
      </c>
      <c r="C462" s="7"/>
      <c r="D462" s="7"/>
      <c r="E462" s="6">
        <f t="shared" si="14"/>
        <v>1</v>
      </c>
      <c r="F462" s="6" t="str">
        <f t="shared" si="15"/>
        <v>Only Gemini</v>
      </c>
      <c r="G462" s="7" t="s">
        <v>1867</v>
      </c>
      <c r="H462" s="7"/>
      <c r="I462" s="19" t="str">
        <f>IF(COUNTIF('Claude vs tools'!$K$2:$P$139,A462)&gt;0,"★ Yes","")</f>
        <v/>
      </c>
    </row>
    <row r="463" spans="1:9" x14ac:dyDescent="0.3">
      <c r="A463" s="18" t="s">
        <v>920</v>
      </c>
      <c r="B463" s="7"/>
      <c r="C463" s="7"/>
      <c r="D463" s="7" t="s">
        <v>920</v>
      </c>
      <c r="E463" s="6">
        <f t="shared" si="14"/>
        <v>1</v>
      </c>
      <c r="F463" s="6" t="str">
        <f t="shared" si="15"/>
        <v>Only YAKE</v>
      </c>
      <c r="G463" s="7" t="s">
        <v>1868</v>
      </c>
      <c r="H463" s="7"/>
      <c r="I463" s="19" t="str">
        <f>IF(COUNTIF('Claude vs tools'!$K$2:$P$139,A463)&gt;0,"★ Yes","")</f>
        <v/>
      </c>
    </row>
    <row r="464" spans="1:9" x14ac:dyDescent="0.3">
      <c r="A464" s="18" t="s">
        <v>540</v>
      </c>
      <c r="B464" s="7"/>
      <c r="C464" s="7" t="s">
        <v>540</v>
      </c>
      <c r="D464" s="7"/>
      <c r="E464" s="6">
        <f t="shared" si="14"/>
        <v>1</v>
      </c>
      <c r="F464" s="6" t="str">
        <f t="shared" si="15"/>
        <v>Only RAKE</v>
      </c>
      <c r="G464" s="7" t="s">
        <v>795</v>
      </c>
      <c r="H464" s="7"/>
      <c r="I464" s="19" t="str">
        <f>IF(COUNTIF('Claude vs tools'!$K$2:$P$139,A464)&gt;0,"★ Yes","")</f>
        <v>★ Yes</v>
      </c>
    </row>
    <row r="465" spans="1:9" ht="39.6" x14ac:dyDescent="0.3">
      <c r="A465" s="18" t="s">
        <v>921</v>
      </c>
      <c r="B465" s="7"/>
      <c r="C465" s="7"/>
      <c r="D465" s="7" t="s">
        <v>921</v>
      </c>
      <c r="E465" s="6">
        <f t="shared" si="14"/>
        <v>1</v>
      </c>
      <c r="F465" s="6" t="str">
        <f t="shared" si="15"/>
        <v>Only YAKE</v>
      </c>
      <c r="G465" s="7" t="s">
        <v>1869</v>
      </c>
      <c r="H465" s="7"/>
      <c r="I465" s="19" t="str">
        <f>IF(COUNTIF('Claude vs tools'!$K$2:$P$139,A465)&gt;0,"★ Yes","")</f>
        <v/>
      </c>
    </row>
    <row r="466" spans="1:9" x14ac:dyDescent="0.3">
      <c r="A466" s="18" t="s">
        <v>922</v>
      </c>
      <c r="B466" s="7"/>
      <c r="C466" s="7" t="s">
        <v>922</v>
      </c>
      <c r="D466" s="7"/>
      <c r="E466" s="6">
        <f t="shared" si="14"/>
        <v>1</v>
      </c>
      <c r="F466" s="6" t="str">
        <f t="shared" si="15"/>
        <v>Only RAKE</v>
      </c>
      <c r="G466" s="7" t="s">
        <v>1870</v>
      </c>
      <c r="H466" s="7"/>
      <c r="I466" s="19" t="str">
        <f>IF(COUNTIF('Claude vs tools'!$K$2:$P$139,A466)&gt;0,"★ Yes","")</f>
        <v/>
      </c>
    </row>
    <row r="467" spans="1:9" x14ac:dyDescent="0.3">
      <c r="A467" s="18" t="s">
        <v>379</v>
      </c>
      <c r="B467" s="7"/>
      <c r="C467" s="7" t="s">
        <v>379</v>
      </c>
      <c r="D467" s="7"/>
      <c r="E467" s="6">
        <f t="shared" si="14"/>
        <v>1</v>
      </c>
      <c r="F467" s="6" t="str">
        <f t="shared" si="15"/>
        <v>Only RAKE</v>
      </c>
      <c r="G467" s="7" t="s">
        <v>1871</v>
      </c>
      <c r="H467" s="7"/>
      <c r="I467" s="19" t="str">
        <f>IF(COUNTIF('Claude vs tools'!$K$2:$P$139,A467)&gt;0,"★ Yes","")</f>
        <v>★ Yes</v>
      </c>
    </row>
    <row r="468" spans="1:9" ht="39.6" x14ac:dyDescent="0.3">
      <c r="A468" s="18" t="s">
        <v>923</v>
      </c>
      <c r="B468" s="7"/>
      <c r="C468" s="7"/>
      <c r="D468" s="7" t="s">
        <v>923</v>
      </c>
      <c r="E468" s="6">
        <f t="shared" si="14"/>
        <v>1</v>
      </c>
      <c r="F468" s="6" t="str">
        <f t="shared" si="15"/>
        <v>Only YAKE</v>
      </c>
      <c r="G468" s="7" t="s">
        <v>1872</v>
      </c>
      <c r="H468" s="7"/>
      <c r="I468" s="19" t="str">
        <f>IF(COUNTIF('Claude vs tools'!$K$2:$P$139,A468)&gt;0,"★ Yes","")</f>
        <v/>
      </c>
    </row>
    <row r="469" spans="1:9" ht="26.4" x14ac:dyDescent="0.3">
      <c r="A469" s="18" t="s">
        <v>924</v>
      </c>
      <c r="B469" s="7"/>
      <c r="C469" s="7" t="s">
        <v>924</v>
      </c>
      <c r="D469" s="7"/>
      <c r="E469" s="6">
        <f t="shared" si="14"/>
        <v>1</v>
      </c>
      <c r="F469" s="6" t="str">
        <f t="shared" si="15"/>
        <v>Only RAKE</v>
      </c>
      <c r="G469" s="7" t="s">
        <v>1873</v>
      </c>
      <c r="H469" s="7"/>
      <c r="I469" s="19" t="str">
        <f>IF(COUNTIF('Claude vs tools'!$K$2:$P$139,A469)&gt;0,"★ Yes","")</f>
        <v/>
      </c>
    </row>
    <row r="470" spans="1:9" x14ac:dyDescent="0.3">
      <c r="A470" s="18" t="s">
        <v>79</v>
      </c>
      <c r="B470" s="7"/>
      <c r="C470" s="7" t="s">
        <v>79</v>
      </c>
      <c r="D470" s="7"/>
      <c r="E470" s="6">
        <f t="shared" si="14"/>
        <v>1</v>
      </c>
      <c r="F470" s="6" t="str">
        <f t="shared" si="15"/>
        <v>Only RAKE</v>
      </c>
      <c r="G470" s="7" t="s">
        <v>1874</v>
      </c>
      <c r="H470" s="7"/>
      <c r="I470" s="19" t="str">
        <f>IF(COUNTIF('Claude vs tools'!$K$2:$P$139,A470)&gt;0,"★ Yes","")</f>
        <v>★ Yes</v>
      </c>
    </row>
    <row r="471" spans="1:9" x14ac:dyDescent="0.3">
      <c r="A471" s="18" t="s">
        <v>925</v>
      </c>
      <c r="B471" s="7"/>
      <c r="C471" s="7" t="s">
        <v>925</v>
      </c>
      <c r="D471" s="7"/>
      <c r="E471" s="6">
        <f t="shared" si="14"/>
        <v>1</v>
      </c>
      <c r="F471" s="6" t="str">
        <f t="shared" si="15"/>
        <v>Only RAKE</v>
      </c>
      <c r="G471" s="7" t="s">
        <v>795</v>
      </c>
      <c r="H471" s="7"/>
      <c r="I471" s="19" t="str">
        <f>IF(COUNTIF('Claude vs tools'!$K$2:$P$139,A471)&gt;0,"★ Yes","")</f>
        <v/>
      </c>
    </row>
    <row r="472" spans="1:9" x14ac:dyDescent="0.3">
      <c r="A472" s="18" t="s">
        <v>926</v>
      </c>
      <c r="B472" s="7"/>
      <c r="C472" s="7"/>
      <c r="D472" s="7" t="s">
        <v>926</v>
      </c>
      <c r="E472" s="6">
        <f t="shared" si="14"/>
        <v>1</v>
      </c>
      <c r="F472" s="6" t="str">
        <f t="shared" si="15"/>
        <v>Only YAKE</v>
      </c>
      <c r="G472" s="7" t="s">
        <v>1875</v>
      </c>
      <c r="H472" s="7"/>
      <c r="I472" s="19" t="str">
        <f>IF(COUNTIF('Claude vs tools'!$K$2:$P$139,A472)&gt;0,"★ Yes","")</f>
        <v/>
      </c>
    </row>
    <row r="473" spans="1:9" x14ac:dyDescent="0.3">
      <c r="A473" s="18" t="s">
        <v>927</v>
      </c>
      <c r="B473" s="7"/>
      <c r="C473" s="7"/>
      <c r="D473" s="7" t="s">
        <v>927</v>
      </c>
      <c r="E473" s="6">
        <f t="shared" si="14"/>
        <v>1</v>
      </c>
      <c r="F473" s="6" t="str">
        <f t="shared" si="15"/>
        <v>Only YAKE</v>
      </c>
      <c r="G473" s="7" t="s">
        <v>1876</v>
      </c>
      <c r="H473" s="7"/>
      <c r="I473" s="19" t="str">
        <f>IF(COUNTIF('Claude vs tools'!$K$2:$P$139,A473)&gt;0,"★ Yes","")</f>
        <v/>
      </c>
    </row>
    <row r="474" spans="1:9" ht="26.4" x14ac:dyDescent="0.3">
      <c r="A474" s="18" t="s">
        <v>92</v>
      </c>
      <c r="B474" s="7"/>
      <c r="C474" s="7"/>
      <c r="D474" s="7" t="s">
        <v>92</v>
      </c>
      <c r="E474" s="6">
        <f t="shared" si="14"/>
        <v>1</v>
      </c>
      <c r="F474" s="6" t="str">
        <f t="shared" si="15"/>
        <v>Only YAKE</v>
      </c>
      <c r="G474" s="7" t="s">
        <v>1877</v>
      </c>
      <c r="H474" s="7"/>
      <c r="I474" s="19" t="str">
        <f>IF(COUNTIF('Claude vs tools'!$K$2:$P$139,A474)&gt;0,"★ Yes","")</f>
        <v>★ Yes</v>
      </c>
    </row>
    <row r="475" spans="1:9" x14ac:dyDescent="0.3">
      <c r="A475" s="18" t="s">
        <v>928</v>
      </c>
      <c r="B475" s="7"/>
      <c r="C475" s="7"/>
      <c r="D475" s="7" t="s">
        <v>928</v>
      </c>
      <c r="E475" s="6">
        <f t="shared" si="14"/>
        <v>1</v>
      </c>
      <c r="F475" s="6" t="str">
        <f t="shared" si="15"/>
        <v>Only YAKE</v>
      </c>
      <c r="G475" s="7" t="s">
        <v>1878</v>
      </c>
      <c r="H475" s="7"/>
      <c r="I475" s="19" t="str">
        <f>IF(COUNTIF('Claude vs tools'!$K$2:$P$139,A475)&gt;0,"★ Yes","")</f>
        <v/>
      </c>
    </row>
    <row r="476" spans="1:9" x14ac:dyDescent="0.3">
      <c r="A476" s="18" t="s">
        <v>929</v>
      </c>
      <c r="B476" s="7"/>
      <c r="C476" s="7"/>
      <c r="D476" s="7" t="s">
        <v>929</v>
      </c>
      <c r="E476" s="6">
        <f t="shared" si="14"/>
        <v>1</v>
      </c>
      <c r="F476" s="6" t="str">
        <f t="shared" si="15"/>
        <v>Only YAKE</v>
      </c>
      <c r="G476" s="7" t="s">
        <v>1879</v>
      </c>
      <c r="H476" s="7"/>
      <c r="I476" s="19" t="str">
        <f>IF(COUNTIF('Claude vs tools'!$K$2:$P$139,A476)&gt;0,"★ Yes","")</f>
        <v/>
      </c>
    </row>
    <row r="477" spans="1:9" x14ac:dyDescent="0.3">
      <c r="A477" s="18" t="s">
        <v>930</v>
      </c>
      <c r="B477" s="7"/>
      <c r="C477" s="7" t="s">
        <v>930</v>
      </c>
      <c r="D477" s="7"/>
      <c r="E477" s="6">
        <f t="shared" si="14"/>
        <v>1</v>
      </c>
      <c r="F477" s="6" t="str">
        <f t="shared" si="15"/>
        <v>Only RAKE</v>
      </c>
      <c r="G477" s="7" t="s">
        <v>795</v>
      </c>
      <c r="H477" s="7"/>
      <c r="I477" s="19" t="str">
        <f>IF(COUNTIF('Claude vs tools'!$K$2:$P$139,A477)&gt;0,"★ Yes","")</f>
        <v/>
      </c>
    </row>
    <row r="478" spans="1:9" x14ac:dyDescent="0.3">
      <c r="A478" s="18" t="s">
        <v>931</v>
      </c>
      <c r="B478" s="7"/>
      <c r="C478" s="7" t="s">
        <v>931</v>
      </c>
      <c r="D478" s="7"/>
      <c r="E478" s="6">
        <f t="shared" si="14"/>
        <v>1</v>
      </c>
      <c r="F478" s="6" t="str">
        <f t="shared" si="15"/>
        <v>Only RAKE</v>
      </c>
      <c r="G478" s="7" t="s">
        <v>1880</v>
      </c>
      <c r="H478" s="7"/>
      <c r="I478" s="19" t="str">
        <f>IF(COUNTIF('Claude vs tools'!$K$2:$P$139,A478)&gt;0,"★ Yes","")</f>
        <v/>
      </c>
    </row>
    <row r="479" spans="1:9" x14ac:dyDescent="0.3">
      <c r="A479" s="18" t="s">
        <v>49</v>
      </c>
      <c r="B479" s="7"/>
      <c r="C479" s="7" t="s">
        <v>49</v>
      </c>
      <c r="D479" s="7"/>
      <c r="E479" s="6">
        <f t="shared" si="14"/>
        <v>1</v>
      </c>
      <c r="F479" s="6" t="str">
        <f t="shared" si="15"/>
        <v>Only RAKE</v>
      </c>
      <c r="G479" s="7" t="s">
        <v>795</v>
      </c>
      <c r="H479" s="7"/>
      <c r="I479" s="19" t="str">
        <f>IF(COUNTIF('Claude vs tools'!$K$2:$P$139,A479)&gt;0,"★ Yes","")</f>
        <v>★ Yes</v>
      </c>
    </row>
    <row r="480" spans="1:9" x14ac:dyDescent="0.3">
      <c r="A480" s="18" t="s">
        <v>46</v>
      </c>
      <c r="B480" s="7"/>
      <c r="C480" s="7" t="s">
        <v>46</v>
      </c>
      <c r="D480" s="7"/>
      <c r="E480" s="6">
        <f t="shared" si="14"/>
        <v>1</v>
      </c>
      <c r="F480" s="6" t="str">
        <f t="shared" si="15"/>
        <v>Only RAKE</v>
      </c>
      <c r="G480" s="7" t="s">
        <v>1881</v>
      </c>
      <c r="H480" s="7"/>
      <c r="I480" s="19" t="str">
        <f>IF(COUNTIF('Claude vs tools'!$K$2:$P$139,A480)&gt;0,"★ Yes","")</f>
        <v>★ Yes</v>
      </c>
    </row>
    <row r="481" spans="1:9" x14ac:dyDescent="0.3">
      <c r="A481" s="18" t="s">
        <v>932</v>
      </c>
      <c r="B481" s="7"/>
      <c r="C481" s="7"/>
      <c r="D481" s="7" t="s">
        <v>932</v>
      </c>
      <c r="E481" s="6">
        <f t="shared" si="14"/>
        <v>1</v>
      </c>
      <c r="F481" s="6" t="str">
        <f t="shared" si="15"/>
        <v>Only YAKE</v>
      </c>
      <c r="G481" s="7" t="s">
        <v>1882</v>
      </c>
      <c r="H481" s="7"/>
      <c r="I481" s="19" t="str">
        <f>IF(COUNTIF('Claude vs tools'!$K$2:$P$139,A481)&gt;0,"★ Yes","")</f>
        <v/>
      </c>
    </row>
    <row r="482" spans="1:9" x14ac:dyDescent="0.3">
      <c r="A482" s="18" t="s">
        <v>382</v>
      </c>
      <c r="B482" s="7"/>
      <c r="C482" s="7"/>
      <c r="D482" s="7" t="s">
        <v>382</v>
      </c>
      <c r="E482" s="6">
        <f t="shared" si="14"/>
        <v>1</v>
      </c>
      <c r="F482" s="6" t="str">
        <f t="shared" si="15"/>
        <v>Only YAKE</v>
      </c>
      <c r="G482" s="7" t="s">
        <v>1883</v>
      </c>
      <c r="H482" s="7"/>
      <c r="I482" s="19" t="str">
        <f>IF(COUNTIF('Claude vs tools'!$K$2:$P$139,A482)&gt;0,"★ Yes","")</f>
        <v>★ Yes</v>
      </c>
    </row>
    <row r="483" spans="1:9" x14ac:dyDescent="0.3">
      <c r="A483" s="18" t="s">
        <v>933</v>
      </c>
      <c r="B483" s="7"/>
      <c r="C483" s="7" t="s">
        <v>933</v>
      </c>
      <c r="D483" s="7"/>
      <c r="E483" s="6">
        <f t="shared" si="14"/>
        <v>1</v>
      </c>
      <c r="F483" s="6" t="str">
        <f t="shared" si="15"/>
        <v>Only RAKE</v>
      </c>
      <c r="G483" s="7" t="s">
        <v>1559</v>
      </c>
      <c r="H483" s="7"/>
      <c r="I483" s="19" t="str">
        <f>IF(COUNTIF('Claude vs tools'!$K$2:$P$139,A483)&gt;0,"★ Yes","")</f>
        <v/>
      </c>
    </row>
    <row r="484" spans="1:9" x14ac:dyDescent="0.3">
      <c r="A484" s="18" t="s">
        <v>934</v>
      </c>
      <c r="B484" s="7"/>
      <c r="C484" s="7" t="s">
        <v>934</v>
      </c>
      <c r="D484" s="7"/>
      <c r="E484" s="6">
        <f t="shared" si="14"/>
        <v>1</v>
      </c>
      <c r="F484" s="6" t="str">
        <f t="shared" si="15"/>
        <v>Only RAKE</v>
      </c>
      <c r="G484" s="7" t="s">
        <v>1559</v>
      </c>
      <c r="H484" s="7"/>
      <c r="I484" s="19" t="str">
        <f>IF(COUNTIF('Claude vs tools'!$K$2:$P$139,A484)&gt;0,"★ Yes","")</f>
        <v/>
      </c>
    </row>
    <row r="485" spans="1:9" x14ac:dyDescent="0.3">
      <c r="A485" s="18" t="s">
        <v>935</v>
      </c>
      <c r="B485" s="7"/>
      <c r="C485" s="7" t="s">
        <v>935</v>
      </c>
      <c r="D485" s="7"/>
      <c r="E485" s="6">
        <f t="shared" si="14"/>
        <v>1</v>
      </c>
      <c r="F485" s="6" t="str">
        <f t="shared" si="15"/>
        <v>Only RAKE</v>
      </c>
      <c r="G485" s="7" t="s">
        <v>1559</v>
      </c>
      <c r="H485" s="7"/>
      <c r="I485" s="19" t="str">
        <f>IF(COUNTIF('Claude vs tools'!$K$2:$P$139,A485)&gt;0,"★ Yes","")</f>
        <v/>
      </c>
    </row>
    <row r="486" spans="1:9" x14ac:dyDescent="0.3">
      <c r="A486" s="18" t="s">
        <v>936</v>
      </c>
      <c r="B486" s="7"/>
      <c r="C486" s="7" t="s">
        <v>936</v>
      </c>
      <c r="D486" s="7"/>
      <c r="E486" s="6">
        <f t="shared" si="14"/>
        <v>1</v>
      </c>
      <c r="F486" s="6" t="str">
        <f t="shared" si="15"/>
        <v>Only RAKE</v>
      </c>
      <c r="G486" s="7" t="s">
        <v>1559</v>
      </c>
      <c r="H486" s="7"/>
      <c r="I486" s="19" t="str">
        <f>IF(COUNTIF('Claude vs tools'!$K$2:$P$139,A486)&gt;0,"★ Yes","")</f>
        <v/>
      </c>
    </row>
    <row r="487" spans="1:9" x14ac:dyDescent="0.3">
      <c r="A487" s="18" t="s">
        <v>937</v>
      </c>
      <c r="B487" s="7"/>
      <c r="C487" s="7" t="s">
        <v>937</v>
      </c>
      <c r="D487" s="7"/>
      <c r="E487" s="6">
        <f t="shared" si="14"/>
        <v>1</v>
      </c>
      <c r="F487" s="6" t="str">
        <f t="shared" si="15"/>
        <v>Only RAKE</v>
      </c>
      <c r="G487" s="7" t="s">
        <v>795</v>
      </c>
      <c r="H487" s="7"/>
      <c r="I487" s="19" t="str">
        <f>IF(COUNTIF('Claude vs tools'!$K$2:$P$139,A487)&gt;0,"★ Yes","")</f>
        <v/>
      </c>
    </row>
    <row r="488" spans="1:9" x14ac:dyDescent="0.3">
      <c r="A488" s="18" t="s">
        <v>938</v>
      </c>
      <c r="B488" s="7"/>
      <c r="C488" s="7" t="s">
        <v>938</v>
      </c>
      <c r="D488" s="7"/>
      <c r="E488" s="6">
        <f t="shared" si="14"/>
        <v>1</v>
      </c>
      <c r="F488" s="6" t="str">
        <f t="shared" si="15"/>
        <v>Only RAKE</v>
      </c>
      <c r="G488" s="7" t="s">
        <v>1884</v>
      </c>
      <c r="H488" s="7"/>
      <c r="I488" s="19" t="str">
        <f>IF(COUNTIF('Claude vs tools'!$K$2:$P$139,A488)&gt;0,"★ Yes","")</f>
        <v/>
      </c>
    </row>
    <row r="489" spans="1:9" x14ac:dyDescent="0.3">
      <c r="A489" s="18" t="s">
        <v>330</v>
      </c>
      <c r="B489" s="7"/>
      <c r="C489" s="7" t="s">
        <v>330</v>
      </c>
      <c r="D489" s="7"/>
      <c r="E489" s="6">
        <f t="shared" si="14"/>
        <v>1</v>
      </c>
      <c r="F489" s="6" t="str">
        <f t="shared" si="15"/>
        <v>Only RAKE</v>
      </c>
      <c r="G489" s="7" t="s">
        <v>1811</v>
      </c>
      <c r="H489" s="7"/>
      <c r="I489" s="19" t="str">
        <f>IF(COUNTIF('Claude vs tools'!$K$2:$P$139,A489)&gt;0,"★ Yes","")</f>
        <v>★ Yes</v>
      </c>
    </row>
    <row r="490" spans="1:9" x14ac:dyDescent="0.3">
      <c r="A490" s="18" t="s">
        <v>939</v>
      </c>
      <c r="B490" s="7"/>
      <c r="C490" s="7" t="s">
        <v>939</v>
      </c>
      <c r="D490" s="7"/>
      <c r="E490" s="6">
        <f t="shared" si="14"/>
        <v>1</v>
      </c>
      <c r="F490" s="6" t="str">
        <f t="shared" si="15"/>
        <v>Only RAKE</v>
      </c>
      <c r="G490" s="7" t="s">
        <v>1622</v>
      </c>
      <c r="H490" s="7"/>
      <c r="I490" s="19" t="str">
        <f>IF(COUNTIF('Claude vs tools'!$K$2:$P$139,A490)&gt;0,"★ Yes","")</f>
        <v/>
      </c>
    </row>
    <row r="491" spans="1:9" x14ac:dyDescent="0.3">
      <c r="A491" s="18" t="s">
        <v>940</v>
      </c>
      <c r="B491" s="7"/>
      <c r="C491" s="7"/>
      <c r="D491" s="7" t="s">
        <v>940</v>
      </c>
      <c r="E491" s="6">
        <f t="shared" si="14"/>
        <v>1</v>
      </c>
      <c r="F491" s="6" t="str">
        <f t="shared" si="15"/>
        <v>Only YAKE</v>
      </c>
      <c r="G491" s="7" t="s">
        <v>1885</v>
      </c>
      <c r="H491" s="7"/>
      <c r="I491" s="19" t="str">
        <f>IF(COUNTIF('Claude vs tools'!$K$2:$P$139,A491)&gt;0,"★ Yes","")</f>
        <v/>
      </c>
    </row>
    <row r="492" spans="1:9" x14ac:dyDescent="0.3">
      <c r="A492" s="18" t="s">
        <v>941</v>
      </c>
      <c r="B492" s="7"/>
      <c r="C492" s="7"/>
      <c r="D492" s="7" t="s">
        <v>941</v>
      </c>
      <c r="E492" s="6">
        <f t="shared" si="14"/>
        <v>1</v>
      </c>
      <c r="F492" s="6" t="str">
        <f t="shared" si="15"/>
        <v>Only YAKE</v>
      </c>
      <c r="G492" s="7" t="s">
        <v>1886</v>
      </c>
      <c r="H492" s="7"/>
      <c r="I492" s="19" t="str">
        <f>IF(COUNTIF('Claude vs tools'!$K$2:$P$139,A492)&gt;0,"★ Yes","")</f>
        <v/>
      </c>
    </row>
    <row r="493" spans="1:9" x14ac:dyDescent="0.3">
      <c r="A493" s="18" t="s">
        <v>942</v>
      </c>
      <c r="B493" s="7"/>
      <c r="C493" s="7" t="s">
        <v>942</v>
      </c>
      <c r="D493" s="7"/>
      <c r="E493" s="6">
        <f t="shared" si="14"/>
        <v>1</v>
      </c>
      <c r="F493" s="6" t="str">
        <f t="shared" si="15"/>
        <v>Only RAKE</v>
      </c>
      <c r="G493" s="7" t="s">
        <v>1742</v>
      </c>
      <c r="H493" s="7"/>
      <c r="I493" s="19" t="str">
        <f>IF(COUNTIF('Claude vs tools'!$K$2:$P$139,A493)&gt;0,"★ Yes","")</f>
        <v/>
      </c>
    </row>
    <row r="494" spans="1:9" x14ac:dyDescent="0.3">
      <c r="A494" s="18" t="s">
        <v>943</v>
      </c>
      <c r="B494" s="7"/>
      <c r="C494" s="7"/>
      <c r="D494" s="7" t="s">
        <v>943</v>
      </c>
      <c r="E494" s="6">
        <f t="shared" si="14"/>
        <v>1</v>
      </c>
      <c r="F494" s="6" t="str">
        <f t="shared" si="15"/>
        <v>Only YAKE</v>
      </c>
      <c r="G494" s="7" t="s">
        <v>1887</v>
      </c>
      <c r="H494" s="7"/>
      <c r="I494" s="19" t="str">
        <f>IF(COUNTIF('Claude vs tools'!$K$2:$P$139,A494)&gt;0,"★ Yes","")</f>
        <v/>
      </c>
    </row>
    <row r="495" spans="1:9" ht="26.4" x14ac:dyDescent="0.3">
      <c r="A495" s="18" t="s">
        <v>944</v>
      </c>
      <c r="B495" s="7"/>
      <c r="C495" s="7" t="s">
        <v>944</v>
      </c>
      <c r="D495" s="7"/>
      <c r="E495" s="6">
        <f t="shared" si="14"/>
        <v>1</v>
      </c>
      <c r="F495" s="6" t="str">
        <f t="shared" si="15"/>
        <v>Only RAKE</v>
      </c>
      <c r="G495" s="7" t="s">
        <v>1888</v>
      </c>
      <c r="H495" s="7"/>
      <c r="I495" s="19" t="str">
        <f>IF(COUNTIF('Claude vs tools'!$K$2:$P$139,A495)&gt;0,"★ Yes","")</f>
        <v/>
      </c>
    </row>
    <row r="496" spans="1:9" x14ac:dyDescent="0.3">
      <c r="A496" s="18" t="s">
        <v>945</v>
      </c>
      <c r="B496" s="7"/>
      <c r="C496" s="7" t="s">
        <v>945</v>
      </c>
      <c r="D496" s="7"/>
      <c r="E496" s="6">
        <f t="shared" si="14"/>
        <v>1</v>
      </c>
      <c r="F496" s="6" t="str">
        <f t="shared" si="15"/>
        <v>Only RAKE</v>
      </c>
      <c r="G496" s="7" t="s">
        <v>795</v>
      </c>
      <c r="H496" s="7"/>
      <c r="I496" s="19" t="str">
        <f>IF(COUNTIF('Claude vs tools'!$K$2:$P$139,A496)&gt;0,"★ Yes","")</f>
        <v/>
      </c>
    </row>
    <row r="497" spans="1:9" x14ac:dyDescent="0.3">
      <c r="A497" s="18" t="s">
        <v>946</v>
      </c>
      <c r="B497" s="7"/>
      <c r="C497" s="7"/>
      <c r="D497" s="7" t="s">
        <v>946</v>
      </c>
      <c r="E497" s="6">
        <f t="shared" si="14"/>
        <v>1</v>
      </c>
      <c r="F497" s="6" t="str">
        <f t="shared" si="15"/>
        <v>Only YAKE</v>
      </c>
      <c r="G497" s="7" t="s">
        <v>1889</v>
      </c>
      <c r="H497" s="7"/>
      <c r="I497" s="19" t="str">
        <f>IF(COUNTIF('Claude vs tools'!$K$2:$P$139,A497)&gt;0,"★ Yes","")</f>
        <v/>
      </c>
    </row>
    <row r="498" spans="1:9" x14ac:dyDescent="0.3">
      <c r="A498" s="18" t="s">
        <v>947</v>
      </c>
      <c r="B498" s="7"/>
      <c r="C498" s="7" t="s">
        <v>947</v>
      </c>
      <c r="D498" s="7"/>
      <c r="E498" s="6">
        <f t="shared" si="14"/>
        <v>1</v>
      </c>
      <c r="F498" s="6" t="str">
        <f t="shared" si="15"/>
        <v>Only RAKE</v>
      </c>
      <c r="G498" s="7" t="s">
        <v>1890</v>
      </c>
      <c r="H498" s="7"/>
      <c r="I498" s="19" t="str">
        <f>IF(COUNTIF('Claude vs tools'!$K$2:$P$139,A498)&gt;0,"★ Yes","")</f>
        <v/>
      </c>
    </row>
    <row r="499" spans="1:9" x14ac:dyDescent="0.3">
      <c r="A499" s="18" t="s">
        <v>948</v>
      </c>
      <c r="B499" s="7"/>
      <c r="C499" s="7"/>
      <c r="D499" s="7" t="s">
        <v>948</v>
      </c>
      <c r="E499" s="6">
        <f t="shared" si="14"/>
        <v>1</v>
      </c>
      <c r="F499" s="6" t="str">
        <f t="shared" si="15"/>
        <v>Only YAKE</v>
      </c>
      <c r="G499" s="7" t="s">
        <v>1891</v>
      </c>
      <c r="H499" s="7"/>
      <c r="I499" s="19" t="str">
        <f>IF(COUNTIF('Claude vs tools'!$K$2:$P$139,A499)&gt;0,"★ Yes","")</f>
        <v/>
      </c>
    </row>
    <row r="500" spans="1:9" x14ac:dyDescent="0.3">
      <c r="A500" s="18" t="s">
        <v>949</v>
      </c>
      <c r="B500" s="7"/>
      <c r="C500" s="7" t="s">
        <v>949</v>
      </c>
      <c r="D500" s="7"/>
      <c r="E500" s="6">
        <f t="shared" si="14"/>
        <v>1</v>
      </c>
      <c r="F500" s="6" t="str">
        <f t="shared" si="15"/>
        <v>Only RAKE</v>
      </c>
      <c r="G500" s="7" t="s">
        <v>1892</v>
      </c>
      <c r="H500" s="7"/>
      <c r="I500" s="19" t="str">
        <f>IF(COUNTIF('Claude vs tools'!$K$2:$P$139,A500)&gt;0,"★ Yes","")</f>
        <v/>
      </c>
    </row>
    <row r="501" spans="1:9" x14ac:dyDescent="0.3">
      <c r="A501" s="18" t="s">
        <v>950</v>
      </c>
      <c r="B501" s="7"/>
      <c r="C501" s="7"/>
      <c r="D501" s="7" t="s">
        <v>950</v>
      </c>
      <c r="E501" s="6">
        <f t="shared" si="14"/>
        <v>1</v>
      </c>
      <c r="F501" s="6" t="str">
        <f t="shared" si="15"/>
        <v>Only YAKE</v>
      </c>
      <c r="G501" s="7" t="s">
        <v>1500</v>
      </c>
      <c r="H501" s="7"/>
      <c r="I501" s="19" t="str">
        <f>IF(COUNTIF('Claude vs tools'!$K$2:$P$139,A501)&gt;0,"★ Yes","")</f>
        <v/>
      </c>
    </row>
    <row r="502" spans="1:9" x14ac:dyDescent="0.3">
      <c r="A502" s="18" t="s">
        <v>951</v>
      </c>
      <c r="B502" s="7"/>
      <c r="C502" s="7" t="s">
        <v>951</v>
      </c>
      <c r="D502" s="7"/>
      <c r="E502" s="6">
        <f t="shared" si="14"/>
        <v>1</v>
      </c>
      <c r="F502" s="6" t="str">
        <f t="shared" si="15"/>
        <v>Only RAKE</v>
      </c>
      <c r="G502" s="7" t="s">
        <v>1500</v>
      </c>
      <c r="H502" s="7"/>
      <c r="I502" s="19" t="str">
        <f>IF(COUNTIF('Claude vs tools'!$K$2:$P$139,A502)&gt;0,"★ Yes","")</f>
        <v/>
      </c>
    </row>
    <row r="503" spans="1:9" x14ac:dyDescent="0.3">
      <c r="A503" s="18" t="s">
        <v>952</v>
      </c>
      <c r="B503" s="7"/>
      <c r="C503" s="7"/>
      <c r="D503" s="7" t="s">
        <v>952</v>
      </c>
      <c r="E503" s="6">
        <f t="shared" si="14"/>
        <v>1</v>
      </c>
      <c r="F503" s="6" t="str">
        <f t="shared" si="15"/>
        <v>Only YAKE</v>
      </c>
      <c r="G503" s="7" t="s">
        <v>1893</v>
      </c>
      <c r="H503" s="7"/>
      <c r="I503" s="19" t="str">
        <f>IF(COUNTIF('Claude vs tools'!$K$2:$P$139,A503)&gt;0,"★ Yes","")</f>
        <v/>
      </c>
    </row>
    <row r="504" spans="1:9" x14ac:dyDescent="0.3">
      <c r="A504" s="18" t="s">
        <v>270</v>
      </c>
      <c r="B504" s="7"/>
      <c r="C504" s="7" t="s">
        <v>270</v>
      </c>
      <c r="D504" s="7"/>
      <c r="E504" s="6">
        <f t="shared" si="14"/>
        <v>1</v>
      </c>
      <c r="F504" s="6" t="str">
        <f t="shared" si="15"/>
        <v>Only RAKE</v>
      </c>
      <c r="G504" s="7" t="s">
        <v>1500</v>
      </c>
      <c r="H504" s="7"/>
      <c r="I504" s="19" t="str">
        <f>IF(COUNTIF('Claude vs tools'!$K$2:$P$139,A504)&gt;0,"★ Yes","")</f>
        <v>★ Yes</v>
      </c>
    </row>
    <row r="505" spans="1:9" x14ac:dyDescent="0.3">
      <c r="A505" s="18" t="s">
        <v>403</v>
      </c>
      <c r="B505" s="7"/>
      <c r="C505" s="7" t="s">
        <v>403</v>
      </c>
      <c r="D505" s="7"/>
      <c r="E505" s="6">
        <f t="shared" si="14"/>
        <v>1</v>
      </c>
      <c r="F505" s="6" t="str">
        <f t="shared" si="15"/>
        <v>Only RAKE</v>
      </c>
      <c r="G505" s="7" t="s">
        <v>1894</v>
      </c>
      <c r="H505" s="7"/>
      <c r="I505" s="19" t="str">
        <f>IF(COUNTIF('Claude vs tools'!$K$2:$P$139,A505)&gt;0,"★ Yes","")</f>
        <v>★ Yes</v>
      </c>
    </row>
    <row r="506" spans="1:9" x14ac:dyDescent="0.3">
      <c r="A506" s="18" t="s">
        <v>953</v>
      </c>
      <c r="B506" s="7"/>
      <c r="C506" s="7"/>
      <c r="D506" s="7" t="s">
        <v>953</v>
      </c>
      <c r="E506" s="6">
        <f t="shared" si="14"/>
        <v>1</v>
      </c>
      <c r="F506" s="6" t="str">
        <f t="shared" si="15"/>
        <v>Only YAKE</v>
      </c>
      <c r="G506" s="7" t="s">
        <v>795</v>
      </c>
      <c r="H506" s="7"/>
      <c r="I506" s="19" t="str">
        <f>IF(COUNTIF('Claude vs tools'!$K$2:$P$139,A506)&gt;0,"★ Yes","")</f>
        <v/>
      </c>
    </row>
    <row r="507" spans="1:9" x14ac:dyDescent="0.3">
      <c r="A507" s="18" t="s">
        <v>954</v>
      </c>
      <c r="B507" s="7"/>
      <c r="C507" s="7"/>
      <c r="D507" s="7" t="s">
        <v>954</v>
      </c>
      <c r="E507" s="6">
        <f t="shared" si="14"/>
        <v>1</v>
      </c>
      <c r="F507" s="6" t="str">
        <f t="shared" si="15"/>
        <v>Only YAKE</v>
      </c>
      <c r="G507" s="7" t="s">
        <v>1895</v>
      </c>
      <c r="H507" s="7"/>
      <c r="I507" s="19" t="str">
        <f>IF(COUNTIF('Claude vs tools'!$K$2:$P$139,A507)&gt;0,"★ Yes","")</f>
        <v/>
      </c>
    </row>
    <row r="508" spans="1:9" x14ac:dyDescent="0.3">
      <c r="A508" s="18" t="s">
        <v>955</v>
      </c>
      <c r="B508" s="7"/>
      <c r="C508" s="7" t="s">
        <v>955</v>
      </c>
      <c r="D508" s="7"/>
      <c r="E508" s="6">
        <f t="shared" si="14"/>
        <v>1</v>
      </c>
      <c r="F508" s="6" t="str">
        <f t="shared" si="15"/>
        <v>Only RAKE</v>
      </c>
      <c r="G508" s="7" t="s">
        <v>795</v>
      </c>
      <c r="H508" s="7"/>
      <c r="I508" s="19" t="str">
        <f>IF(COUNTIF('Claude vs tools'!$K$2:$P$139,A508)&gt;0,"★ Yes","")</f>
        <v/>
      </c>
    </row>
    <row r="509" spans="1:9" x14ac:dyDescent="0.3">
      <c r="A509" s="18" t="s">
        <v>956</v>
      </c>
      <c r="B509" s="7"/>
      <c r="C509" s="7" t="s">
        <v>956</v>
      </c>
      <c r="D509" s="7"/>
      <c r="E509" s="6">
        <f t="shared" si="14"/>
        <v>1</v>
      </c>
      <c r="F509" s="6" t="str">
        <f t="shared" si="15"/>
        <v>Only RAKE</v>
      </c>
      <c r="G509" s="7" t="s">
        <v>795</v>
      </c>
      <c r="H509" s="7"/>
      <c r="I509" s="19" t="str">
        <f>IF(COUNTIF('Claude vs tools'!$K$2:$P$139,A509)&gt;0,"★ Yes","")</f>
        <v/>
      </c>
    </row>
    <row r="510" spans="1:9" x14ac:dyDescent="0.3">
      <c r="A510" s="18" t="s">
        <v>957</v>
      </c>
      <c r="B510" s="7"/>
      <c r="C510" s="7"/>
      <c r="D510" s="7" t="s">
        <v>957</v>
      </c>
      <c r="E510" s="6">
        <f t="shared" si="14"/>
        <v>1</v>
      </c>
      <c r="F510" s="6" t="str">
        <f t="shared" si="15"/>
        <v>Only YAKE</v>
      </c>
      <c r="G510" s="7" t="s">
        <v>1896</v>
      </c>
      <c r="H510" s="7"/>
      <c r="I510" s="19" t="str">
        <f>IF(COUNTIF('Claude vs tools'!$K$2:$P$139,A510)&gt;0,"★ Yes","")</f>
        <v/>
      </c>
    </row>
    <row r="511" spans="1:9" x14ac:dyDescent="0.3">
      <c r="A511" s="18" t="s">
        <v>958</v>
      </c>
      <c r="B511" s="7"/>
      <c r="C511" s="7"/>
      <c r="D511" s="7" t="s">
        <v>958</v>
      </c>
      <c r="E511" s="6">
        <f t="shared" si="14"/>
        <v>1</v>
      </c>
      <c r="F511" s="6" t="str">
        <f t="shared" si="15"/>
        <v>Only YAKE</v>
      </c>
      <c r="G511" s="7" t="s">
        <v>1897</v>
      </c>
      <c r="H511" s="7"/>
      <c r="I511" s="19" t="str">
        <f>IF(COUNTIF('Claude vs tools'!$K$2:$P$139,A511)&gt;0,"★ Yes","")</f>
        <v/>
      </c>
    </row>
    <row r="512" spans="1:9" x14ac:dyDescent="0.3">
      <c r="A512" s="18" t="s">
        <v>959</v>
      </c>
      <c r="B512" s="7"/>
      <c r="C512" s="7" t="s">
        <v>959</v>
      </c>
      <c r="D512" s="7"/>
      <c r="E512" s="6">
        <f t="shared" si="14"/>
        <v>1</v>
      </c>
      <c r="F512" s="6" t="str">
        <f t="shared" si="15"/>
        <v>Only RAKE</v>
      </c>
      <c r="G512" s="7" t="s">
        <v>1898</v>
      </c>
      <c r="H512" s="7"/>
      <c r="I512" s="19" t="str">
        <f>IF(COUNTIF('Claude vs tools'!$K$2:$P$139,A512)&gt;0,"★ Yes","")</f>
        <v/>
      </c>
    </row>
    <row r="513" spans="1:9" x14ac:dyDescent="0.3">
      <c r="A513" s="18" t="s">
        <v>960</v>
      </c>
      <c r="B513" s="7"/>
      <c r="C513" s="7" t="s">
        <v>960</v>
      </c>
      <c r="D513" s="7"/>
      <c r="E513" s="6">
        <f t="shared" si="14"/>
        <v>1</v>
      </c>
      <c r="F513" s="6" t="str">
        <f t="shared" si="15"/>
        <v>Only RAKE</v>
      </c>
      <c r="G513" s="7" t="s">
        <v>1899</v>
      </c>
      <c r="H513" s="7"/>
      <c r="I513" s="19" t="str">
        <f>IF(COUNTIF('Claude vs tools'!$K$2:$P$139,A513)&gt;0,"★ Yes","")</f>
        <v/>
      </c>
    </row>
    <row r="514" spans="1:9" ht="39.6" x14ac:dyDescent="0.3">
      <c r="A514" s="18" t="s">
        <v>961</v>
      </c>
      <c r="B514" s="7"/>
      <c r="C514" s="7"/>
      <c r="D514" s="7" t="s">
        <v>961</v>
      </c>
      <c r="E514" s="6">
        <f t="shared" ref="E514:E577" si="16">COUNTA(B514:D514)</f>
        <v>1</v>
      </c>
      <c r="F514" s="6" t="str">
        <f t="shared" ref="F514:F577" si="17">IF(E514=3,"All three",IF(E514=2,SUBSTITUTE(TRIM(IF(B514&lt;&gt;"","Gemini ","")&amp;IF(C514&lt;&gt;"","RAKE ","")&amp;IF(D514&lt;&gt;"","YAKE",""))," "," + "),"Only "&amp;TRIM(IF(B514&lt;&gt;"","Gemini","")&amp;IF(C514&lt;&gt;"","RAKE","")&amp;IF(D514&lt;&gt;"","YAKE",""))))</f>
        <v>Only YAKE</v>
      </c>
      <c r="G514" s="7" t="s">
        <v>1900</v>
      </c>
      <c r="H514" s="7"/>
      <c r="I514" s="19" t="str">
        <f>IF(COUNTIF('Claude vs tools'!$K$2:$P$139,A514)&gt;0,"★ Yes","")</f>
        <v/>
      </c>
    </row>
    <row r="515" spans="1:9" ht="26.4" x14ac:dyDescent="0.3">
      <c r="A515" s="18" t="s">
        <v>962</v>
      </c>
      <c r="B515" s="7"/>
      <c r="C515" s="7"/>
      <c r="D515" s="7" t="s">
        <v>962</v>
      </c>
      <c r="E515" s="6">
        <f t="shared" si="16"/>
        <v>1</v>
      </c>
      <c r="F515" s="6" t="str">
        <f t="shared" si="17"/>
        <v>Only YAKE</v>
      </c>
      <c r="G515" s="7" t="s">
        <v>1901</v>
      </c>
      <c r="H515" s="7"/>
      <c r="I515" s="19" t="str">
        <f>IF(COUNTIF('Claude vs tools'!$K$2:$P$139,A515)&gt;0,"★ Yes","")</f>
        <v/>
      </c>
    </row>
    <row r="516" spans="1:9" x14ac:dyDescent="0.3">
      <c r="A516" s="18" t="s">
        <v>963</v>
      </c>
      <c r="B516" s="7"/>
      <c r="C516" s="7"/>
      <c r="D516" s="7" t="s">
        <v>963</v>
      </c>
      <c r="E516" s="6">
        <f t="shared" si="16"/>
        <v>1</v>
      </c>
      <c r="F516" s="6" t="str">
        <f t="shared" si="17"/>
        <v>Only YAKE</v>
      </c>
      <c r="G516" s="7" t="s">
        <v>1902</v>
      </c>
      <c r="H516" s="7"/>
      <c r="I516" s="19" t="str">
        <f>IF(COUNTIF('Claude vs tools'!$K$2:$P$139,A516)&gt;0,"★ Yes","")</f>
        <v/>
      </c>
    </row>
    <row r="517" spans="1:9" ht="26.4" x14ac:dyDescent="0.3">
      <c r="A517" s="18" t="s">
        <v>964</v>
      </c>
      <c r="B517" s="7"/>
      <c r="C517" s="7" t="s">
        <v>964</v>
      </c>
      <c r="D517" s="7"/>
      <c r="E517" s="6">
        <f t="shared" si="16"/>
        <v>1</v>
      </c>
      <c r="F517" s="6" t="str">
        <f t="shared" si="17"/>
        <v>Only RAKE</v>
      </c>
      <c r="G517" s="7" t="s">
        <v>1903</v>
      </c>
      <c r="H517" s="7"/>
      <c r="I517" s="19" t="str">
        <f>IF(COUNTIF('Claude vs tools'!$K$2:$P$139,A517)&gt;0,"★ Yes","")</f>
        <v/>
      </c>
    </row>
    <row r="518" spans="1:9" x14ac:dyDescent="0.3">
      <c r="A518" s="18" t="s">
        <v>965</v>
      </c>
      <c r="B518" s="7"/>
      <c r="C518" s="7"/>
      <c r="D518" s="7" t="s">
        <v>965</v>
      </c>
      <c r="E518" s="6">
        <f t="shared" si="16"/>
        <v>1</v>
      </c>
      <c r="F518" s="6" t="str">
        <f t="shared" si="17"/>
        <v>Only YAKE</v>
      </c>
      <c r="G518" s="7" t="s">
        <v>1904</v>
      </c>
      <c r="H518" s="7"/>
      <c r="I518" s="19" t="str">
        <f>IF(COUNTIF('Claude vs tools'!$K$2:$P$139,A518)&gt;0,"★ Yes","")</f>
        <v/>
      </c>
    </row>
    <row r="519" spans="1:9" x14ac:dyDescent="0.3">
      <c r="A519" s="18" t="s">
        <v>966</v>
      </c>
      <c r="B519" s="7"/>
      <c r="C519" s="7" t="s">
        <v>966</v>
      </c>
      <c r="D519" s="7"/>
      <c r="E519" s="6">
        <f t="shared" si="16"/>
        <v>1</v>
      </c>
      <c r="F519" s="6" t="str">
        <f t="shared" si="17"/>
        <v>Only RAKE</v>
      </c>
      <c r="G519" s="7" t="s">
        <v>1905</v>
      </c>
      <c r="H519" s="7"/>
      <c r="I519" s="19" t="str">
        <f>IF(COUNTIF('Claude vs tools'!$K$2:$P$139,A519)&gt;0,"★ Yes","")</f>
        <v/>
      </c>
    </row>
    <row r="520" spans="1:9" x14ac:dyDescent="0.3">
      <c r="A520" s="18" t="s">
        <v>967</v>
      </c>
      <c r="B520" s="7"/>
      <c r="C520" s="7" t="s">
        <v>967</v>
      </c>
      <c r="D520" s="7"/>
      <c r="E520" s="6">
        <f t="shared" si="16"/>
        <v>1</v>
      </c>
      <c r="F520" s="6" t="str">
        <f t="shared" si="17"/>
        <v>Only RAKE</v>
      </c>
      <c r="G520" s="7" t="s">
        <v>1906</v>
      </c>
      <c r="H520" s="7"/>
      <c r="I520" s="19" t="str">
        <f>IF(COUNTIF('Claude vs tools'!$K$2:$P$139,A520)&gt;0,"★ Yes","")</f>
        <v/>
      </c>
    </row>
    <row r="521" spans="1:9" x14ac:dyDescent="0.3">
      <c r="A521" s="18" t="s">
        <v>968</v>
      </c>
      <c r="B521" s="7"/>
      <c r="C521" s="7" t="s">
        <v>968</v>
      </c>
      <c r="D521" s="7"/>
      <c r="E521" s="6">
        <f t="shared" si="16"/>
        <v>1</v>
      </c>
      <c r="F521" s="6" t="str">
        <f t="shared" si="17"/>
        <v>Only RAKE</v>
      </c>
      <c r="G521" s="7" t="s">
        <v>1907</v>
      </c>
      <c r="H521" s="7"/>
      <c r="I521" s="19" t="str">
        <f>IF(COUNTIF('Claude vs tools'!$K$2:$P$139,A521)&gt;0,"★ Yes","")</f>
        <v/>
      </c>
    </row>
    <row r="522" spans="1:9" x14ac:dyDescent="0.3">
      <c r="A522" s="18" t="s">
        <v>969</v>
      </c>
      <c r="B522" s="7" t="s">
        <v>969</v>
      </c>
      <c r="C522" s="7"/>
      <c r="D522" s="7"/>
      <c r="E522" s="6">
        <f t="shared" si="16"/>
        <v>1</v>
      </c>
      <c r="F522" s="6" t="str">
        <f t="shared" si="17"/>
        <v>Only Gemini</v>
      </c>
      <c r="G522" s="7" t="s">
        <v>1908</v>
      </c>
      <c r="H522" s="7"/>
      <c r="I522" s="19" t="str">
        <f>IF(COUNTIF('Claude vs tools'!$K$2:$P$139,A522)&gt;0,"★ Yes","")</f>
        <v/>
      </c>
    </row>
    <row r="523" spans="1:9" x14ac:dyDescent="0.3">
      <c r="A523" s="18" t="s">
        <v>369</v>
      </c>
      <c r="B523" s="7"/>
      <c r="C523" s="7"/>
      <c r="D523" s="7" t="s">
        <v>369</v>
      </c>
      <c r="E523" s="6">
        <f t="shared" si="16"/>
        <v>1</v>
      </c>
      <c r="F523" s="6" t="str">
        <f t="shared" si="17"/>
        <v>Only YAKE</v>
      </c>
      <c r="G523" s="7" t="s">
        <v>1909</v>
      </c>
      <c r="H523" s="7"/>
      <c r="I523" s="19" t="str">
        <f>IF(COUNTIF('Claude vs tools'!$K$2:$P$139,A523)&gt;0,"★ Yes","")</f>
        <v>★ Yes</v>
      </c>
    </row>
    <row r="524" spans="1:9" x14ac:dyDescent="0.3">
      <c r="A524" s="18" t="s">
        <v>970</v>
      </c>
      <c r="B524" s="7"/>
      <c r="C524" s="7" t="s">
        <v>970</v>
      </c>
      <c r="D524" s="7"/>
      <c r="E524" s="6">
        <f t="shared" si="16"/>
        <v>1</v>
      </c>
      <c r="F524" s="6" t="str">
        <f t="shared" si="17"/>
        <v>Only RAKE</v>
      </c>
      <c r="G524" s="7" t="s">
        <v>1910</v>
      </c>
      <c r="H524" s="7"/>
      <c r="I524" s="19" t="str">
        <f>IF(COUNTIF('Claude vs tools'!$K$2:$P$139,A524)&gt;0,"★ Yes","")</f>
        <v/>
      </c>
    </row>
    <row r="525" spans="1:9" ht="26.4" x14ac:dyDescent="0.3">
      <c r="A525" s="18" t="s">
        <v>971</v>
      </c>
      <c r="B525" s="7"/>
      <c r="C525" s="7"/>
      <c r="D525" s="7" t="s">
        <v>971</v>
      </c>
      <c r="E525" s="6">
        <f t="shared" si="16"/>
        <v>1</v>
      </c>
      <c r="F525" s="6" t="str">
        <f t="shared" si="17"/>
        <v>Only YAKE</v>
      </c>
      <c r="G525" s="7" t="s">
        <v>1911</v>
      </c>
      <c r="H525" s="7"/>
      <c r="I525" s="19" t="str">
        <f>IF(COUNTIF('Claude vs tools'!$K$2:$P$139,A525)&gt;0,"★ Yes","")</f>
        <v/>
      </c>
    </row>
    <row r="526" spans="1:9" x14ac:dyDescent="0.3">
      <c r="A526" s="18" t="s">
        <v>972</v>
      </c>
      <c r="B526" s="7"/>
      <c r="C526" s="7" t="s">
        <v>972</v>
      </c>
      <c r="D526" s="7"/>
      <c r="E526" s="6">
        <f t="shared" si="16"/>
        <v>1</v>
      </c>
      <c r="F526" s="6" t="str">
        <f t="shared" si="17"/>
        <v>Only RAKE</v>
      </c>
      <c r="G526" s="7" t="s">
        <v>1912</v>
      </c>
      <c r="H526" s="7"/>
      <c r="I526" s="19" t="str">
        <f>IF(COUNTIF('Claude vs tools'!$K$2:$P$139,A526)&gt;0,"★ Yes","")</f>
        <v/>
      </c>
    </row>
    <row r="527" spans="1:9" x14ac:dyDescent="0.3">
      <c r="A527" s="18" t="s">
        <v>973</v>
      </c>
      <c r="B527" s="7"/>
      <c r="C527" s="7"/>
      <c r="D527" s="7" t="s">
        <v>973</v>
      </c>
      <c r="E527" s="6">
        <f t="shared" si="16"/>
        <v>1</v>
      </c>
      <c r="F527" s="6" t="str">
        <f t="shared" si="17"/>
        <v>Only YAKE</v>
      </c>
      <c r="G527" s="7" t="s">
        <v>1913</v>
      </c>
      <c r="H527" s="7"/>
      <c r="I527" s="19" t="str">
        <f>IF(COUNTIF('Claude vs tools'!$K$2:$P$139,A527)&gt;0,"★ Yes","")</f>
        <v/>
      </c>
    </row>
    <row r="528" spans="1:9" x14ac:dyDescent="0.3">
      <c r="A528" s="18" t="s">
        <v>974</v>
      </c>
      <c r="B528" s="7"/>
      <c r="C528" s="7"/>
      <c r="D528" s="7" t="s">
        <v>974</v>
      </c>
      <c r="E528" s="6">
        <f t="shared" si="16"/>
        <v>1</v>
      </c>
      <c r="F528" s="6" t="str">
        <f t="shared" si="17"/>
        <v>Only YAKE</v>
      </c>
      <c r="G528" s="7" t="s">
        <v>1914</v>
      </c>
      <c r="H528" s="7" t="s">
        <v>975</v>
      </c>
      <c r="I528" s="19" t="str">
        <f>IF(COUNTIF('Claude vs tools'!$K$2:$P$139,A528)&gt;0,"★ Yes","")</f>
        <v/>
      </c>
    </row>
    <row r="529" spans="1:9" ht="26.4" x14ac:dyDescent="0.3">
      <c r="A529" s="18" t="s">
        <v>976</v>
      </c>
      <c r="B529" s="7"/>
      <c r="C529" s="7"/>
      <c r="D529" s="7" t="s">
        <v>976</v>
      </c>
      <c r="E529" s="6">
        <f t="shared" si="16"/>
        <v>1</v>
      </c>
      <c r="F529" s="6" t="str">
        <f t="shared" si="17"/>
        <v>Only YAKE</v>
      </c>
      <c r="G529" s="7" t="s">
        <v>1915</v>
      </c>
      <c r="H529" s="7"/>
      <c r="I529" s="19" t="str">
        <f>IF(COUNTIF('Claude vs tools'!$K$2:$P$139,A529)&gt;0,"★ Yes","")</f>
        <v/>
      </c>
    </row>
    <row r="530" spans="1:9" x14ac:dyDescent="0.3">
      <c r="A530" s="18" t="s">
        <v>977</v>
      </c>
      <c r="B530" s="7"/>
      <c r="C530" s="7"/>
      <c r="D530" s="7" t="s">
        <v>977</v>
      </c>
      <c r="E530" s="6">
        <f t="shared" si="16"/>
        <v>1</v>
      </c>
      <c r="F530" s="6" t="str">
        <f t="shared" si="17"/>
        <v>Only YAKE</v>
      </c>
      <c r="G530" s="7" t="s">
        <v>1916</v>
      </c>
      <c r="H530" s="7"/>
      <c r="I530" s="19" t="str">
        <f>IF(COUNTIF('Claude vs tools'!$K$2:$P$139,A530)&gt;0,"★ Yes","")</f>
        <v/>
      </c>
    </row>
    <row r="531" spans="1:9" x14ac:dyDescent="0.3">
      <c r="A531" s="18" t="s">
        <v>978</v>
      </c>
      <c r="B531" s="7"/>
      <c r="C531" s="7"/>
      <c r="D531" s="7" t="s">
        <v>978</v>
      </c>
      <c r="E531" s="6">
        <f t="shared" si="16"/>
        <v>1</v>
      </c>
      <c r="F531" s="6" t="str">
        <f t="shared" si="17"/>
        <v>Only YAKE</v>
      </c>
      <c r="G531" s="7" t="s">
        <v>1917</v>
      </c>
      <c r="H531" s="7"/>
      <c r="I531" s="19" t="str">
        <f>IF(COUNTIF('Claude vs tools'!$K$2:$P$139,A531)&gt;0,"★ Yes","")</f>
        <v/>
      </c>
    </row>
    <row r="532" spans="1:9" x14ac:dyDescent="0.3">
      <c r="A532" s="18" t="s">
        <v>979</v>
      </c>
      <c r="B532" s="7"/>
      <c r="C532" s="7" t="s">
        <v>979</v>
      </c>
      <c r="D532" s="7"/>
      <c r="E532" s="6">
        <f t="shared" si="16"/>
        <v>1</v>
      </c>
      <c r="F532" s="6" t="str">
        <f t="shared" si="17"/>
        <v>Only RAKE</v>
      </c>
      <c r="G532" s="7" t="s">
        <v>1918</v>
      </c>
      <c r="H532" s="7"/>
      <c r="I532" s="19" t="str">
        <f>IF(COUNTIF('Claude vs tools'!$K$2:$P$139,A532)&gt;0,"★ Yes","")</f>
        <v/>
      </c>
    </row>
    <row r="533" spans="1:9" x14ac:dyDescent="0.3">
      <c r="A533" s="18" t="s">
        <v>980</v>
      </c>
      <c r="B533" s="7"/>
      <c r="C533" s="7" t="s">
        <v>980</v>
      </c>
      <c r="D533" s="7"/>
      <c r="E533" s="6">
        <f t="shared" si="16"/>
        <v>1</v>
      </c>
      <c r="F533" s="6" t="str">
        <f t="shared" si="17"/>
        <v>Only RAKE</v>
      </c>
      <c r="G533" s="7" t="s">
        <v>1919</v>
      </c>
      <c r="H533" s="7"/>
      <c r="I533" s="19" t="str">
        <f>IF(COUNTIF('Claude vs tools'!$K$2:$P$139,A533)&gt;0,"★ Yes","")</f>
        <v/>
      </c>
    </row>
    <row r="534" spans="1:9" ht="26.4" x14ac:dyDescent="0.3">
      <c r="A534" s="18" t="s">
        <v>981</v>
      </c>
      <c r="B534" s="7"/>
      <c r="C534" s="7" t="s">
        <v>981</v>
      </c>
      <c r="D534" s="7"/>
      <c r="E534" s="6">
        <f t="shared" si="16"/>
        <v>1</v>
      </c>
      <c r="F534" s="6" t="str">
        <f t="shared" si="17"/>
        <v>Only RAKE</v>
      </c>
      <c r="G534" s="7" t="s">
        <v>1920</v>
      </c>
      <c r="H534" s="7"/>
      <c r="I534" s="19" t="str">
        <f>IF(COUNTIF('Claude vs tools'!$K$2:$P$139,A534)&gt;0,"★ Yes","")</f>
        <v/>
      </c>
    </row>
    <row r="535" spans="1:9" x14ac:dyDescent="0.3">
      <c r="A535" s="18" t="s">
        <v>323</v>
      </c>
      <c r="B535" s="7"/>
      <c r="C535" s="7" t="s">
        <v>323</v>
      </c>
      <c r="D535" s="7"/>
      <c r="E535" s="6">
        <f t="shared" si="16"/>
        <v>1</v>
      </c>
      <c r="F535" s="6" t="str">
        <f t="shared" si="17"/>
        <v>Only RAKE</v>
      </c>
      <c r="G535" s="7" t="s">
        <v>1921</v>
      </c>
      <c r="H535" s="7"/>
      <c r="I535" s="19" t="str">
        <f>IF(COUNTIF('Claude vs tools'!$K$2:$P$139,A535)&gt;0,"★ Yes","")</f>
        <v>★ Yes</v>
      </c>
    </row>
    <row r="536" spans="1:9" x14ac:dyDescent="0.3">
      <c r="A536" s="18" t="s">
        <v>982</v>
      </c>
      <c r="B536" s="7"/>
      <c r="C536" s="7" t="s">
        <v>982</v>
      </c>
      <c r="D536" s="7"/>
      <c r="E536" s="6">
        <f t="shared" si="16"/>
        <v>1</v>
      </c>
      <c r="F536" s="6" t="str">
        <f t="shared" si="17"/>
        <v>Only RAKE</v>
      </c>
      <c r="G536" s="7" t="s">
        <v>1922</v>
      </c>
      <c r="H536" s="7"/>
      <c r="I536" s="19" t="str">
        <f>IF(COUNTIF('Claude vs tools'!$K$2:$P$139,A536)&gt;0,"★ Yes","")</f>
        <v/>
      </c>
    </row>
    <row r="537" spans="1:9" ht="26.4" x14ac:dyDescent="0.3">
      <c r="A537" s="18" t="s">
        <v>983</v>
      </c>
      <c r="B537" s="7"/>
      <c r="C537" s="7"/>
      <c r="D537" s="7" t="s">
        <v>983</v>
      </c>
      <c r="E537" s="6">
        <f t="shared" si="16"/>
        <v>1</v>
      </c>
      <c r="F537" s="6" t="str">
        <f t="shared" si="17"/>
        <v>Only YAKE</v>
      </c>
      <c r="G537" s="7" t="s">
        <v>1923</v>
      </c>
      <c r="H537" s="7"/>
      <c r="I537" s="19" t="str">
        <f>IF(COUNTIF('Claude vs tools'!$K$2:$P$139,A537)&gt;0,"★ Yes","")</f>
        <v/>
      </c>
    </row>
    <row r="538" spans="1:9" x14ac:dyDescent="0.3">
      <c r="A538" s="18" t="s">
        <v>984</v>
      </c>
      <c r="B538" s="7"/>
      <c r="C538" s="7" t="s">
        <v>984</v>
      </c>
      <c r="D538" s="7"/>
      <c r="E538" s="6">
        <f t="shared" si="16"/>
        <v>1</v>
      </c>
      <c r="F538" s="6" t="str">
        <f t="shared" si="17"/>
        <v>Only RAKE</v>
      </c>
      <c r="G538" s="7" t="s">
        <v>795</v>
      </c>
      <c r="H538" s="7"/>
      <c r="I538" s="19" t="str">
        <f>IF(COUNTIF('Claude vs tools'!$K$2:$P$139,A538)&gt;0,"★ Yes","")</f>
        <v/>
      </c>
    </row>
    <row r="539" spans="1:9" x14ac:dyDescent="0.3">
      <c r="A539" s="18" t="s">
        <v>985</v>
      </c>
      <c r="B539" s="7"/>
      <c r="C539" s="7" t="s">
        <v>985</v>
      </c>
      <c r="D539" s="7"/>
      <c r="E539" s="6">
        <f t="shared" si="16"/>
        <v>1</v>
      </c>
      <c r="F539" s="6" t="str">
        <f t="shared" si="17"/>
        <v>Only RAKE</v>
      </c>
      <c r="G539" s="7" t="s">
        <v>795</v>
      </c>
      <c r="H539" s="7"/>
      <c r="I539" s="19" t="str">
        <f>IF(COUNTIF('Claude vs tools'!$K$2:$P$139,A539)&gt;0,"★ Yes","")</f>
        <v/>
      </c>
    </row>
    <row r="540" spans="1:9" x14ac:dyDescent="0.3">
      <c r="A540" s="18" t="s">
        <v>986</v>
      </c>
      <c r="B540" s="7"/>
      <c r="C540" s="7" t="s">
        <v>986</v>
      </c>
      <c r="D540" s="7"/>
      <c r="E540" s="6">
        <f t="shared" si="16"/>
        <v>1</v>
      </c>
      <c r="F540" s="6" t="str">
        <f t="shared" si="17"/>
        <v>Only RAKE</v>
      </c>
      <c r="G540" s="7" t="s">
        <v>795</v>
      </c>
      <c r="H540" s="7"/>
      <c r="I540" s="19" t="str">
        <f>IF(COUNTIF('Claude vs tools'!$K$2:$P$139,A540)&gt;0,"★ Yes","")</f>
        <v/>
      </c>
    </row>
    <row r="541" spans="1:9" x14ac:dyDescent="0.3">
      <c r="A541" s="18" t="s">
        <v>354</v>
      </c>
      <c r="B541" s="7"/>
      <c r="C541" s="7"/>
      <c r="D541" s="7" t="s">
        <v>354</v>
      </c>
      <c r="E541" s="6">
        <f t="shared" si="16"/>
        <v>1</v>
      </c>
      <c r="F541" s="6" t="str">
        <f t="shared" si="17"/>
        <v>Only YAKE</v>
      </c>
      <c r="G541" s="7" t="s">
        <v>1924</v>
      </c>
      <c r="H541" s="7"/>
      <c r="I541" s="19" t="str">
        <f>IF(COUNTIF('Claude vs tools'!$K$2:$P$139,A541)&gt;0,"★ Yes","")</f>
        <v>★ Yes</v>
      </c>
    </row>
    <row r="542" spans="1:9" x14ac:dyDescent="0.3">
      <c r="A542" s="18" t="s">
        <v>987</v>
      </c>
      <c r="B542" s="7"/>
      <c r="C542" s="7" t="s">
        <v>987</v>
      </c>
      <c r="D542" s="7"/>
      <c r="E542" s="6">
        <f t="shared" si="16"/>
        <v>1</v>
      </c>
      <c r="F542" s="6" t="str">
        <f t="shared" si="17"/>
        <v>Only RAKE</v>
      </c>
      <c r="G542" s="7" t="s">
        <v>795</v>
      </c>
      <c r="H542" s="7"/>
      <c r="I542" s="19" t="str">
        <f>IF(COUNTIF('Claude vs tools'!$K$2:$P$139,A542)&gt;0,"★ Yes","")</f>
        <v/>
      </c>
    </row>
    <row r="543" spans="1:9" ht="26.4" x14ac:dyDescent="0.3">
      <c r="A543" s="18" t="s">
        <v>292</v>
      </c>
      <c r="B543" s="7"/>
      <c r="C543" s="7"/>
      <c r="D543" s="7" t="s">
        <v>292</v>
      </c>
      <c r="E543" s="6">
        <f t="shared" si="16"/>
        <v>1</v>
      </c>
      <c r="F543" s="6" t="str">
        <f t="shared" si="17"/>
        <v>Only YAKE</v>
      </c>
      <c r="G543" s="7" t="s">
        <v>1925</v>
      </c>
      <c r="H543" s="7"/>
      <c r="I543" s="19" t="str">
        <f>IF(COUNTIF('Claude vs tools'!$K$2:$P$139,A543)&gt;0,"★ Yes","")</f>
        <v>★ Yes</v>
      </c>
    </row>
    <row r="544" spans="1:9" x14ac:dyDescent="0.3">
      <c r="A544" s="18" t="s">
        <v>488</v>
      </c>
      <c r="B544" s="7"/>
      <c r="C544" s="7" t="s">
        <v>488</v>
      </c>
      <c r="D544" s="7"/>
      <c r="E544" s="6">
        <f t="shared" si="16"/>
        <v>1</v>
      </c>
      <c r="F544" s="6" t="str">
        <f t="shared" si="17"/>
        <v>Only RAKE</v>
      </c>
      <c r="G544" s="7" t="s">
        <v>795</v>
      </c>
      <c r="H544" s="7"/>
      <c r="I544" s="19" t="str">
        <f>IF(COUNTIF('Claude vs tools'!$K$2:$P$139,A544)&gt;0,"★ Yes","")</f>
        <v>★ Yes</v>
      </c>
    </row>
    <row r="545" spans="1:9" x14ac:dyDescent="0.3">
      <c r="A545" s="18" t="s">
        <v>487</v>
      </c>
      <c r="B545" s="7"/>
      <c r="C545" s="7" t="s">
        <v>487</v>
      </c>
      <c r="D545" s="7"/>
      <c r="E545" s="6">
        <f t="shared" si="16"/>
        <v>1</v>
      </c>
      <c r="F545" s="6" t="str">
        <f t="shared" si="17"/>
        <v>Only RAKE</v>
      </c>
      <c r="G545" s="7" t="s">
        <v>1753</v>
      </c>
      <c r="H545" s="7"/>
      <c r="I545" s="19" t="str">
        <f>IF(COUNTIF('Claude vs tools'!$K$2:$P$139,A545)&gt;0,"★ Yes","")</f>
        <v>★ Yes</v>
      </c>
    </row>
    <row r="546" spans="1:9" ht="39.6" x14ac:dyDescent="0.3">
      <c r="A546" s="18" t="s">
        <v>988</v>
      </c>
      <c r="B546" s="7"/>
      <c r="C546" s="7"/>
      <c r="D546" s="7" t="s">
        <v>988</v>
      </c>
      <c r="E546" s="6">
        <f t="shared" si="16"/>
        <v>1</v>
      </c>
      <c r="F546" s="6" t="str">
        <f t="shared" si="17"/>
        <v>Only YAKE</v>
      </c>
      <c r="G546" s="7" t="s">
        <v>1926</v>
      </c>
      <c r="H546" s="7"/>
      <c r="I546" s="19" t="str">
        <f>IF(COUNTIF('Claude vs tools'!$K$2:$P$139,A546)&gt;0,"★ Yes","")</f>
        <v/>
      </c>
    </row>
    <row r="547" spans="1:9" x14ac:dyDescent="0.3">
      <c r="A547" s="18" t="s">
        <v>989</v>
      </c>
      <c r="B547" s="7"/>
      <c r="C547" s="7" t="s">
        <v>989</v>
      </c>
      <c r="D547" s="7"/>
      <c r="E547" s="6">
        <f t="shared" si="16"/>
        <v>1</v>
      </c>
      <c r="F547" s="6" t="str">
        <f t="shared" si="17"/>
        <v>Only RAKE</v>
      </c>
      <c r="G547" s="7" t="s">
        <v>1927</v>
      </c>
      <c r="H547" s="7"/>
      <c r="I547" s="19" t="str">
        <f>IF(COUNTIF('Claude vs tools'!$K$2:$P$139,A547)&gt;0,"★ Yes","")</f>
        <v/>
      </c>
    </row>
    <row r="548" spans="1:9" x14ac:dyDescent="0.3">
      <c r="A548" s="18" t="s">
        <v>990</v>
      </c>
      <c r="B548" s="7"/>
      <c r="C548" s="7"/>
      <c r="D548" s="7" t="s">
        <v>990</v>
      </c>
      <c r="E548" s="6">
        <f t="shared" si="16"/>
        <v>1</v>
      </c>
      <c r="F548" s="6" t="str">
        <f t="shared" si="17"/>
        <v>Only YAKE</v>
      </c>
      <c r="G548" s="7" t="s">
        <v>1928</v>
      </c>
      <c r="H548" s="7"/>
      <c r="I548" s="19" t="str">
        <f>IF(COUNTIF('Claude vs tools'!$K$2:$P$139,A548)&gt;0,"★ Yes","")</f>
        <v/>
      </c>
    </row>
    <row r="549" spans="1:9" x14ac:dyDescent="0.3">
      <c r="A549" s="18" t="s">
        <v>250</v>
      </c>
      <c r="B549" s="7"/>
      <c r="C549" s="7" t="s">
        <v>250</v>
      </c>
      <c r="D549" s="7"/>
      <c r="E549" s="6">
        <f t="shared" si="16"/>
        <v>1</v>
      </c>
      <c r="F549" s="6" t="str">
        <f t="shared" si="17"/>
        <v>Only RAKE</v>
      </c>
      <c r="G549" s="7" t="s">
        <v>1929</v>
      </c>
      <c r="H549" s="7"/>
      <c r="I549" s="19" t="str">
        <f>IF(COUNTIF('Claude vs tools'!$K$2:$P$139,A549)&gt;0,"★ Yes","")</f>
        <v>★ Yes</v>
      </c>
    </row>
    <row r="550" spans="1:9" x14ac:dyDescent="0.3">
      <c r="A550" s="18" t="s">
        <v>393</v>
      </c>
      <c r="B550" s="7"/>
      <c r="C550" s="7"/>
      <c r="D550" s="7" t="s">
        <v>393</v>
      </c>
      <c r="E550" s="6">
        <f t="shared" si="16"/>
        <v>1</v>
      </c>
      <c r="F550" s="6" t="str">
        <f t="shared" si="17"/>
        <v>Only YAKE</v>
      </c>
      <c r="G550" s="7" t="s">
        <v>1930</v>
      </c>
      <c r="H550" s="7"/>
      <c r="I550" s="19" t="str">
        <f>IF(COUNTIF('Claude vs tools'!$K$2:$P$139,A550)&gt;0,"★ Yes","")</f>
        <v>★ Yes</v>
      </c>
    </row>
    <row r="551" spans="1:9" x14ac:dyDescent="0.3">
      <c r="A551" s="18" t="s">
        <v>991</v>
      </c>
      <c r="B551" s="7"/>
      <c r="C551" s="7"/>
      <c r="D551" s="7" t="s">
        <v>991</v>
      </c>
      <c r="E551" s="6">
        <f t="shared" si="16"/>
        <v>1</v>
      </c>
      <c r="F551" s="6" t="str">
        <f t="shared" si="17"/>
        <v>Only YAKE</v>
      </c>
      <c r="G551" s="7" t="s">
        <v>1931</v>
      </c>
      <c r="H551" s="7"/>
      <c r="I551" s="19" t="str">
        <f>IF(COUNTIF('Claude vs tools'!$K$2:$P$139,A551)&gt;0,"★ Yes","")</f>
        <v/>
      </c>
    </row>
    <row r="552" spans="1:9" x14ac:dyDescent="0.3">
      <c r="A552" s="18" t="s">
        <v>992</v>
      </c>
      <c r="B552" s="7"/>
      <c r="C552" s="7"/>
      <c r="D552" s="7" t="s">
        <v>992</v>
      </c>
      <c r="E552" s="6">
        <f t="shared" si="16"/>
        <v>1</v>
      </c>
      <c r="F552" s="6" t="str">
        <f t="shared" si="17"/>
        <v>Only YAKE</v>
      </c>
      <c r="G552" s="7" t="s">
        <v>1932</v>
      </c>
      <c r="H552" s="7"/>
      <c r="I552" s="19" t="str">
        <f>IF(COUNTIF('Claude vs tools'!$K$2:$P$139,A552)&gt;0,"★ Yes","")</f>
        <v/>
      </c>
    </row>
    <row r="553" spans="1:9" x14ac:dyDescent="0.3">
      <c r="A553" s="18" t="s">
        <v>284</v>
      </c>
      <c r="B553" s="7"/>
      <c r="C553" s="7"/>
      <c r="D553" s="7" t="s">
        <v>284</v>
      </c>
      <c r="E553" s="6">
        <f t="shared" si="16"/>
        <v>1</v>
      </c>
      <c r="F553" s="6" t="str">
        <f t="shared" si="17"/>
        <v>Only YAKE</v>
      </c>
      <c r="G553" s="7" t="s">
        <v>1933</v>
      </c>
      <c r="H553" s="7"/>
      <c r="I553" s="19" t="str">
        <f>IF(COUNTIF('Claude vs tools'!$K$2:$P$139,A553)&gt;0,"★ Yes","")</f>
        <v>★ Yes</v>
      </c>
    </row>
    <row r="554" spans="1:9" x14ac:dyDescent="0.3">
      <c r="A554" s="18" t="s">
        <v>484</v>
      </c>
      <c r="B554" s="7"/>
      <c r="C554" s="7" t="s">
        <v>484</v>
      </c>
      <c r="D554" s="7"/>
      <c r="E554" s="6">
        <f t="shared" si="16"/>
        <v>1</v>
      </c>
      <c r="F554" s="6" t="str">
        <f t="shared" si="17"/>
        <v>Only RAKE</v>
      </c>
      <c r="G554" s="7" t="s">
        <v>1934</v>
      </c>
      <c r="H554" s="7"/>
      <c r="I554" s="19" t="str">
        <f>IF(COUNTIF('Claude vs tools'!$K$2:$P$139,A554)&gt;0,"★ Yes","")</f>
        <v>★ Yes</v>
      </c>
    </row>
    <row r="555" spans="1:9" x14ac:dyDescent="0.3">
      <c r="A555" s="18" t="s">
        <v>993</v>
      </c>
      <c r="B555" s="7"/>
      <c r="C555" s="7"/>
      <c r="D555" s="7" t="s">
        <v>993</v>
      </c>
      <c r="E555" s="6">
        <f t="shared" si="16"/>
        <v>1</v>
      </c>
      <c r="F555" s="6" t="str">
        <f t="shared" si="17"/>
        <v>Only YAKE</v>
      </c>
      <c r="G555" s="7" t="s">
        <v>1935</v>
      </c>
      <c r="H555" s="7"/>
      <c r="I555" s="19" t="str">
        <f>IF(COUNTIF('Claude vs tools'!$K$2:$P$139,A555)&gt;0,"★ Yes","")</f>
        <v/>
      </c>
    </row>
    <row r="556" spans="1:9" x14ac:dyDescent="0.3">
      <c r="A556" s="18" t="s">
        <v>994</v>
      </c>
      <c r="B556" s="7"/>
      <c r="C556" s="7"/>
      <c r="D556" s="7" t="s">
        <v>994</v>
      </c>
      <c r="E556" s="6">
        <f t="shared" si="16"/>
        <v>1</v>
      </c>
      <c r="F556" s="6" t="str">
        <f t="shared" si="17"/>
        <v>Only YAKE</v>
      </c>
      <c r="G556" s="7" t="s">
        <v>1936</v>
      </c>
      <c r="H556" s="7"/>
      <c r="I556" s="19" t="str">
        <f>IF(COUNTIF('Claude vs tools'!$K$2:$P$139,A556)&gt;0,"★ Yes","")</f>
        <v/>
      </c>
    </row>
    <row r="557" spans="1:9" ht="26.4" x14ac:dyDescent="0.3">
      <c r="A557" s="18" t="s">
        <v>995</v>
      </c>
      <c r="B557" s="7"/>
      <c r="C557" s="7"/>
      <c r="D557" s="7" t="s">
        <v>995</v>
      </c>
      <c r="E557" s="6">
        <f t="shared" si="16"/>
        <v>1</v>
      </c>
      <c r="F557" s="6" t="str">
        <f t="shared" si="17"/>
        <v>Only YAKE</v>
      </c>
      <c r="G557" s="7" t="s">
        <v>1937</v>
      </c>
      <c r="H557" s="7"/>
      <c r="I557" s="19" t="str">
        <f>IF(COUNTIF('Claude vs tools'!$K$2:$P$139,A557)&gt;0,"★ Yes","")</f>
        <v/>
      </c>
    </row>
    <row r="558" spans="1:9" x14ac:dyDescent="0.3">
      <c r="A558" s="18" t="s">
        <v>996</v>
      </c>
      <c r="B558" s="7"/>
      <c r="C558" s="7" t="s">
        <v>996</v>
      </c>
      <c r="D558" s="7"/>
      <c r="E558" s="6">
        <f t="shared" si="16"/>
        <v>1</v>
      </c>
      <c r="F558" s="6" t="str">
        <f t="shared" si="17"/>
        <v>Only RAKE</v>
      </c>
      <c r="G558" s="7" t="s">
        <v>795</v>
      </c>
      <c r="H558" s="7"/>
      <c r="I558" s="19" t="str">
        <f>IF(COUNTIF('Claude vs tools'!$K$2:$P$139,A558)&gt;0,"★ Yes","")</f>
        <v/>
      </c>
    </row>
    <row r="559" spans="1:9" ht="26.4" x14ac:dyDescent="0.3">
      <c r="A559" s="18" t="s">
        <v>997</v>
      </c>
      <c r="B559" s="7"/>
      <c r="C559" s="7"/>
      <c r="D559" s="7" t="s">
        <v>997</v>
      </c>
      <c r="E559" s="6">
        <f t="shared" si="16"/>
        <v>1</v>
      </c>
      <c r="F559" s="6" t="str">
        <f t="shared" si="17"/>
        <v>Only YAKE</v>
      </c>
      <c r="G559" s="7" t="s">
        <v>1938</v>
      </c>
      <c r="H559" s="7"/>
      <c r="I559" s="19" t="str">
        <f>IF(COUNTIF('Claude vs tools'!$K$2:$P$139,A559)&gt;0,"★ Yes","")</f>
        <v/>
      </c>
    </row>
    <row r="560" spans="1:9" ht="26.4" x14ac:dyDescent="0.3">
      <c r="A560" s="18" t="s">
        <v>513</v>
      </c>
      <c r="B560" s="7"/>
      <c r="C560" s="7"/>
      <c r="D560" s="7" t="s">
        <v>513</v>
      </c>
      <c r="E560" s="6">
        <f t="shared" si="16"/>
        <v>1</v>
      </c>
      <c r="F560" s="6" t="str">
        <f t="shared" si="17"/>
        <v>Only YAKE</v>
      </c>
      <c r="G560" s="7" t="s">
        <v>1939</v>
      </c>
      <c r="H560" s="7"/>
      <c r="I560" s="19" t="str">
        <f>IF(COUNTIF('Claude vs tools'!$K$2:$P$139,A560)&gt;0,"★ Yes","")</f>
        <v>★ Yes</v>
      </c>
    </row>
    <row r="561" spans="1:9" ht="26.4" x14ac:dyDescent="0.3">
      <c r="A561" s="18" t="s">
        <v>998</v>
      </c>
      <c r="B561" s="7"/>
      <c r="C561" s="7"/>
      <c r="D561" s="7" t="s">
        <v>998</v>
      </c>
      <c r="E561" s="6">
        <f t="shared" si="16"/>
        <v>1</v>
      </c>
      <c r="F561" s="6" t="str">
        <f t="shared" si="17"/>
        <v>Only YAKE</v>
      </c>
      <c r="G561" s="7" t="s">
        <v>1940</v>
      </c>
      <c r="H561" s="7"/>
      <c r="I561" s="19" t="str">
        <f>IF(COUNTIF('Claude vs tools'!$K$2:$P$139,A561)&gt;0,"★ Yes","")</f>
        <v/>
      </c>
    </row>
    <row r="562" spans="1:9" x14ac:dyDescent="0.3">
      <c r="A562" s="18" t="s">
        <v>999</v>
      </c>
      <c r="B562" s="7"/>
      <c r="C562" s="7"/>
      <c r="D562" s="7" t="s">
        <v>999</v>
      </c>
      <c r="E562" s="6">
        <f t="shared" si="16"/>
        <v>1</v>
      </c>
      <c r="F562" s="6" t="str">
        <f t="shared" si="17"/>
        <v>Only YAKE</v>
      </c>
      <c r="G562" s="7" t="s">
        <v>795</v>
      </c>
      <c r="H562" s="7"/>
      <c r="I562" s="19" t="str">
        <f>IF(COUNTIF('Claude vs tools'!$K$2:$P$139,A562)&gt;0,"★ Yes","")</f>
        <v/>
      </c>
    </row>
    <row r="563" spans="1:9" ht="26.4" x14ac:dyDescent="0.3">
      <c r="A563" s="18" t="s">
        <v>1000</v>
      </c>
      <c r="B563" s="7"/>
      <c r="C563" s="7" t="s">
        <v>1000</v>
      </c>
      <c r="D563" s="7"/>
      <c r="E563" s="6">
        <f t="shared" si="16"/>
        <v>1</v>
      </c>
      <c r="F563" s="6" t="str">
        <f t="shared" si="17"/>
        <v>Only RAKE</v>
      </c>
      <c r="G563" s="7" t="s">
        <v>1941</v>
      </c>
      <c r="H563" s="7"/>
      <c r="I563" s="19" t="str">
        <f>IF(COUNTIF('Claude vs tools'!$K$2:$P$139,A563)&gt;0,"★ Yes","")</f>
        <v/>
      </c>
    </row>
    <row r="564" spans="1:9" x14ac:dyDescent="0.3">
      <c r="A564" s="18" t="s">
        <v>1001</v>
      </c>
      <c r="B564" s="7"/>
      <c r="C564" s="7" t="s">
        <v>1001</v>
      </c>
      <c r="D564" s="7"/>
      <c r="E564" s="6">
        <f t="shared" si="16"/>
        <v>1</v>
      </c>
      <c r="F564" s="6" t="str">
        <f t="shared" si="17"/>
        <v>Only RAKE</v>
      </c>
      <c r="G564" s="7" t="s">
        <v>1942</v>
      </c>
      <c r="H564" s="7"/>
      <c r="I564" s="19" t="str">
        <f>IF(COUNTIF('Claude vs tools'!$K$2:$P$139,A564)&gt;0,"★ Yes","")</f>
        <v/>
      </c>
    </row>
    <row r="565" spans="1:9" x14ac:dyDescent="0.3">
      <c r="A565" s="18" t="s">
        <v>1002</v>
      </c>
      <c r="B565" s="7"/>
      <c r="C565" s="7" t="s">
        <v>1002</v>
      </c>
      <c r="D565" s="7"/>
      <c r="E565" s="6">
        <f t="shared" si="16"/>
        <v>1</v>
      </c>
      <c r="F565" s="6" t="str">
        <f t="shared" si="17"/>
        <v>Only RAKE</v>
      </c>
      <c r="G565" s="7" t="s">
        <v>1942</v>
      </c>
      <c r="H565" s="7"/>
      <c r="I565" s="19" t="str">
        <f>IF(COUNTIF('Claude vs tools'!$K$2:$P$139,A565)&gt;0,"★ Yes","")</f>
        <v/>
      </c>
    </row>
    <row r="566" spans="1:9" x14ac:dyDescent="0.3">
      <c r="A566" s="18" t="s">
        <v>1003</v>
      </c>
      <c r="B566" s="7"/>
      <c r="C566" s="7"/>
      <c r="D566" s="7" t="s">
        <v>1003</v>
      </c>
      <c r="E566" s="6">
        <f t="shared" si="16"/>
        <v>1</v>
      </c>
      <c r="F566" s="6" t="str">
        <f t="shared" si="17"/>
        <v>Only YAKE</v>
      </c>
      <c r="G566" s="7" t="s">
        <v>1943</v>
      </c>
      <c r="H566" s="7"/>
      <c r="I566" s="19" t="str">
        <f>IF(COUNTIF('Claude vs tools'!$K$2:$P$139,A566)&gt;0,"★ Yes","")</f>
        <v/>
      </c>
    </row>
    <row r="567" spans="1:9" x14ac:dyDescent="0.3">
      <c r="A567" s="18" t="s">
        <v>258</v>
      </c>
      <c r="B567" s="7"/>
      <c r="C567" s="7"/>
      <c r="D567" s="7" t="s">
        <v>258</v>
      </c>
      <c r="E567" s="6">
        <f t="shared" si="16"/>
        <v>1</v>
      </c>
      <c r="F567" s="6" t="str">
        <f t="shared" si="17"/>
        <v>Only YAKE</v>
      </c>
      <c r="G567" s="7" t="s">
        <v>1944</v>
      </c>
      <c r="H567" s="7"/>
      <c r="I567" s="19" t="str">
        <f>IF(COUNTIF('Claude vs tools'!$K$2:$P$139,A567)&gt;0,"★ Yes","")</f>
        <v>★ Yes</v>
      </c>
    </row>
    <row r="568" spans="1:9" x14ac:dyDescent="0.3">
      <c r="A568" s="18" t="s">
        <v>372</v>
      </c>
      <c r="B568" s="7"/>
      <c r="C568" s="7" t="s">
        <v>372</v>
      </c>
      <c r="D568" s="7"/>
      <c r="E568" s="6">
        <f t="shared" si="16"/>
        <v>1</v>
      </c>
      <c r="F568" s="6" t="str">
        <f t="shared" si="17"/>
        <v>Only RAKE</v>
      </c>
      <c r="G568" s="7" t="s">
        <v>1945</v>
      </c>
      <c r="H568" s="7"/>
      <c r="I568" s="19" t="str">
        <f>IF(COUNTIF('Claude vs tools'!$K$2:$P$139,A568)&gt;0,"★ Yes","")</f>
        <v>★ Yes</v>
      </c>
    </row>
    <row r="569" spans="1:9" x14ac:dyDescent="0.3">
      <c r="A569" s="18" t="s">
        <v>1004</v>
      </c>
      <c r="B569" s="7"/>
      <c r="C569" s="7" t="s">
        <v>1004</v>
      </c>
      <c r="D569" s="7"/>
      <c r="E569" s="6">
        <f t="shared" si="16"/>
        <v>1</v>
      </c>
      <c r="F569" s="6" t="str">
        <f t="shared" si="17"/>
        <v>Only RAKE</v>
      </c>
      <c r="G569" s="7" t="s">
        <v>1946</v>
      </c>
      <c r="H569" s="7"/>
      <c r="I569" s="19" t="str">
        <f>IF(COUNTIF('Claude vs tools'!$K$2:$P$139,A569)&gt;0,"★ Yes","")</f>
        <v/>
      </c>
    </row>
    <row r="570" spans="1:9" x14ac:dyDescent="0.3">
      <c r="A570" s="18" t="s">
        <v>539</v>
      </c>
      <c r="B570" s="7"/>
      <c r="C570" s="7" t="s">
        <v>539</v>
      </c>
      <c r="D570" s="7"/>
      <c r="E570" s="6">
        <f t="shared" si="16"/>
        <v>1</v>
      </c>
      <c r="F570" s="6" t="str">
        <f t="shared" si="17"/>
        <v>Only RAKE</v>
      </c>
      <c r="G570" s="7" t="s">
        <v>1947</v>
      </c>
      <c r="H570" s="7"/>
      <c r="I570" s="19" t="str">
        <f>IF(COUNTIF('Claude vs tools'!$K$2:$P$139,A570)&gt;0,"★ Yes","")</f>
        <v>★ Yes</v>
      </c>
    </row>
    <row r="571" spans="1:9" ht="39.6" x14ac:dyDescent="0.3">
      <c r="A571" s="18" t="s">
        <v>262</v>
      </c>
      <c r="B571" s="7"/>
      <c r="C571" s="7"/>
      <c r="D571" s="7" t="s">
        <v>262</v>
      </c>
      <c r="E571" s="6">
        <f t="shared" si="16"/>
        <v>1</v>
      </c>
      <c r="F571" s="6" t="str">
        <f t="shared" si="17"/>
        <v>Only YAKE</v>
      </c>
      <c r="G571" s="7" t="s">
        <v>1948</v>
      </c>
      <c r="H571" s="7"/>
      <c r="I571" s="19" t="str">
        <f>IF(COUNTIF('Claude vs tools'!$K$2:$P$139,A571)&gt;0,"★ Yes","")</f>
        <v>★ Yes</v>
      </c>
    </row>
    <row r="572" spans="1:9" ht="26.4" x14ac:dyDescent="0.3">
      <c r="A572" s="18" t="s">
        <v>264</v>
      </c>
      <c r="B572" s="7"/>
      <c r="C572" s="7"/>
      <c r="D572" s="7" t="s">
        <v>264</v>
      </c>
      <c r="E572" s="6">
        <f t="shared" si="16"/>
        <v>1</v>
      </c>
      <c r="F572" s="6" t="str">
        <f t="shared" si="17"/>
        <v>Only YAKE</v>
      </c>
      <c r="G572" s="7" t="s">
        <v>1949</v>
      </c>
      <c r="H572" s="7"/>
      <c r="I572" s="19" t="str">
        <f>IF(COUNTIF('Claude vs tools'!$K$2:$P$139,A572)&gt;0,"★ Yes","")</f>
        <v>★ Yes</v>
      </c>
    </row>
    <row r="573" spans="1:9" x14ac:dyDescent="0.3">
      <c r="A573" s="18" t="s">
        <v>1005</v>
      </c>
      <c r="B573" s="7"/>
      <c r="C573" s="7" t="s">
        <v>1005</v>
      </c>
      <c r="D573" s="7"/>
      <c r="E573" s="6">
        <f t="shared" si="16"/>
        <v>1</v>
      </c>
      <c r="F573" s="6" t="str">
        <f t="shared" si="17"/>
        <v>Only RAKE</v>
      </c>
      <c r="G573" s="7" t="s">
        <v>1950</v>
      </c>
      <c r="H573" s="7"/>
      <c r="I573" s="19" t="str">
        <f>IF(COUNTIF('Claude vs tools'!$K$2:$P$139,A573)&gt;0,"★ Yes","")</f>
        <v/>
      </c>
    </row>
    <row r="574" spans="1:9" x14ac:dyDescent="0.3">
      <c r="A574" s="18" t="s">
        <v>1006</v>
      </c>
      <c r="B574" s="7"/>
      <c r="C574" s="7" t="s">
        <v>1006</v>
      </c>
      <c r="D574" s="7"/>
      <c r="E574" s="6">
        <f t="shared" si="16"/>
        <v>1</v>
      </c>
      <c r="F574" s="6" t="str">
        <f t="shared" si="17"/>
        <v>Only RAKE</v>
      </c>
      <c r="G574" s="7" t="s">
        <v>1951</v>
      </c>
      <c r="H574" s="7"/>
      <c r="I574" s="19" t="str">
        <f>IF(COUNTIF('Claude vs tools'!$K$2:$P$139,A574)&gt;0,"★ Yes","")</f>
        <v/>
      </c>
    </row>
    <row r="575" spans="1:9" x14ac:dyDescent="0.3">
      <c r="A575" s="18" t="s">
        <v>1007</v>
      </c>
      <c r="B575" s="7"/>
      <c r="C575" s="7" t="s">
        <v>1007</v>
      </c>
      <c r="D575" s="7"/>
      <c r="E575" s="6">
        <f t="shared" si="16"/>
        <v>1</v>
      </c>
      <c r="F575" s="6" t="str">
        <f t="shared" si="17"/>
        <v>Only RAKE</v>
      </c>
      <c r="G575" s="7" t="s">
        <v>1867</v>
      </c>
      <c r="H575" s="7"/>
      <c r="I575" s="19" t="str">
        <f>IF(COUNTIF('Claude vs tools'!$K$2:$P$139,A575)&gt;0,"★ Yes","")</f>
        <v/>
      </c>
    </row>
    <row r="576" spans="1:9" x14ac:dyDescent="0.3">
      <c r="A576" s="18" t="s">
        <v>1008</v>
      </c>
      <c r="B576" s="7" t="s">
        <v>1008</v>
      </c>
      <c r="C576" s="7"/>
      <c r="D576" s="7"/>
      <c r="E576" s="6">
        <f t="shared" si="16"/>
        <v>1</v>
      </c>
      <c r="F576" s="6" t="str">
        <f t="shared" si="17"/>
        <v>Only Gemini</v>
      </c>
      <c r="G576" s="7" t="s">
        <v>1952</v>
      </c>
      <c r="H576" s="7"/>
      <c r="I576" s="19" t="str">
        <f>IF(COUNTIF('Claude vs tools'!$K$2:$P$139,A576)&gt;0,"★ Yes","")</f>
        <v/>
      </c>
    </row>
    <row r="577" spans="1:9" ht="26.4" x14ac:dyDescent="0.3">
      <c r="A577" s="18" t="s">
        <v>1009</v>
      </c>
      <c r="B577" s="7"/>
      <c r="C577" s="7"/>
      <c r="D577" s="7" t="s">
        <v>1009</v>
      </c>
      <c r="E577" s="6">
        <f t="shared" si="16"/>
        <v>1</v>
      </c>
      <c r="F577" s="6" t="str">
        <f t="shared" si="17"/>
        <v>Only YAKE</v>
      </c>
      <c r="G577" s="7" t="s">
        <v>1953</v>
      </c>
      <c r="H577" s="7"/>
      <c r="I577" s="19" t="str">
        <f>IF(COUNTIF('Claude vs tools'!$K$2:$P$139,A577)&gt;0,"★ Yes","")</f>
        <v/>
      </c>
    </row>
    <row r="578" spans="1:9" ht="26.4" x14ac:dyDescent="0.3">
      <c r="A578" s="18" t="s">
        <v>1010</v>
      </c>
      <c r="B578" s="7" t="s">
        <v>1010</v>
      </c>
      <c r="C578" s="7"/>
      <c r="D578" s="7"/>
      <c r="E578" s="6">
        <f t="shared" ref="E578:E641" si="18">COUNTA(B578:D578)</f>
        <v>1</v>
      </c>
      <c r="F578" s="6" t="str">
        <f t="shared" ref="F578:F641" si="19">IF(E578=3,"All three",IF(E578=2,SUBSTITUTE(TRIM(IF(B578&lt;&gt;"","Gemini ","")&amp;IF(C578&lt;&gt;"","RAKE ","")&amp;IF(D578&lt;&gt;"","YAKE",""))," "," + "),"Only "&amp;TRIM(IF(B578&lt;&gt;"","Gemini","")&amp;IF(C578&lt;&gt;"","RAKE","")&amp;IF(D578&lt;&gt;"","YAKE",""))))</f>
        <v>Only Gemini</v>
      </c>
      <c r="G578" s="7" t="s">
        <v>1954</v>
      </c>
      <c r="H578" s="7"/>
      <c r="I578" s="19" t="str">
        <f>IF(COUNTIF('Claude vs tools'!$K$2:$P$139,A578)&gt;0,"★ Yes","")</f>
        <v/>
      </c>
    </row>
    <row r="579" spans="1:9" x14ac:dyDescent="0.3">
      <c r="A579" s="18" t="s">
        <v>1011</v>
      </c>
      <c r="B579" s="7"/>
      <c r="C579" s="7" t="s">
        <v>1011</v>
      </c>
      <c r="D579" s="7"/>
      <c r="E579" s="6">
        <f t="shared" si="18"/>
        <v>1</v>
      </c>
      <c r="F579" s="6" t="str">
        <f t="shared" si="19"/>
        <v>Only RAKE</v>
      </c>
      <c r="G579" s="7" t="s">
        <v>1955</v>
      </c>
      <c r="H579" s="7"/>
      <c r="I579" s="19" t="str">
        <f>IF(COUNTIF('Claude vs tools'!$K$2:$P$139,A579)&gt;0,"★ Yes","")</f>
        <v/>
      </c>
    </row>
    <row r="580" spans="1:9" x14ac:dyDescent="0.3">
      <c r="A580" s="18" t="s">
        <v>1012</v>
      </c>
      <c r="B580" s="7"/>
      <c r="C580" s="7"/>
      <c r="D580" s="7" t="s">
        <v>1012</v>
      </c>
      <c r="E580" s="6">
        <f t="shared" si="18"/>
        <v>1</v>
      </c>
      <c r="F580" s="6" t="str">
        <f t="shared" si="19"/>
        <v>Only YAKE</v>
      </c>
      <c r="G580" s="7" t="s">
        <v>1956</v>
      </c>
      <c r="H580" s="7"/>
      <c r="I580" s="19" t="str">
        <f>IF(COUNTIF('Claude vs tools'!$K$2:$P$139,A580)&gt;0,"★ Yes","")</f>
        <v/>
      </c>
    </row>
    <row r="581" spans="1:9" x14ac:dyDescent="0.3">
      <c r="A581" s="18" t="s">
        <v>1013</v>
      </c>
      <c r="B581" s="7"/>
      <c r="C581" s="7" t="s">
        <v>1013</v>
      </c>
      <c r="D581" s="7"/>
      <c r="E581" s="6">
        <f t="shared" si="18"/>
        <v>1</v>
      </c>
      <c r="F581" s="6" t="str">
        <f t="shared" si="19"/>
        <v>Only RAKE</v>
      </c>
      <c r="G581" s="7" t="s">
        <v>1957</v>
      </c>
      <c r="H581" s="7"/>
      <c r="I581" s="19" t="str">
        <f>IF(COUNTIF('Claude vs tools'!$K$2:$P$139,A581)&gt;0,"★ Yes","")</f>
        <v/>
      </c>
    </row>
    <row r="582" spans="1:9" x14ac:dyDescent="0.3">
      <c r="A582" s="18" t="s">
        <v>374</v>
      </c>
      <c r="B582" s="7"/>
      <c r="C582" s="7" t="s">
        <v>374</v>
      </c>
      <c r="D582" s="7"/>
      <c r="E582" s="6">
        <f t="shared" si="18"/>
        <v>1</v>
      </c>
      <c r="F582" s="6" t="str">
        <f t="shared" si="19"/>
        <v>Only RAKE</v>
      </c>
      <c r="G582" s="7" t="s">
        <v>1958</v>
      </c>
      <c r="H582" s="7"/>
      <c r="I582" s="19" t="str">
        <f>IF(COUNTIF('Claude vs tools'!$K$2:$P$139,A582)&gt;0,"★ Yes","")</f>
        <v>★ Yes</v>
      </c>
    </row>
    <row r="583" spans="1:9" x14ac:dyDescent="0.3">
      <c r="A583" s="18" t="s">
        <v>1014</v>
      </c>
      <c r="B583" s="7"/>
      <c r="C583" s="7" t="s">
        <v>1014</v>
      </c>
      <c r="D583" s="7"/>
      <c r="E583" s="6">
        <f t="shared" si="18"/>
        <v>1</v>
      </c>
      <c r="F583" s="6" t="str">
        <f t="shared" si="19"/>
        <v>Only RAKE</v>
      </c>
      <c r="G583" s="7" t="s">
        <v>1959</v>
      </c>
      <c r="H583" s="7"/>
      <c r="I583" s="19" t="str">
        <f>IF(COUNTIF('Claude vs tools'!$K$2:$P$139,A583)&gt;0,"★ Yes","")</f>
        <v/>
      </c>
    </row>
    <row r="584" spans="1:9" x14ac:dyDescent="0.3">
      <c r="A584" s="18" t="s">
        <v>1015</v>
      </c>
      <c r="B584" s="7"/>
      <c r="C584" s="7" t="s">
        <v>1015</v>
      </c>
      <c r="D584" s="7"/>
      <c r="E584" s="6">
        <f t="shared" si="18"/>
        <v>1</v>
      </c>
      <c r="F584" s="6" t="str">
        <f t="shared" si="19"/>
        <v>Only RAKE</v>
      </c>
      <c r="G584" s="7" t="s">
        <v>1958</v>
      </c>
      <c r="H584" s="7"/>
      <c r="I584" s="19" t="str">
        <f>IF(COUNTIF('Claude vs tools'!$K$2:$P$139,A584)&gt;0,"★ Yes","")</f>
        <v/>
      </c>
    </row>
    <row r="585" spans="1:9" x14ac:dyDescent="0.3">
      <c r="A585" s="18" t="s">
        <v>1016</v>
      </c>
      <c r="B585" s="7"/>
      <c r="C585" s="7"/>
      <c r="D585" s="7" t="s">
        <v>1016</v>
      </c>
      <c r="E585" s="6">
        <f t="shared" si="18"/>
        <v>1</v>
      </c>
      <c r="F585" s="6" t="str">
        <f t="shared" si="19"/>
        <v>Only YAKE</v>
      </c>
      <c r="G585" s="7" t="s">
        <v>1960</v>
      </c>
      <c r="H585" s="7"/>
      <c r="I585" s="19" t="str">
        <f>IF(COUNTIF('Claude vs tools'!$K$2:$P$139,A585)&gt;0,"★ Yes","")</f>
        <v/>
      </c>
    </row>
    <row r="586" spans="1:9" x14ac:dyDescent="0.3">
      <c r="A586" s="18" t="s">
        <v>1017</v>
      </c>
      <c r="B586" s="7"/>
      <c r="C586" s="7"/>
      <c r="D586" s="7" t="s">
        <v>1017</v>
      </c>
      <c r="E586" s="6">
        <f t="shared" si="18"/>
        <v>1</v>
      </c>
      <c r="F586" s="6" t="str">
        <f t="shared" si="19"/>
        <v>Only YAKE</v>
      </c>
      <c r="G586" s="7" t="s">
        <v>1961</v>
      </c>
      <c r="H586" s="7"/>
      <c r="I586" s="19" t="str">
        <f>IF(COUNTIF('Claude vs tools'!$K$2:$P$139,A586)&gt;0,"★ Yes","")</f>
        <v/>
      </c>
    </row>
    <row r="587" spans="1:9" x14ac:dyDescent="0.3">
      <c r="A587" s="18" t="s">
        <v>1018</v>
      </c>
      <c r="B587" s="7"/>
      <c r="C587" s="7"/>
      <c r="D587" s="7" t="s">
        <v>1018</v>
      </c>
      <c r="E587" s="6">
        <f t="shared" si="18"/>
        <v>1</v>
      </c>
      <c r="F587" s="6" t="str">
        <f t="shared" si="19"/>
        <v>Only YAKE</v>
      </c>
      <c r="G587" s="7" t="s">
        <v>1962</v>
      </c>
      <c r="H587" s="7"/>
      <c r="I587" s="19" t="str">
        <f>IF(COUNTIF('Claude vs tools'!$K$2:$P$139,A587)&gt;0,"★ Yes","")</f>
        <v/>
      </c>
    </row>
    <row r="588" spans="1:9" x14ac:dyDescent="0.3">
      <c r="A588" s="18" t="s">
        <v>1019</v>
      </c>
      <c r="B588" s="7"/>
      <c r="C588" s="7" t="s">
        <v>1019</v>
      </c>
      <c r="D588" s="7"/>
      <c r="E588" s="6">
        <f t="shared" si="18"/>
        <v>1</v>
      </c>
      <c r="F588" s="6" t="str">
        <f t="shared" si="19"/>
        <v>Only RAKE</v>
      </c>
      <c r="G588" s="7" t="s">
        <v>1963</v>
      </c>
      <c r="H588" s="7"/>
      <c r="I588" s="19" t="str">
        <f>IF(COUNTIF('Claude vs tools'!$K$2:$P$139,A588)&gt;0,"★ Yes","")</f>
        <v/>
      </c>
    </row>
    <row r="589" spans="1:9" ht="26.4" x14ac:dyDescent="0.3">
      <c r="A589" s="18" t="s">
        <v>1020</v>
      </c>
      <c r="B589" s="7"/>
      <c r="C589" s="7"/>
      <c r="D589" s="7" t="s">
        <v>1020</v>
      </c>
      <c r="E589" s="6">
        <f t="shared" si="18"/>
        <v>1</v>
      </c>
      <c r="F589" s="6" t="str">
        <f t="shared" si="19"/>
        <v>Only YAKE</v>
      </c>
      <c r="G589" s="7" t="s">
        <v>1964</v>
      </c>
      <c r="H589" s="7"/>
      <c r="I589" s="19" t="str">
        <f>IF(COUNTIF('Claude vs tools'!$K$2:$P$139,A589)&gt;0,"★ Yes","")</f>
        <v/>
      </c>
    </row>
    <row r="590" spans="1:9" x14ac:dyDescent="0.3">
      <c r="A590" s="18" t="s">
        <v>1021</v>
      </c>
      <c r="B590" s="7"/>
      <c r="C590" s="7" t="s">
        <v>1021</v>
      </c>
      <c r="D590" s="7"/>
      <c r="E590" s="6">
        <f t="shared" si="18"/>
        <v>1</v>
      </c>
      <c r="F590" s="6" t="str">
        <f t="shared" si="19"/>
        <v>Only RAKE</v>
      </c>
      <c r="G590" s="7" t="s">
        <v>1965</v>
      </c>
      <c r="H590" s="7"/>
      <c r="I590" s="19" t="str">
        <f>IF(COUNTIF('Claude vs tools'!$K$2:$P$139,A590)&gt;0,"★ Yes","")</f>
        <v/>
      </c>
    </row>
    <row r="591" spans="1:9" x14ac:dyDescent="0.3">
      <c r="A591" s="18" t="s">
        <v>1022</v>
      </c>
      <c r="B591" s="7"/>
      <c r="C591" s="7" t="s">
        <v>1022</v>
      </c>
      <c r="D591" s="7"/>
      <c r="E591" s="6">
        <f t="shared" si="18"/>
        <v>1</v>
      </c>
      <c r="F591" s="6" t="str">
        <f t="shared" si="19"/>
        <v>Only RAKE</v>
      </c>
      <c r="G591" s="7" t="s">
        <v>1965</v>
      </c>
      <c r="H591" s="7"/>
      <c r="I591" s="19" t="str">
        <f>IF(COUNTIF('Claude vs tools'!$K$2:$P$139,A591)&gt;0,"★ Yes","")</f>
        <v/>
      </c>
    </row>
    <row r="592" spans="1:9" x14ac:dyDescent="0.3">
      <c r="A592" s="18" t="s">
        <v>376</v>
      </c>
      <c r="B592" s="7"/>
      <c r="C592" s="7" t="s">
        <v>376</v>
      </c>
      <c r="D592" s="7"/>
      <c r="E592" s="6">
        <f t="shared" si="18"/>
        <v>1</v>
      </c>
      <c r="F592" s="6" t="str">
        <f t="shared" si="19"/>
        <v>Only RAKE</v>
      </c>
      <c r="G592" s="7" t="s">
        <v>1966</v>
      </c>
      <c r="H592" s="7"/>
      <c r="I592" s="19" t="str">
        <f>IF(COUNTIF('Claude vs tools'!$K$2:$P$139,A592)&gt;0,"★ Yes","")</f>
        <v>★ Yes</v>
      </c>
    </row>
    <row r="593" spans="1:9" x14ac:dyDescent="0.3">
      <c r="A593" s="18" t="s">
        <v>1023</v>
      </c>
      <c r="B593" s="7"/>
      <c r="C593" s="7" t="s">
        <v>1023</v>
      </c>
      <c r="D593" s="7"/>
      <c r="E593" s="6">
        <f t="shared" si="18"/>
        <v>1</v>
      </c>
      <c r="F593" s="6" t="str">
        <f t="shared" si="19"/>
        <v>Only RAKE</v>
      </c>
      <c r="G593" s="7" t="s">
        <v>1965</v>
      </c>
      <c r="H593" s="7"/>
      <c r="I593" s="19" t="str">
        <f>IF(COUNTIF('Claude vs tools'!$K$2:$P$139,A593)&gt;0,"★ Yes","")</f>
        <v/>
      </c>
    </row>
    <row r="594" spans="1:9" ht="26.4" x14ac:dyDescent="0.3">
      <c r="A594" s="18" t="s">
        <v>1024</v>
      </c>
      <c r="B594" s="7"/>
      <c r="C594" s="7"/>
      <c r="D594" s="7" t="s">
        <v>1024</v>
      </c>
      <c r="E594" s="6">
        <f t="shared" si="18"/>
        <v>1</v>
      </c>
      <c r="F594" s="6" t="str">
        <f t="shared" si="19"/>
        <v>Only YAKE</v>
      </c>
      <c r="G594" s="7" t="s">
        <v>1967</v>
      </c>
      <c r="H594" s="7"/>
      <c r="I594" s="19" t="str">
        <f>IF(COUNTIF('Claude vs tools'!$K$2:$P$139,A594)&gt;0,"★ Yes","")</f>
        <v/>
      </c>
    </row>
    <row r="595" spans="1:9" x14ac:dyDescent="0.3">
      <c r="A595" s="18" t="s">
        <v>1025</v>
      </c>
      <c r="B595" s="7"/>
      <c r="C595" s="7" t="s">
        <v>1025</v>
      </c>
      <c r="D595" s="7"/>
      <c r="E595" s="6">
        <f t="shared" si="18"/>
        <v>1</v>
      </c>
      <c r="F595" s="6" t="str">
        <f t="shared" si="19"/>
        <v>Only RAKE</v>
      </c>
      <c r="G595" s="7" t="s">
        <v>1875</v>
      </c>
      <c r="H595" s="7"/>
      <c r="I595" s="19" t="str">
        <f>IF(COUNTIF('Claude vs tools'!$K$2:$P$139,A595)&gt;0,"★ Yes","")</f>
        <v/>
      </c>
    </row>
    <row r="596" spans="1:9" x14ac:dyDescent="0.3">
      <c r="A596" s="18" t="s">
        <v>1026</v>
      </c>
      <c r="B596" s="7"/>
      <c r="C596" s="7" t="s">
        <v>1026</v>
      </c>
      <c r="D596" s="7"/>
      <c r="E596" s="6">
        <f t="shared" si="18"/>
        <v>1</v>
      </c>
      <c r="F596" s="6" t="str">
        <f t="shared" si="19"/>
        <v>Only RAKE</v>
      </c>
      <c r="G596" s="7" t="s">
        <v>1968</v>
      </c>
      <c r="H596" s="7"/>
      <c r="I596" s="19" t="str">
        <f>IF(COUNTIF('Claude vs tools'!$K$2:$P$139,A596)&gt;0,"★ Yes","")</f>
        <v/>
      </c>
    </row>
    <row r="597" spans="1:9" x14ac:dyDescent="0.3">
      <c r="A597" s="18" t="s">
        <v>1027</v>
      </c>
      <c r="B597" s="7"/>
      <c r="C597" s="7"/>
      <c r="D597" s="7" t="s">
        <v>1027</v>
      </c>
      <c r="E597" s="6">
        <f t="shared" si="18"/>
        <v>1</v>
      </c>
      <c r="F597" s="6" t="str">
        <f t="shared" si="19"/>
        <v>Only YAKE</v>
      </c>
      <c r="G597" s="7" t="s">
        <v>1969</v>
      </c>
      <c r="H597" s="7"/>
      <c r="I597" s="19" t="str">
        <f>IF(COUNTIF('Claude vs tools'!$K$2:$P$139,A597)&gt;0,"★ Yes","")</f>
        <v/>
      </c>
    </row>
    <row r="598" spans="1:9" x14ac:dyDescent="0.3">
      <c r="A598" s="18" t="s">
        <v>102</v>
      </c>
      <c r="B598" s="7"/>
      <c r="C598" s="7"/>
      <c r="D598" s="7" t="s">
        <v>102</v>
      </c>
      <c r="E598" s="6">
        <f t="shared" si="18"/>
        <v>1</v>
      </c>
      <c r="F598" s="6" t="str">
        <f t="shared" si="19"/>
        <v>Only YAKE</v>
      </c>
      <c r="G598" s="7" t="s">
        <v>1970</v>
      </c>
      <c r="H598" s="7"/>
      <c r="I598" s="19" t="str">
        <f>IF(COUNTIF('Claude vs tools'!$K$2:$P$139,A598)&gt;0,"★ Yes","")</f>
        <v>★ Yes</v>
      </c>
    </row>
    <row r="599" spans="1:9" ht="26.4" x14ac:dyDescent="0.3">
      <c r="A599" s="18" t="s">
        <v>1028</v>
      </c>
      <c r="B599" s="7"/>
      <c r="C599" s="7"/>
      <c r="D599" s="7" t="s">
        <v>1028</v>
      </c>
      <c r="E599" s="6">
        <f t="shared" si="18"/>
        <v>1</v>
      </c>
      <c r="F599" s="6" t="str">
        <f t="shared" si="19"/>
        <v>Only YAKE</v>
      </c>
      <c r="G599" s="7" t="s">
        <v>1971</v>
      </c>
      <c r="H599" s="7"/>
      <c r="I599" s="19" t="str">
        <f>IF(COUNTIF('Claude vs tools'!$K$2:$P$139,A599)&gt;0,"★ Yes","")</f>
        <v/>
      </c>
    </row>
    <row r="600" spans="1:9" x14ac:dyDescent="0.3">
      <c r="A600" s="18" t="s">
        <v>129</v>
      </c>
      <c r="B600" s="7"/>
      <c r="C600" s="7" t="s">
        <v>129</v>
      </c>
      <c r="D600" s="7"/>
      <c r="E600" s="6">
        <f t="shared" si="18"/>
        <v>1</v>
      </c>
      <c r="F600" s="6" t="str">
        <f t="shared" si="19"/>
        <v>Only RAKE</v>
      </c>
      <c r="G600" s="7" t="s">
        <v>795</v>
      </c>
      <c r="H600" s="7"/>
      <c r="I600" s="19" t="str">
        <f>IF(COUNTIF('Claude vs tools'!$K$2:$P$139,A600)&gt;0,"★ Yes","")</f>
        <v>★ Yes</v>
      </c>
    </row>
    <row r="601" spans="1:9" x14ac:dyDescent="0.3">
      <c r="A601" s="18" t="s">
        <v>1029</v>
      </c>
      <c r="B601" s="7"/>
      <c r="C601" s="7" t="s">
        <v>1029</v>
      </c>
      <c r="D601" s="7"/>
      <c r="E601" s="6">
        <f t="shared" si="18"/>
        <v>1</v>
      </c>
      <c r="F601" s="6" t="str">
        <f t="shared" si="19"/>
        <v>Only RAKE</v>
      </c>
      <c r="G601" s="7" t="s">
        <v>795</v>
      </c>
      <c r="H601" s="7"/>
      <c r="I601" s="19" t="str">
        <f>IF(COUNTIF('Claude vs tools'!$K$2:$P$139,A601)&gt;0,"★ Yes","")</f>
        <v/>
      </c>
    </row>
    <row r="602" spans="1:9" x14ac:dyDescent="0.3">
      <c r="A602" s="18" t="s">
        <v>1030</v>
      </c>
      <c r="B602" s="7"/>
      <c r="C602" s="7"/>
      <c r="D602" s="7" t="s">
        <v>1030</v>
      </c>
      <c r="E602" s="6">
        <f t="shared" si="18"/>
        <v>1</v>
      </c>
      <c r="F602" s="6" t="str">
        <f t="shared" si="19"/>
        <v>Only YAKE</v>
      </c>
      <c r="G602" s="7" t="s">
        <v>1972</v>
      </c>
      <c r="H602" s="7"/>
      <c r="I602" s="19" t="str">
        <f>IF(COUNTIF('Claude vs tools'!$K$2:$P$139,A602)&gt;0,"★ Yes","")</f>
        <v/>
      </c>
    </row>
    <row r="603" spans="1:9" x14ac:dyDescent="0.3">
      <c r="A603" s="18" t="s">
        <v>1031</v>
      </c>
      <c r="B603" s="7"/>
      <c r="C603" s="7" t="s">
        <v>1031</v>
      </c>
      <c r="D603" s="7"/>
      <c r="E603" s="6">
        <f t="shared" si="18"/>
        <v>1</v>
      </c>
      <c r="F603" s="6" t="str">
        <f t="shared" si="19"/>
        <v>Only RAKE</v>
      </c>
      <c r="G603" s="7" t="s">
        <v>1973</v>
      </c>
      <c r="H603" s="7"/>
      <c r="I603" s="19" t="str">
        <f>IF(COUNTIF('Claude vs tools'!$K$2:$P$139,A603)&gt;0,"★ Yes","")</f>
        <v/>
      </c>
    </row>
    <row r="604" spans="1:9" x14ac:dyDescent="0.3">
      <c r="A604" s="18" t="s">
        <v>1032</v>
      </c>
      <c r="B604" s="7"/>
      <c r="C604" s="7" t="s">
        <v>1032</v>
      </c>
      <c r="D604" s="7"/>
      <c r="E604" s="6">
        <f t="shared" si="18"/>
        <v>1</v>
      </c>
      <c r="F604" s="6" t="str">
        <f t="shared" si="19"/>
        <v>Only RAKE</v>
      </c>
      <c r="G604" s="7" t="s">
        <v>1974</v>
      </c>
      <c r="H604" s="7"/>
      <c r="I604" s="19" t="str">
        <f>IF(COUNTIF('Claude vs tools'!$K$2:$P$139,A604)&gt;0,"★ Yes","")</f>
        <v/>
      </c>
    </row>
    <row r="605" spans="1:9" x14ac:dyDescent="0.3">
      <c r="A605" s="18" t="s">
        <v>1033</v>
      </c>
      <c r="B605" s="7"/>
      <c r="C605" s="7" t="s">
        <v>1033</v>
      </c>
      <c r="D605" s="7"/>
      <c r="E605" s="6">
        <f t="shared" si="18"/>
        <v>1</v>
      </c>
      <c r="F605" s="6" t="str">
        <f t="shared" si="19"/>
        <v>Only RAKE</v>
      </c>
      <c r="G605" s="7" t="s">
        <v>1975</v>
      </c>
      <c r="H605" s="7"/>
      <c r="I605" s="19" t="str">
        <f>IF(COUNTIF('Claude vs tools'!$K$2:$P$139,A605)&gt;0,"★ Yes","")</f>
        <v/>
      </c>
    </row>
    <row r="606" spans="1:9" ht="26.4" x14ac:dyDescent="0.3">
      <c r="A606" s="18" t="s">
        <v>1034</v>
      </c>
      <c r="B606" s="7"/>
      <c r="C606" s="7"/>
      <c r="D606" s="7" t="s">
        <v>1034</v>
      </c>
      <c r="E606" s="6">
        <f t="shared" si="18"/>
        <v>1</v>
      </c>
      <c r="F606" s="6" t="str">
        <f t="shared" si="19"/>
        <v>Only YAKE</v>
      </c>
      <c r="G606" s="7" t="s">
        <v>1976</v>
      </c>
      <c r="H606" s="7"/>
      <c r="I606" s="19" t="str">
        <f>IF(COUNTIF('Claude vs tools'!$K$2:$P$139,A606)&gt;0,"★ Yes","")</f>
        <v/>
      </c>
    </row>
    <row r="607" spans="1:9" ht="26.4" x14ac:dyDescent="0.3">
      <c r="A607" s="18" t="s">
        <v>1977</v>
      </c>
      <c r="B607" s="7"/>
      <c r="C607" s="7"/>
      <c r="D607" s="7" t="s">
        <v>1978</v>
      </c>
      <c r="E607" s="6">
        <f t="shared" si="18"/>
        <v>1</v>
      </c>
      <c r="F607" s="6" t="str">
        <f t="shared" si="19"/>
        <v>Only YAKE</v>
      </c>
      <c r="G607" s="7" t="s">
        <v>1979</v>
      </c>
      <c r="H607" s="7"/>
      <c r="I607" s="19" t="str">
        <f>IF(COUNTIF('Claude vs tools'!$K$2:$P$139,A607)&gt;0,"★ Yes","")</f>
        <v/>
      </c>
    </row>
    <row r="608" spans="1:9" x14ac:dyDescent="0.3">
      <c r="A608" s="18" t="s">
        <v>1036</v>
      </c>
      <c r="B608" s="7"/>
      <c r="C608" s="7"/>
      <c r="D608" s="7" t="s">
        <v>1036</v>
      </c>
      <c r="E608" s="6">
        <f t="shared" si="18"/>
        <v>1</v>
      </c>
      <c r="F608" s="6" t="str">
        <f t="shared" si="19"/>
        <v>Only YAKE</v>
      </c>
      <c r="G608" s="7" t="s">
        <v>1838</v>
      </c>
      <c r="H608" s="7"/>
      <c r="I608" s="19" t="str">
        <f>IF(COUNTIF('Claude vs tools'!$K$2:$P$139,A608)&gt;0,"★ Yes","")</f>
        <v/>
      </c>
    </row>
    <row r="609" spans="1:9" ht="26.4" x14ac:dyDescent="0.3">
      <c r="A609" s="18" t="s">
        <v>1037</v>
      </c>
      <c r="B609" s="7"/>
      <c r="C609" s="7"/>
      <c r="D609" s="7" t="s">
        <v>1037</v>
      </c>
      <c r="E609" s="6">
        <f t="shared" si="18"/>
        <v>1</v>
      </c>
      <c r="F609" s="6" t="str">
        <f t="shared" si="19"/>
        <v>Only YAKE</v>
      </c>
      <c r="G609" s="7" t="s">
        <v>1980</v>
      </c>
      <c r="H609" s="7"/>
      <c r="I609" s="19" t="str">
        <f>IF(COUNTIF('Claude vs tools'!$K$2:$P$139,A609)&gt;0,"★ Yes","")</f>
        <v/>
      </c>
    </row>
    <row r="610" spans="1:9" x14ac:dyDescent="0.3">
      <c r="A610" s="18" t="s">
        <v>1038</v>
      </c>
      <c r="B610" s="7"/>
      <c r="C610" s="7"/>
      <c r="D610" s="7" t="s">
        <v>1038</v>
      </c>
      <c r="E610" s="6">
        <f t="shared" si="18"/>
        <v>1</v>
      </c>
      <c r="F610" s="6" t="str">
        <f t="shared" si="19"/>
        <v>Only YAKE</v>
      </c>
      <c r="G610" s="7" t="s">
        <v>1981</v>
      </c>
      <c r="H610" s="7"/>
      <c r="I610" s="19" t="str">
        <f>IF(COUNTIF('Claude vs tools'!$K$2:$P$139,A610)&gt;0,"★ Yes","")</f>
        <v/>
      </c>
    </row>
    <row r="611" spans="1:9" ht="26.4" x14ac:dyDescent="0.3">
      <c r="A611" s="18" t="s">
        <v>1039</v>
      </c>
      <c r="B611" s="7"/>
      <c r="C611" s="7" t="s">
        <v>1039</v>
      </c>
      <c r="D611" s="7"/>
      <c r="E611" s="6">
        <f t="shared" si="18"/>
        <v>1</v>
      </c>
      <c r="F611" s="6" t="str">
        <f t="shared" si="19"/>
        <v>Only RAKE</v>
      </c>
      <c r="G611" s="7" t="s">
        <v>1982</v>
      </c>
      <c r="H611" s="7"/>
      <c r="I611" s="19" t="str">
        <f>IF(COUNTIF('Claude vs tools'!$K$2:$P$139,A611)&gt;0,"★ Yes","")</f>
        <v/>
      </c>
    </row>
    <row r="612" spans="1:9" x14ac:dyDescent="0.3">
      <c r="A612" s="18" t="s">
        <v>1040</v>
      </c>
      <c r="B612" s="7"/>
      <c r="C612" s="7"/>
      <c r="D612" s="7" t="s">
        <v>1040</v>
      </c>
      <c r="E612" s="6">
        <f t="shared" si="18"/>
        <v>1</v>
      </c>
      <c r="F612" s="6" t="str">
        <f t="shared" si="19"/>
        <v>Only YAKE</v>
      </c>
      <c r="G612" s="7" t="s">
        <v>1983</v>
      </c>
      <c r="H612" s="7"/>
      <c r="I612" s="19" t="str">
        <f>IF(COUNTIF('Claude vs tools'!$K$2:$P$139,A612)&gt;0,"★ Yes","")</f>
        <v/>
      </c>
    </row>
    <row r="613" spans="1:9" x14ac:dyDescent="0.3">
      <c r="A613" s="18" t="s">
        <v>1041</v>
      </c>
      <c r="B613" s="7"/>
      <c r="C613" s="7" t="s">
        <v>1041</v>
      </c>
      <c r="D613" s="7"/>
      <c r="E613" s="6">
        <f t="shared" si="18"/>
        <v>1</v>
      </c>
      <c r="F613" s="6" t="str">
        <f t="shared" si="19"/>
        <v>Only RAKE</v>
      </c>
      <c r="G613" s="7" t="s">
        <v>1984</v>
      </c>
      <c r="H613" s="7"/>
      <c r="I613" s="19" t="str">
        <f>IF(COUNTIF('Claude vs tools'!$K$2:$P$139,A613)&gt;0,"★ Yes","")</f>
        <v/>
      </c>
    </row>
    <row r="614" spans="1:9" x14ac:dyDescent="0.3">
      <c r="A614" s="18" t="s">
        <v>273</v>
      </c>
      <c r="B614" s="7"/>
      <c r="C614" s="7"/>
      <c r="D614" s="7" t="s">
        <v>273</v>
      </c>
      <c r="E614" s="6">
        <f t="shared" si="18"/>
        <v>1</v>
      </c>
      <c r="F614" s="6" t="str">
        <f t="shared" si="19"/>
        <v>Only YAKE</v>
      </c>
      <c r="G614" s="7" t="s">
        <v>795</v>
      </c>
      <c r="H614" s="7"/>
      <c r="I614" s="19" t="str">
        <f>IF(COUNTIF('Claude vs tools'!$K$2:$P$139,A614)&gt;0,"★ Yes","")</f>
        <v>★ Yes</v>
      </c>
    </row>
    <row r="615" spans="1:9" x14ac:dyDescent="0.3">
      <c r="A615" s="18" t="s">
        <v>1042</v>
      </c>
      <c r="B615" s="7"/>
      <c r="C615" s="7" t="s">
        <v>1042</v>
      </c>
      <c r="D615" s="7"/>
      <c r="E615" s="6">
        <f t="shared" si="18"/>
        <v>1</v>
      </c>
      <c r="F615" s="6" t="str">
        <f t="shared" si="19"/>
        <v>Only RAKE</v>
      </c>
      <c r="G615" s="7" t="s">
        <v>795</v>
      </c>
      <c r="H615" s="7"/>
      <c r="I615" s="19" t="str">
        <f>IF(COUNTIF('Claude vs tools'!$K$2:$P$139,A615)&gt;0,"★ Yes","")</f>
        <v/>
      </c>
    </row>
    <row r="616" spans="1:9" x14ac:dyDescent="0.3">
      <c r="A616" s="18" t="s">
        <v>1043</v>
      </c>
      <c r="B616" s="7"/>
      <c r="C616" s="7" t="s">
        <v>1043</v>
      </c>
      <c r="D616" s="7"/>
      <c r="E616" s="6">
        <f t="shared" si="18"/>
        <v>1</v>
      </c>
      <c r="F616" s="6" t="str">
        <f t="shared" si="19"/>
        <v>Only RAKE</v>
      </c>
      <c r="G616" s="7" t="s">
        <v>1813</v>
      </c>
      <c r="H616" s="7"/>
      <c r="I616" s="19" t="str">
        <f>IF(COUNTIF('Claude vs tools'!$K$2:$P$139,A616)&gt;0,"★ Yes","")</f>
        <v/>
      </c>
    </row>
    <row r="617" spans="1:9" x14ac:dyDescent="0.3">
      <c r="A617" s="18" t="s">
        <v>1044</v>
      </c>
      <c r="B617" s="7"/>
      <c r="C617" s="7"/>
      <c r="D617" s="7" t="s">
        <v>1044</v>
      </c>
      <c r="E617" s="6">
        <f t="shared" si="18"/>
        <v>1</v>
      </c>
      <c r="F617" s="6" t="str">
        <f t="shared" si="19"/>
        <v>Only YAKE</v>
      </c>
      <c r="G617" s="7" t="s">
        <v>1985</v>
      </c>
      <c r="H617" s="7"/>
      <c r="I617" s="19" t="str">
        <f>IF(COUNTIF('Claude vs tools'!$K$2:$P$139,A617)&gt;0,"★ Yes","")</f>
        <v/>
      </c>
    </row>
    <row r="618" spans="1:9" x14ac:dyDescent="0.3">
      <c r="A618" s="18" t="s">
        <v>1045</v>
      </c>
      <c r="B618" s="7"/>
      <c r="C618" s="7"/>
      <c r="D618" s="7" t="s">
        <v>1045</v>
      </c>
      <c r="E618" s="6">
        <f t="shared" si="18"/>
        <v>1</v>
      </c>
      <c r="F618" s="6" t="str">
        <f t="shared" si="19"/>
        <v>Only YAKE</v>
      </c>
      <c r="G618" s="7" t="s">
        <v>1986</v>
      </c>
      <c r="H618" s="7"/>
      <c r="I618" s="19" t="str">
        <f>IF(COUNTIF('Claude vs tools'!$K$2:$P$139,A618)&gt;0,"★ Yes","")</f>
        <v/>
      </c>
    </row>
    <row r="619" spans="1:9" x14ac:dyDescent="0.3">
      <c r="A619" s="18" t="s">
        <v>1046</v>
      </c>
      <c r="B619" s="7"/>
      <c r="C619" s="7" t="s">
        <v>1046</v>
      </c>
      <c r="D619" s="7"/>
      <c r="E619" s="6">
        <f t="shared" si="18"/>
        <v>1</v>
      </c>
      <c r="F619" s="6" t="str">
        <f t="shared" si="19"/>
        <v>Only RAKE</v>
      </c>
      <c r="G619" s="7" t="s">
        <v>1987</v>
      </c>
      <c r="H619" s="7"/>
      <c r="I619" s="19" t="str">
        <f>IF(COUNTIF('Claude vs tools'!$K$2:$P$139,A619)&gt;0,"★ Yes","")</f>
        <v/>
      </c>
    </row>
    <row r="620" spans="1:9" x14ac:dyDescent="0.3">
      <c r="A620" s="18" t="s">
        <v>1047</v>
      </c>
      <c r="B620" s="7" t="s">
        <v>1047</v>
      </c>
      <c r="C620" s="7"/>
      <c r="D620" s="7"/>
      <c r="E620" s="6">
        <f t="shared" si="18"/>
        <v>1</v>
      </c>
      <c r="F620" s="6" t="str">
        <f t="shared" si="19"/>
        <v>Only Gemini</v>
      </c>
      <c r="G620" s="7" t="s">
        <v>1988</v>
      </c>
      <c r="H620" s="7"/>
      <c r="I620" s="19" t="str">
        <f>IF(COUNTIF('Claude vs tools'!$K$2:$P$139,A620)&gt;0,"★ Yes","")</f>
        <v/>
      </c>
    </row>
    <row r="621" spans="1:9" x14ac:dyDescent="0.3">
      <c r="A621" s="18" t="s">
        <v>1048</v>
      </c>
      <c r="B621" s="7"/>
      <c r="C621" s="7"/>
      <c r="D621" s="7" t="s">
        <v>1048</v>
      </c>
      <c r="E621" s="6">
        <f t="shared" si="18"/>
        <v>1</v>
      </c>
      <c r="F621" s="6" t="str">
        <f t="shared" si="19"/>
        <v>Only YAKE</v>
      </c>
      <c r="G621" s="7" t="s">
        <v>1989</v>
      </c>
      <c r="H621" s="7"/>
      <c r="I621" s="19" t="str">
        <f>IF(COUNTIF('Claude vs tools'!$K$2:$P$139,A621)&gt;0,"★ Yes","")</f>
        <v/>
      </c>
    </row>
    <row r="622" spans="1:9" x14ac:dyDescent="0.3">
      <c r="A622" s="18" t="s">
        <v>1049</v>
      </c>
      <c r="B622" s="7"/>
      <c r="C622" s="7" t="s">
        <v>1049</v>
      </c>
      <c r="D622" s="7"/>
      <c r="E622" s="6">
        <f t="shared" si="18"/>
        <v>1</v>
      </c>
      <c r="F622" s="6" t="str">
        <f t="shared" si="19"/>
        <v>Only RAKE</v>
      </c>
      <c r="G622" s="7" t="s">
        <v>1490</v>
      </c>
      <c r="H622" s="7"/>
      <c r="I622" s="19" t="str">
        <f>IF(COUNTIF('Claude vs tools'!$K$2:$P$139,A622)&gt;0,"★ Yes","")</f>
        <v/>
      </c>
    </row>
    <row r="623" spans="1:9" x14ac:dyDescent="0.3">
      <c r="A623" s="18" t="s">
        <v>1050</v>
      </c>
      <c r="B623" s="7"/>
      <c r="C623" s="7"/>
      <c r="D623" s="7" t="s">
        <v>1050</v>
      </c>
      <c r="E623" s="6">
        <f t="shared" si="18"/>
        <v>1</v>
      </c>
      <c r="F623" s="6" t="str">
        <f t="shared" si="19"/>
        <v>Only YAKE</v>
      </c>
      <c r="G623" s="7" t="s">
        <v>795</v>
      </c>
      <c r="H623" s="7"/>
      <c r="I623" s="19" t="str">
        <f>IF(COUNTIF('Claude vs tools'!$K$2:$P$139,A623)&gt;0,"★ Yes","")</f>
        <v/>
      </c>
    </row>
    <row r="624" spans="1:9" x14ac:dyDescent="0.3">
      <c r="A624" s="18" t="s">
        <v>1051</v>
      </c>
      <c r="B624" s="7"/>
      <c r="C624" s="7"/>
      <c r="D624" s="7" t="s">
        <v>1051</v>
      </c>
      <c r="E624" s="6">
        <f t="shared" si="18"/>
        <v>1</v>
      </c>
      <c r="F624" s="6" t="str">
        <f t="shared" si="19"/>
        <v>Only YAKE</v>
      </c>
      <c r="G624" s="7" t="s">
        <v>1990</v>
      </c>
      <c r="H624" s="7"/>
      <c r="I624" s="19" t="str">
        <f>IF(COUNTIF('Claude vs tools'!$K$2:$P$139,A624)&gt;0,"★ Yes","")</f>
        <v/>
      </c>
    </row>
    <row r="625" spans="1:9" x14ac:dyDescent="0.3">
      <c r="A625" s="18" t="s">
        <v>1052</v>
      </c>
      <c r="B625" s="7"/>
      <c r="C625" s="7"/>
      <c r="D625" s="7" t="s">
        <v>1052</v>
      </c>
      <c r="E625" s="6">
        <f t="shared" si="18"/>
        <v>1</v>
      </c>
      <c r="F625" s="6" t="str">
        <f t="shared" si="19"/>
        <v>Only YAKE</v>
      </c>
      <c r="G625" s="7" t="s">
        <v>1991</v>
      </c>
      <c r="H625" s="7"/>
      <c r="I625" s="19" t="str">
        <f>IF(COUNTIF('Claude vs tools'!$K$2:$P$139,A625)&gt;0,"★ Yes","")</f>
        <v/>
      </c>
    </row>
    <row r="626" spans="1:9" x14ac:dyDescent="0.3">
      <c r="A626" s="18" t="s">
        <v>1053</v>
      </c>
      <c r="B626" s="7"/>
      <c r="C626" s="7"/>
      <c r="D626" s="7" t="s">
        <v>1053</v>
      </c>
      <c r="E626" s="6">
        <f t="shared" si="18"/>
        <v>1</v>
      </c>
      <c r="F626" s="6" t="str">
        <f t="shared" si="19"/>
        <v>Only YAKE</v>
      </c>
      <c r="G626" s="7" t="s">
        <v>1992</v>
      </c>
      <c r="H626" s="7"/>
      <c r="I626" s="19" t="str">
        <f>IF(COUNTIF('Claude vs tools'!$K$2:$P$139,A626)&gt;0,"★ Yes","")</f>
        <v/>
      </c>
    </row>
    <row r="627" spans="1:9" x14ac:dyDescent="0.3">
      <c r="A627" s="18" t="s">
        <v>327</v>
      </c>
      <c r="B627" s="7"/>
      <c r="C627" s="7" t="s">
        <v>327</v>
      </c>
      <c r="D627" s="7"/>
      <c r="E627" s="6">
        <f t="shared" si="18"/>
        <v>1</v>
      </c>
      <c r="F627" s="6" t="str">
        <f t="shared" si="19"/>
        <v>Only RAKE</v>
      </c>
      <c r="G627" s="7" t="s">
        <v>1993</v>
      </c>
      <c r="H627" s="7"/>
      <c r="I627" s="19" t="str">
        <f>IF(COUNTIF('Claude vs tools'!$K$2:$P$139,A627)&gt;0,"★ Yes","")</f>
        <v>★ Yes</v>
      </c>
    </row>
    <row r="628" spans="1:9" ht="26.4" x14ac:dyDescent="0.3">
      <c r="A628" s="18" t="s">
        <v>1054</v>
      </c>
      <c r="B628" s="7"/>
      <c r="C628" s="7"/>
      <c r="D628" s="7" t="s">
        <v>1054</v>
      </c>
      <c r="E628" s="6">
        <f t="shared" si="18"/>
        <v>1</v>
      </c>
      <c r="F628" s="6" t="str">
        <f t="shared" si="19"/>
        <v>Only YAKE</v>
      </c>
      <c r="G628" s="7" t="s">
        <v>1994</v>
      </c>
      <c r="H628" s="7"/>
      <c r="I628" s="19" t="str">
        <f>IF(COUNTIF('Claude vs tools'!$K$2:$P$139,A628)&gt;0,"★ Yes","")</f>
        <v/>
      </c>
    </row>
    <row r="629" spans="1:9" x14ac:dyDescent="0.3">
      <c r="A629" s="18" t="s">
        <v>1055</v>
      </c>
      <c r="B629" s="7"/>
      <c r="C629" s="7"/>
      <c r="D629" s="7" t="s">
        <v>1055</v>
      </c>
      <c r="E629" s="6">
        <f t="shared" si="18"/>
        <v>1</v>
      </c>
      <c r="F629" s="6" t="str">
        <f t="shared" si="19"/>
        <v>Only YAKE</v>
      </c>
      <c r="G629" s="7" t="s">
        <v>1449</v>
      </c>
      <c r="H629" s="7"/>
      <c r="I629" s="19" t="str">
        <f>IF(COUNTIF('Claude vs tools'!$K$2:$P$139,A629)&gt;0,"★ Yes","")</f>
        <v/>
      </c>
    </row>
    <row r="630" spans="1:9" x14ac:dyDescent="0.3">
      <c r="A630" s="18" t="s">
        <v>1056</v>
      </c>
      <c r="B630" s="7"/>
      <c r="C630" s="7" t="s">
        <v>1056</v>
      </c>
      <c r="D630" s="7"/>
      <c r="E630" s="6">
        <f t="shared" si="18"/>
        <v>1</v>
      </c>
      <c r="F630" s="6" t="str">
        <f t="shared" si="19"/>
        <v>Only RAKE</v>
      </c>
      <c r="G630" s="7" t="s">
        <v>1995</v>
      </c>
      <c r="H630" s="7"/>
      <c r="I630" s="19" t="str">
        <f>IF(COUNTIF('Claude vs tools'!$K$2:$P$139,A630)&gt;0,"★ Yes","")</f>
        <v/>
      </c>
    </row>
    <row r="631" spans="1:9" x14ac:dyDescent="0.3">
      <c r="A631" s="18" t="s">
        <v>1057</v>
      </c>
      <c r="B631" s="7"/>
      <c r="C631" s="7" t="s">
        <v>1057</v>
      </c>
      <c r="D631" s="7"/>
      <c r="E631" s="6">
        <f t="shared" si="18"/>
        <v>1</v>
      </c>
      <c r="F631" s="6" t="str">
        <f t="shared" si="19"/>
        <v>Only RAKE</v>
      </c>
      <c r="G631" s="7" t="s">
        <v>1449</v>
      </c>
      <c r="H631" s="7"/>
      <c r="I631" s="19" t="str">
        <f>IF(COUNTIF('Claude vs tools'!$K$2:$P$139,A631)&gt;0,"★ Yes","")</f>
        <v/>
      </c>
    </row>
    <row r="632" spans="1:9" x14ac:dyDescent="0.3">
      <c r="A632" s="18" t="s">
        <v>1058</v>
      </c>
      <c r="B632" s="7"/>
      <c r="C632" s="7"/>
      <c r="D632" s="7" t="s">
        <v>1058</v>
      </c>
      <c r="E632" s="6">
        <f t="shared" si="18"/>
        <v>1</v>
      </c>
      <c r="F632" s="6" t="str">
        <f t="shared" si="19"/>
        <v>Only YAKE</v>
      </c>
      <c r="G632" s="7" t="s">
        <v>1996</v>
      </c>
      <c r="H632" s="7"/>
      <c r="I632" s="19" t="str">
        <f>IF(COUNTIF('Claude vs tools'!$K$2:$P$139,A632)&gt;0,"★ Yes","")</f>
        <v/>
      </c>
    </row>
    <row r="633" spans="1:9" ht="26.4" x14ac:dyDescent="0.3">
      <c r="A633" s="18" t="s">
        <v>1059</v>
      </c>
      <c r="B633" s="7"/>
      <c r="C633" s="7"/>
      <c r="D633" s="7" t="s">
        <v>1059</v>
      </c>
      <c r="E633" s="6">
        <f t="shared" si="18"/>
        <v>1</v>
      </c>
      <c r="F633" s="6" t="str">
        <f t="shared" si="19"/>
        <v>Only YAKE</v>
      </c>
      <c r="G633" s="7" t="s">
        <v>1997</v>
      </c>
      <c r="H633" s="7"/>
      <c r="I633" s="19" t="str">
        <f>IF(COUNTIF('Claude vs tools'!$K$2:$P$139,A633)&gt;0,"★ Yes","")</f>
        <v/>
      </c>
    </row>
    <row r="634" spans="1:9" x14ac:dyDescent="0.3">
      <c r="A634" s="18" t="s">
        <v>1060</v>
      </c>
      <c r="B634" s="7"/>
      <c r="C634" s="7" t="s">
        <v>1060</v>
      </c>
      <c r="D634" s="7"/>
      <c r="E634" s="6">
        <f t="shared" si="18"/>
        <v>1</v>
      </c>
      <c r="F634" s="6" t="str">
        <f t="shared" si="19"/>
        <v>Only RAKE</v>
      </c>
      <c r="G634" s="7" t="s">
        <v>1998</v>
      </c>
      <c r="H634" s="7"/>
      <c r="I634" s="19" t="str">
        <f>IF(COUNTIF('Claude vs tools'!$K$2:$P$139,A634)&gt;0,"★ Yes","")</f>
        <v/>
      </c>
    </row>
    <row r="635" spans="1:9" x14ac:dyDescent="0.3">
      <c r="A635" s="18" t="s">
        <v>435</v>
      </c>
      <c r="B635" s="7"/>
      <c r="C635" s="7" t="s">
        <v>435</v>
      </c>
      <c r="D635" s="7"/>
      <c r="E635" s="6">
        <f t="shared" si="18"/>
        <v>1</v>
      </c>
      <c r="F635" s="6" t="str">
        <f t="shared" si="19"/>
        <v>Only RAKE</v>
      </c>
      <c r="G635" s="7" t="s">
        <v>1454</v>
      </c>
      <c r="H635" s="7"/>
      <c r="I635" s="19" t="str">
        <f>IF(COUNTIF('Claude vs tools'!$K$2:$P$139,A635)&gt;0,"★ Yes","")</f>
        <v>★ Yes</v>
      </c>
    </row>
    <row r="636" spans="1:9" x14ac:dyDescent="0.3">
      <c r="A636" s="18" t="s">
        <v>417</v>
      </c>
      <c r="B636" s="7"/>
      <c r="C636" s="7" t="s">
        <v>417</v>
      </c>
      <c r="D636" s="7"/>
      <c r="E636" s="6">
        <f t="shared" si="18"/>
        <v>1</v>
      </c>
      <c r="F636" s="6" t="str">
        <f t="shared" si="19"/>
        <v>Only RAKE</v>
      </c>
      <c r="G636" s="7" t="s">
        <v>1454</v>
      </c>
      <c r="H636" s="7"/>
      <c r="I636" s="19" t="str">
        <f>IF(COUNTIF('Claude vs tools'!$K$2:$P$139,A636)&gt;0,"★ Yes","")</f>
        <v>★ Yes</v>
      </c>
    </row>
    <row r="637" spans="1:9" x14ac:dyDescent="0.3">
      <c r="A637" s="18" t="s">
        <v>1061</v>
      </c>
      <c r="B637" s="7"/>
      <c r="C637" s="7"/>
      <c r="D637" s="7" t="s">
        <v>1061</v>
      </c>
      <c r="E637" s="6">
        <f t="shared" si="18"/>
        <v>1</v>
      </c>
      <c r="F637" s="6" t="str">
        <f t="shared" si="19"/>
        <v>Only YAKE</v>
      </c>
      <c r="G637" s="7" t="s">
        <v>1999</v>
      </c>
      <c r="H637" s="7"/>
      <c r="I637" s="19" t="str">
        <f>IF(COUNTIF('Claude vs tools'!$K$2:$P$139,A637)&gt;0,"★ Yes","")</f>
        <v/>
      </c>
    </row>
    <row r="638" spans="1:9" x14ac:dyDescent="0.3">
      <c r="A638" s="18" t="s">
        <v>1062</v>
      </c>
      <c r="B638" s="7"/>
      <c r="C638" s="7"/>
      <c r="D638" s="7" t="s">
        <v>1062</v>
      </c>
      <c r="E638" s="6">
        <f t="shared" si="18"/>
        <v>1</v>
      </c>
      <c r="F638" s="6" t="str">
        <f t="shared" si="19"/>
        <v>Only YAKE</v>
      </c>
      <c r="G638" s="7" t="s">
        <v>2000</v>
      </c>
      <c r="H638" s="7"/>
      <c r="I638" s="19" t="str">
        <f>IF(COUNTIF('Claude vs tools'!$K$2:$P$139,A638)&gt;0,"★ Yes","")</f>
        <v/>
      </c>
    </row>
    <row r="639" spans="1:9" x14ac:dyDescent="0.3">
      <c r="A639" s="18" t="s">
        <v>1063</v>
      </c>
      <c r="B639" s="7"/>
      <c r="C639" s="7"/>
      <c r="D639" s="7" t="s">
        <v>1063</v>
      </c>
      <c r="E639" s="6">
        <f t="shared" si="18"/>
        <v>1</v>
      </c>
      <c r="F639" s="6" t="str">
        <f t="shared" si="19"/>
        <v>Only YAKE</v>
      </c>
      <c r="G639" s="7" t="s">
        <v>2001</v>
      </c>
      <c r="H639" s="7"/>
      <c r="I639" s="19" t="str">
        <f>IF(COUNTIF('Claude vs tools'!$K$2:$P$139,A639)&gt;0,"★ Yes","")</f>
        <v/>
      </c>
    </row>
    <row r="640" spans="1:9" x14ac:dyDescent="0.3">
      <c r="A640" s="18" t="s">
        <v>1064</v>
      </c>
      <c r="B640" s="7"/>
      <c r="C640" s="7" t="s">
        <v>1064</v>
      </c>
      <c r="D640" s="7"/>
      <c r="E640" s="6">
        <f t="shared" si="18"/>
        <v>1</v>
      </c>
      <c r="F640" s="6" t="str">
        <f t="shared" si="19"/>
        <v>Only RAKE</v>
      </c>
      <c r="G640" s="7" t="s">
        <v>2002</v>
      </c>
      <c r="H640" s="7"/>
      <c r="I640" s="19" t="str">
        <f>IF(COUNTIF('Claude vs tools'!$K$2:$P$139,A640)&gt;0,"★ Yes","")</f>
        <v/>
      </c>
    </row>
    <row r="641" spans="1:9" x14ac:dyDescent="0.3">
      <c r="A641" s="18" t="s">
        <v>1065</v>
      </c>
      <c r="B641" s="7"/>
      <c r="C641" s="7" t="s">
        <v>1065</v>
      </c>
      <c r="D641" s="7"/>
      <c r="E641" s="6">
        <f t="shared" si="18"/>
        <v>1</v>
      </c>
      <c r="F641" s="6" t="str">
        <f t="shared" si="19"/>
        <v>Only RAKE</v>
      </c>
      <c r="G641" s="7" t="s">
        <v>2003</v>
      </c>
      <c r="H641" s="7"/>
      <c r="I641" s="19" t="str">
        <f>IF(COUNTIF('Claude vs tools'!$K$2:$P$139,A641)&gt;0,"★ Yes","")</f>
        <v/>
      </c>
    </row>
    <row r="642" spans="1:9" x14ac:dyDescent="0.3">
      <c r="A642" s="18" t="s">
        <v>1066</v>
      </c>
      <c r="B642" s="7"/>
      <c r="C642" s="7" t="s">
        <v>1066</v>
      </c>
      <c r="D642" s="7"/>
      <c r="E642" s="6">
        <f t="shared" ref="E642:E705" si="20">COUNTA(B642:D642)</f>
        <v>1</v>
      </c>
      <c r="F642" s="6" t="str">
        <f t="shared" ref="F642:F705" si="21">IF(E642=3,"All three",IF(E642=2,SUBSTITUTE(TRIM(IF(B642&lt;&gt;"","Gemini ","")&amp;IF(C642&lt;&gt;"","RAKE ","")&amp;IF(D642&lt;&gt;"","YAKE",""))," "," + "),"Only "&amp;TRIM(IF(B642&lt;&gt;"","Gemini","")&amp;IF(C642&lt;&gt;"","RAKE","")&amp;IF(D642&lt;&gt;"","YAKE",""))))</f>
        <v>Only RAKE</v>
      </c>
      <c r="G642" s="7" t="s">
        <v>2004</v>
      </c>
      <c r="H642" s="7"/>
      <c r="I642" s="19" t="str">
        <f>IF(COUNTIF('Claude vs tools'!$K$2:$P$139,A642)&gt;0,"★ Yes","")</f>
        <v/>
      </c>
    </row>
    <row r="643" spans="1:9" x14ac:dyDescent="0.3">
      <c r="A643" s="18" t="s">
        <v>1067</v>
      </c>
      <c r="B643" s="7"/>
      <c r="C643" s="7" t="s">
        <v>1067</v>
      </c>
      <c r="D643" s="7"/>
      <c r="E643" s="6">
        <f t="shared" si="20"/>
        <v>1</v>
      </c>
      <c r="F643" s="6" t="str">
        <f t="shared" si="21"/>
        <v>Only RAKE</v>
      </c>
      <c r="G643" s="7" t="s">
        <v>2005</v>
      </c>
      <c r="H643" s="7"/>
      <c r="I643" s="19" t="str">
        <f>IF(COUNTIF('Claude vs tools'!$K$2:$P$139,A643)&gt;0,"★ Yes","")</f>
        <v/>
      </c>
    </row>
    <row r="644" spans="1:9" x14ac:dyDescent="0.3">
      <c r="A644" s="18" t="s">
        <v>1068</v>
      </c>
      <c r="B644" s="7"/>
      <c r="C644" s="7" t="s">
        <v>1068</v>
      </c>
      <c r="D644" s="7"/>
      <c r="E644" s="6">
        <f t="shared" si="20"/>
        <v>1</v>
      </c>
      <c r="F644" s="6" t="str">
        <f t="shared" si="21"/>
        <v>Only RAKE</v>
      </c>
      <c r="G644" s="7" t="s">
        <v>2006</v>
      </c>
      <c r="H644" s="7"/>
      <c r="I644" s="19" t="str">
        <f>IF(COUNTIF('Claude vs tools'!$K$2:$P$139,A644)&gt;0,"★ Yes","")</f>
        <v/>
      </c>
    </row>
    <row r="645" spans="1:9" x14ac:dyDescent="0.3">
      <c r="A645" s="18" t="s">
        <v>390</v>
      </c>
      <c r="B645" s="7"/>
      <c r="C645" s="7"/>
      <c r="D645" s="7" t="s">
        <v>390</v>
      </c>
      <c r="E645" s="6">
        <f t="shared" si="20"/>
        <v>1</v>
      </c>
      <c r="F645" s="6" t="str">
        <f t="shared" si="21"/>
        <v>Only YAKE</v>
      </c>
      <c r="G645" s="7" t="s">
        <v>795</v>
      </c>
      <c r="H645" s="7"/>
      <c r="I645" s="19" t="str">
        <f>IF(COUNTIF('Claude vs tools'!$K$2:$P$139,A645)&gt;0,"★ Yes","")</f>
        <v>★ Yes</v>
      </c>
    </row>
    <row r="646" spans="1:9" x14ac:dyDescent="0.3">
      <c r="A646" s="18" t="s">
        <v>1069</v>
      </c>
      <c r="B646" s="7"/>
      <c r="C646" s="7" t="s">
        <v>1069</v>
      </c>
      <c r="D646" s="7"/>
      <c r="E646" s="6">
        <f t="shared" si="20"/>
        <v>1</v>
      </c>
      <c r="F646" s="6" t="str">
        <f t="shared" si="21"/>
        <v>Only RAKE</v>
      </c>
      <c r="G646" s="7" t="s">
        <v>1783</v>
      </c>
      <c r="H646" s="7"/>
      <c r="I646" s="19" t="str">
        <f>IF(COUNTIF('Claude vs tools'!$K$2:$P$139,A646)&gt;0,"★ Yes","")</f>
        <v/>
      </c>
    </row>
    <row r="647" spans="1:9" x14ac:dyDescent="0.3">
      <c r="A647" s="18" t="s">
        <v>1070</v>
      </c>
      <c r="B647" s="7"/>
      <c r="C647" s="7" t="s">
        <v>1070</v>
      </c>
      <c r="D647" s="7"/>
      <c r="E647" s="6">
        <f t="shared" si="20"/>
        <v>1</v>
      </c>
      <c r="F647" s="6" t="str">
        <f t="shared" si="21"/>
        <v>Only RAKE</v>
      </c>
      <c r="G647" s="7" t="s">
        <v>2007</v>
      </c>
      <c r="H647" s="7"/>
      <c r="I647" s="19" t="str">
        <f>IF(COUNTIF('Claude vs tools'!$K$2:$P$139,A647)&gt;0,"★ Yes","")</f>
        <v/>
      </c>
    </row>
    <row r="648" spans="1:9" x14ac:dyDescent="0.3">
      <c r="A648" s="18" t="s">
        <v>1071</v>
      </c>
      <c r="B648" s="7"/>
      <c r="C648" s="7" t="s">
        <v>1071</v>
      </c>
      <c r="D648" s="7"/>
      <c r="E648" s="6">
        <f t="shared" si="20"/>
        <v>1</v>
      </c>
      <c r="F648" s="6" t="str">
        <f t="shared" si="21"/>
        <v>Only RAKE</v>
      </c>
      <c r="G648" s="7" t="s">
        <v>795</v>
      </c>
      <c r="H648" s="7"/>
      <c r="I648" s="19" t="str">
        <f>IF(COUNTIF('Claude vs tools'!$K$2:$P$139,A648)&gt;0,"★ Yes","")</f>
        <v/>
      </c>
    </row>
    <row r="649" spans="1:9" x14ac:dyDescent="0.3">
      <c r="A649" s="18" t="s">
        <v>1072</v>
      </c>
      <c r="B649" s="7"/>
      <c r="C649" s="7" t="s">
        <v>1072</v>
      </c>
      <c r="D649" s="7"/>
      <c r="E649" s="6">
        <f t="shared" si="20"/>
        <v>1</v>
      </c>
      <c r="F649" s="6" t="str">
        <f t="shared" si="21"/>
        <v>Only RAKE</v>
      </c>
      <c r="G649" s="7" t="s">
        <v>795</v>
      </c>
      <c r="H649" s="7"/>
      <c r="I649" s="19" t="str">
        <f>IF(COUNTIF('Claude vs tools'!$K$2:$P$139,A649)&gt;0,"★ Yes","")</f>
        <v/>
      </c>
    </row>
    <row r="650" spans="1:9" x14ac:dyDescent="0.3">
      <c r="A650" s="18" t="s">
        <v>1073</v>
      </c>
      <c r="B650" s="7"/>
      <c r="C650" s="7"/>
      <c r="D650" s="7" t="s">
        <v>1073</v>
      </c>
      <c r="E650" s="6">
        <f t="shared" si="20"/>
        <v>1</v>
      </c>
      <c r="F650" s="6" t="str">
        <f t="shared" si="21"/>
        <v>Only YAKE</v>
      </c>
      <c r="G650" s="7" t="s">
        <v>2008</v>
      </c>
      <c r="H650" s="7"/>
      <c r="I650" s="19" t="str">
        <f>IF(COUNTIF('Claude vs tools'!$K$2:$P$139,A650)&gt;0,"★ Yes","")</f>
        <v/>
      </c>
    </row>
    <row r="651" spans="1:9" x14ac:dyDescent="0.3">
      <c r="A651" s="18" t="s">
        <v>1074</v>
      </c>
      <c r="B651" s="7"/>
      <c r="C651" s="7" t="s">
        <v>1074</v>
      </c>
      <c r="D651" s="7"/>
      <c r="E651" s="6">
        <f t="shared" si="20"/>
        <v>1</v>
      </c>
      <c r="F651" s="6" t="str">
        <f t="shared" si="21"/>
        <v>Only RAKE</v>
      </c>
      <c r="G651" s="7" t="s">
        <v>1871</v>
      </c>
      <c r="H651" s="7"/>
      <c r="I651" s="19" t="str">
        <f>IF(COUNTIF('Claude vs tools'!$K$2:$P$139,A651)&gt;0,"★ Yes","")</f>
        <v/>
      </c>
    </row>
    <row r="652" spans="1:9" ht="26.4" x14ac:dyDescent="0.3">
      <c r="A652" s="18" t="s">
        <v>1075</v>
      </c>
      <c r="B652" s="7" t="s">
        <v>1075</v>
      </c>
      <c r="C652" s="7"/>
      <c r="D652" s="7"/>
      <c r="E652" s="6">
        <f t="shared" si="20"/>
        <v>1</v>
      </c>
      <c r="F652" s="6" t="str">
        <f t="shared" si="21"/>
        <v>Only Gemini</v>
      </c>
      <c r="G652" s="7" t="s">
        <v>2009</v>
      </c>
      <c r="H652" s="7"/>
      <c r="I652" s="19" t="str">
        <f>IF(COUNTIF('Claude vs tools'!$K$2:$P$139,A652)&gt;0,"★ Yes","")</f>
        <v/>
      </c>
    </row>
    <row r="653" spans="1:9" ht="26.4" x14ac:dyDescent="0.3">
      <c r="A653" s="18" t="s">
        <v>1076</v>
      </c>
      <c r="B653" s="7"/>
      <c r="C653" s="7"/>
      <c r="D653" s="7" t="s">
        <v>1076</v>
      </c>
      <c r="E653" s="6">
        <f t="shared" si="20"/>
        <v>1</v>
      </c>
      <c r="F653" s="6" t="str">
        <f t="shared" si="21"/>
        <v>Only YAKE</v>
      </c>
      <c r="G653" s="7" t="s">
        <v>2010</v>
      </c>
      <c r="H653" s="7"/>
      <c r="I653" s="19" t="str">
        <f>IF(COUNTIF('Claude vs tools'!$K$2:$P$139,A653)&gt;0,"★ Yes","")</f>
        <v/>
      </c>
    </row>
    <row r="654" spans="1:9" x14ac:dyDescent="0.3">
      <c r="A654" s="18" t="s">
        <v>1077</v>
      </c>
      <c r="B654" s="7"/>
      <c r="C654" s="7"/>
      <c r="D654" s="7" t="s">
        <v>1077</v>
      </c>
      <c r="E654" s="6">
        <f t="shared" si="20"/>
        <v>1</v>
      </c>
      <c r="F654" s="6" t="str">
        <f t="shared" si="21"/>
        <v>Only YAKE</v>
      </c>
      <c r="G654" s="7" t="s">
        <v>2011</v>
      </c>
      <c r="H654" s="7"/>
      <c r="I654" s="19" t="str">
        <f>IF(COUNTIF('Claude vs tools'!$K$2:$P$139,A654)&gt;0,"★ Yes","")</f>
        <v/>
      </c>
    </row>
    <row r="655" spans="1:9" x14ac:dyDescent="0.3">
      <c r="A655" s="18" t="s">
        <v>1078</v>
      </c>
      <c r="B655" s="7"/>
      <c r="C655" s="7" t="s">
        <v>1078</v>
      </c>
      <c r="D655" s="7"/>
      <c r="E655" s="6">
        <f t="shared" si="20"/>
        <v>1</v>
      </c>
      <c r="F655" s="6" t="str">
        <f t="shared" si="21"/>
        <v>Only RAKE</v>
      </c>
      <c r="G655" s="7" t="s">
        <v>1622</v>
      </c>
      <c r="H655" s="7"/>
      <c r="I655" s="19" t="str">
        <f>IF(COUNTIF('Claude vs tools'!$K$2:$P$139,A655)&gt;0,"★ Yes","")</f>
        <v/>
      </c>
    </row>
    <row r="656" spans="1:9" ht="26.4" x14ac:dyDescent="0.3">
      <c r="A656" s="18" t="s">
        <v>1079</v>
      </c>
      <c r="B656" s="7"/>
      <c r="C656" s="7"/>
      <c r="D656" s="7" t="s">
        <v>1079</v>
      </c>
      <c r="E656" s="6">
        <f t="shared" si="20"/>
        <v>1</v>
      </c>
      <c r="F656" s="6" t="str">
        <f t="shared" si="21"/>
        <v>Only YAKE</v>
      </c>
      <c r="G656" s="7" t="s">
        <v>2012</v>
      </c>
      <c r="H656" s="7"/>
      <c r="I656" s="19" t="str">
        <f>IF(COUNTIF('Claude vs tools'!$K$2:$P$139,A656)&gt;0,"★ Yes","")</f>
        <v/>
      </c>
    </row>
    <row r="657" spans="1:9" x14ac:dyDescent="0.3">
      <c r="A657" s="18" t="s">
        <v>483</v>
      </c>
      <c r="B657" s="7"/>
      <c r="C657" s="7"/>
      <c r="D657" s="7" t="s">
        <v>483</v>
      </c>
      <c r="E657" s="6">
        <f t="shared" si="20"/>
        <v>1</v>
      </c>
      <c r="F657" s="6" t="str">
        <f t="shared" si="21"/>
        <v>Only YAKE</v>
      </c>
      <c r="G657" s="7" t="s">
        <v>2013</v>
      </c>
      <c r="H657" s="7"/>
      <c r="I657" s="19" t="str">
        <f>IF(COUNTIF('Claude vs tools'!$K$2:$P$139,A657)&gt;0,"★ Yes","")</f>
        <v>★ Yes</v>
      </c>
    </row>
    <row r="658" spans="1:9" x14ac:dyDescent="0.3">
      <c r="A658" s="18" t="s">
        <v>1080</v>
      </c>
      <c r="B658" s="7"/>
      <c r="C658" s="7" t="s">
        <v>1080</v>
      </c>
      <c r="D658" s="7"/>
      <c r="E658" s="6">
        <f t="shared" si="20"/>
        <v>1</v>
      </c>
      <c r="F658" s="6" t="str">
        <f t="shared" si="21"/>
        <v>Only RAKE</v>
      </c>
      <c r="G658" s="7" t="s">
        <v>2014</v>
      </c>
      <c r="H658" s="7"/>
      <c r="I658" s="19" t="str">
        <f>IF(COUNTIF('Claude vs tools'!$K$2:$P$139,A658)&gt;0,"★ Yes","")</f>
        <v/>
      </c>
    </row>
    <row r="659" spans="1:9" x14ac:dyDescent="0.3">
      <c r="A659" s="18" t="s">
        <v>1081</v>
      </c>
      <c r="B659" s="7"/>
      <c r="C659" s="7" t="s">
        <v>1081</v>
      </c>
      <c r="D659" s="7"/>
      <c r="E659" s="6">
        <f t="shared" si="20"/>
        <v>1</v>
      </c>
      <c r="F659" s="6" t="str">
        <f t="shared" si="21"/>
        <v>Only RAKE</v>
      </c>
      <c r="G659" s="7" t="s">
        <v>1622</v>
      </c>
      <c r="H659" s="7"/>
      <c r="I659" s="19" t="str">
        <f>IF(COUNTIF('Claude vs tools'!$K$2:$P$139,A659)&gt;0,"★ Yes","")</f>
        <v/>
      </c>
    </row>
    <row r="660" spans="1:9" x14ac:dyDescent="0.3">
      <c r="A660" s="18" t="s">
        <v>1082</v>
      </c>
      <c r="B660" s="7"/>
      <c r="C660" s="7"/>
      <c r="D660" s="7" t="s">
        <v>1082</v>
      </c>
      <c r="E660" s="6">
        <f t="shared" si="20"/>
        <v>1</v>
      </c>
      <c r="F660" s="6" t="str">
        <f t="shared" si="21"/>
        <v>Only YAKE</v>
      </c>
      <c r="G660" s="7" t="s">
        <v>1627</v>
      </c>
      <c r="H660" s="7"/>
      <c r="I660" s="19" t="str">
        <f>IF(COUNTIF('Claude vs tools'!$K$2:$P$139,A660)&gt;0,"★ Yes","")</f>
        <v/>
      </c>
    </row>
    <row r="661" spans="1:9" x14ac:dyDescent="0.3">
      <c r="A661" s="18" t="s">
        <v>1083</v>
      </c>
      <c r="B661" s="7"/>
      <c r="C661" s="7"/>
      <c r="D661" s="7" t="s">
        <v>1083</v>
      </c>
      <c r="E661" s="6">
        <f t="shared" si="20"/>
        <v>1</v>
      </c>
      <c r="F661" s="6" t="str">
        <f t="shared" si="21"/>
        <v>Only YAKE</v>
      </c>
      <c r="G661" s="7" t="s">
        <v>2015</v>
      </c>
      <c r="H661" s="7"/>
      <c r="I661" s="19" t="str">
        <f>IF(COUNTIF('Claude vs tools'!$K$2:$P$139,A661)&gt;0,"★ Yes","")</f>
        <v/>
      </c>
    </row>
    <row r="662" spans="1:9" x14ac:dyDescent="0.3">
      <c r="A662" s="18" t="s">
        <v>1084</v>
      </c>
      <c r="B662" s="7"/>
      <c r="C662" s="7" t="s">
        <v>1084</v>
      </c>
      <c r="D662" s="7"/>
      <c r="E662" s="6">
        <f t="shared" si="20"/>
        <v>1</v>
      </c>
      <c r="F662" s="6" t="str">
        <f t="shared" si="21"/>
        <v>Only RAKE</v>
      </c>
      <c r="G662" s="7" t="s">
        <v>2016</v>
      </c>
      <c r="H662" s="7"/>
      <c r="I662" s="19" t="str">
        <f>IF(COUNTIF('Claude vs tools'!$K$2:$P$139,A662)&gt;0,"★ Yes","")</f>
        <v/>
      </c>
    </row>
    <row r="663" spans="1:9" x14ac:dyDescent="0.3">
      <c r="A663" s="18" t="s">
        <v>1085</v>
      </c>
      <c r="B663" s="7"/>
      <c r="C663" s="7"/>
      <c r="D663" s="7" t="s">
        <v>1085</v>
      </c>
      <c r="E663" s="6">
        <f t="shared" si="20"/>
        <v>1</v>
      </c>
      <c r="F663" s="6" t="str">
        <f t="shared" si="21"/>
        <v>Only YAKE</v>
      </c>
      <c r="G663" s="7" t="s">
        <v>2017</v>
      </c>
      <c r="H663" s="7"/>
      <c r="I663" s="19" t="str">
        <f>IF(COUNTIF('Claude vs tools'!$K$2:$P$139,A663)&gt;0,"★ Yes","")</f>
        <v/>
      </c>
    </row>
    <row r="664" spans="1:9" x14ac:dyDescent="0.3">
      <c r="A664" s="18" t="s">
        <v>1086</v>
      </c>
      <c r="B664" s="7"/>
      <c r="C664" s="7"/>
      <c r="D664" s="7" t="s">
        <v>1086</v>
      </c>
      <c r="E664" s="6">
        <f t="shared" si="20"/>
        <v>1</v>
      </c>
      <c r="F664" s="6" t="str">
        <f t="shared" si="21"/>
        <v>Only YAKE</v>
      </c>
      <c r="G664" s="7" t="s">
        <v>2018</v>
      </c>
      <c r="H664" s="7"/>
      <c r="I664" s="19" t="str">
        <f>IF(COUNTIF('Claude vs tools'!$K$2:$P$139,A664)&gt;0,"★ Yes","")</f>
        <v/>
      </c>
    </row>
    <row r="665" spans="1:9" x14ac:dyDescent="0.3">
      <c r="A665" s="18" t="s">
        <v>36</v>
      </c>
      <c r="B665" s="7"/>
      <c r="C665" s="7" t="s">
        <v>36</v>
      </c>
      <c r="D665" s="7"/>
      <c r="E665" s="6">
        <f t="shared" si="20"/>
        <v>1</v>
      </c>
      <c r="F665" s="6" t="str">
        <f t="shared" si="21"/>
        <v>Only RAKE</v>
      </c>
      <c r="G665" s="7" t="s">
        <v>2019</v>
      </c>
      <c r="H665" s="7"/>
      <c r="I665" s="19" t="str">
        <f>IF(COUNTIF('Claude vs tools'!$K$2:$P$139,A665)&gt;0,"★ Yes","")</f>
        <v>★ Yes</v>
      </c>
    </row>
    <row r="666" spans="1:9" x14ac:dyDescent="0.3">
      <c r="A666" s="18" t="s">
        <v>1087</v>
      </c>
      <c r="B666" s="7"/>
      <c r="C666" s="7" t="s">
        <v>1087</v>
      </c>
      <c r="D666" s="7"/>
      <c r="E666" s="6">
        <f t="shared" si="20"/>
        <v>1</v>
      </c>
      <c r="F666" s="6" t="str">
        <f t="shared" si="21"/>
        <v>Only RAKE</v>
      </c>
      <c r="G666" s="7" t="s">
        <v>795</v>
      </c>
      <c r="H666" s="7"/>
      <c r="I666" s="19" t="str">
        <f>IF(COUNTIF('Claude vs tools'!$K$2:$P$139,A666)&gt;0,"★ Yes","")</f>
        <v/>
      </c>
    </row>
    <row r="667" spans="1:9" x14ac:dyDescent="0.3">
      <c r="A667" s="18" t="s">
        <v>26</v>
      </c>
      <c r="B667" s="7"/>
      <c r="C667" s="7" t="s">
        <v>26</v>
      </c>
      <c r="D667" s="7"/>
      <c r="E667" s="6">
        <f t="shared" si="20"/>
        <v>1</v>
      </c>
      <c r="F667" s="6" t="str">
        <f t="shared" si="21"/>
        <v>Only RAKE</v>
      </c>
      <c r="G667" s="7" t="s">
        <v>1743</v>
      </c>
      <c r="H667" s="7"/>
      <c r="I667" s="19" t="str">
        <f>IF(COUNTIF('Claude vs tools'!$K$2:$P$139,A667)&gt;0,"★ Yes","")</f>
        <v>★ Yes</v>
      </c>
    </row>
    <row r="668" spans="1:9" x14ac:dyDescent="0.3">
      <c r="A668" s="18" t="s">
        <v>1088</v>
      </c>
      <c r="B668" s="7"/>
      <c r="C668" s="7"/>
      <c r="D668" s="7" t="s">
        <v>1088</v>
      </c>
      <c r="E668" s="6">
        <f t="shared" si="20"/>
        <v>1</v>
      </c>
      <c r="F668" s="6" t="str">
        <f t="shared" si="21"/>
        <v>Only YAKE</v>
      </c>
      <c r="G668" s="7" t="s">
        <v>2020</v>
      </c>
      <c r="H668" s="7"/>
      <c r="I668" s="19" t="str">
        <f>IF(COUNTIF('Claude vs tools'!$K$2:$P$139,A668)&gt;0,"★ Yes","")</f>
        <v/>
      </c>
    </row>
    <row r="669" spans="1:9" x14ac:dyDescent="0.3">
      <c r="A669" s="18" t="s">
        <v>1089</v>
      </c>
      <c r="B669" s="7"/>
      <c r="C669" s="7"/>
      <c r="D669" s="7" t="s">
        <v>1089</v>
      </c>
      <c r="E669" s="6">
        <f t="shared" si="20"/>
        <v>1</v>
      </c>
      <c r="F669" s="6" t="str">
        <f t="shared" si="21"/>
        <v>Only YAKE</v>
      </c>
      <c r="G669" s="7" t="s">
        <v>1612</v>
      </c>
      <c r="H669" s="7"/>
      <c r="I669" s="19" t="str">
        <f>IF(COUNTIF('Claude vs tools'!$K$2:$P$139,A669)&gt;0,"★ Yes","")</f>
        <v/>
      </c>
    </row>
    <row r="670" spans="1:9" ht="26.4" x14ac:dyDescent="0.3">
      <c r="A670" s="18" t="s">
        <v>1090</v>
      </c>
      <c r="B670" s="7"/>
      <c r="C670" s="7"/>
      <c r="D670" s="7" t="s">
        <v>1090</v>
      </c>
      <c r="E670" s="6">
        <f t="shared" si="20"/>
        <v>1</v>
      </c>
      <c r="F670" s="6" t="str">
        <f t="shared" si="21"/>
        <v>Only YAKE</v>
      </c>
      <c r="G670" s="7" t="s">
        <v>2021</v>
      </c>
      <c r="H670" s="7"/>
      <c r="I670" s="19" t="str">
        <f>IF(COUNTIF('Claude vs tools'!$K$2:$P$139,A670)&gt;0,"★ Yes","")</f>
        <v/>
      </c>
    </row>
    <row r="671" spans="1:9" x14ac:dyDescent="0.3">
      <c r="A671" s="18" t="s">
        <v>1091</v>
      </c>
      <c r="B671" s="7"/>
      <c r="C671" s="7" t="s">
        <v>1091</v>
      </c>
      <c r="D671" s="7"/>
      <c r="E671" s="6">
        <f t="shared" si="20"/>
        <v>1</v>
      </c>
      <c r="F671" s="6" t="str">
        <f t="shared" si="21"/>
        <v>Only RAKE</v>
      </c>
      <c r="G671" s="7" t="s">
        <v>2022</v>
      </c>
      <c r="H671" s="7"/>
      <c r="I671" s="19" t="str">
        <f>IF(COUNTIF('Claude vs tools'!$K$2:$P$139,A671)&gt;0,"★ Yes","")</f>
        <v/>
      </c>
    </row>
    <row r="672" spans="1:9" x14ac:dyDescent="0.3">
      <c r="A672" s="18" t="s">
        <v>1092</v>
      </c>
      <c r="B672" s="7"/>
      <c r="C672" s="7" t="s">
        <v>1092</v>
      </c>
      <c r="D672" s="7"/>
      <c r="E672" s="6">
        <f t="shared" si="20"/>
        <v>1</v>
      </c>
      <c r="F672" s="6" t="str">
        <f t="shared" si="21"/>
        <v>Only RAKE</v>
      </c>
      <c r="G672" s="7" t="s">
        <v>2023</v>
      </c>
      <c r="H672" s="7"/>
      <c r="I672" s="19" t="str">
        <f>IF(COUNTIF('Claude vs tools'!$K$2:$P$139,A672)&gt;0,"★ Yes","")</f>
        <v/>
      </c>
    </row>
    <row r="673" spans="1:9" x14ac:dyDescent="0.3">
      <c r="A673" s="18" t="s">
        <v>1093</v>
      </c>
      <c r="B673" s="7"/>
      <c r="C673" s="7" t="s">
        <v>1093</v>
      </c>
      <c r="D673" s="7"/>
      <c r="E673" s="6">
        <f t="shared" si="20"/>
        <v>1</v>
      </c>
      <c r="F673" s="6" t="str">
        <f t="shared" si="21"/>
        <v>Only RAKE</v>
      </c>
      <c r="G673" s="7" t="s">
        <v>2024</v>
      </c>
      <c r="H673" s="7"/>
      <c r="I673" s="19" t="str">
        <f>IF(COUNTIF('Claude vs tools'!$K$2:$P$139,A673)&gt;0,"★ Yes","")</f>
        <v/>
      </c>
    </row>
    <row r="674" spans="1:9" x14ac:dyDescent="0.3">
      <c r="A674" s="18" t="s">
        <v>51</v>
      </c>
      <c r="B674" s="7"/>
      <c r="C674" s="7" t="s">
        <v>51</v>
      </c>
      <c r="D674" s="7"/>
      <c r="E674" s="6">
        <f t="shared" si="20"/>
        <v>1</v>
      </c>
      <c r="F674" s="6" t="str">
        <f t="shared" si="21"/>
        <v>Only RAKE</v>
      </c>
      <c r="G674" s="7" t="s">
        <v>795</v>
      </c>
      <c r="H674" s="7"/>
      <c r="I674" s="19" t="str">
        <f>IF(COUNTIF('Claude vs tools'!$K$2:$P$139,A674)&gt;0,"★ Yes","")</f>
        <v>★ Yes</v>
      </c>
    </row>
    <row r="675" spans="1:9" x14ac:dyDescent="0.3">
      <c r="A675" s="18" t="s">
        <v>50</v>
      </c>
      <c r="B675" s="7"/>
      <c r="C675" s="7" t="s">
        <v>50</v>
      </c>
      <c r="D675" s="7"/>
      <c r="E675" s="6">
        <f t="shared" si="20"/>
        <v>1</v>
      </c>
      <c r="F675" s="6" t="str">
        <f t="shared" si="21"/>
        <v>Only RAKE</v>
      </c>
      <c r="G675" s="7" t="s">
        <v>795</v>
      </c>
      <c r="H675" s="7"/>
      <c r="I675" s="19" t="str">
        <f>IF(COUNTIF('Claude vs tools'!$K$2:$P$139,A675)&gt;0,"★ Yes","")</f>
        <v>★ Yes</v>
      </c>
    </row>
    <row r="676" spans="1:9" x14ac:dyDescent="0.3">
      <c r="A676" s="18" t="s">
        <v>1094</v>
      </c>
      <c r="B676" s="7"/>
      <c r="C676" s="7"/>
      <c r="D676" s="7" t="s">
        <v>1094</v>
      </c>
      <c r="E676" s="6">
        <f t="shared" si="20"/>
        <v>1</v>
      </c>
      <c r="F676" s="6" t="str">
        <f t="shared" si="21"/>
        <v>Only YAKE</v>
      </c>
      <c r="G676" s="7" t="s">
        <v>2025</v>
      </c>
      <c r="H676" s="7"/>
      <c r="I676" s="19" t="str">
        <f>IF(COUNTIF('Claude vs tools'!$K$2:$P$139,A676)&gt;0,"★ Yes","")</f>
        <v/>
      </c>
    </row>
    <row r="677" spans="1:9" x14ac:dyDescent="0.3">
      <c r="A677" s="18" t="s">
        <v>1095</v>
      </c>
      <c r="B677" s="7"/>
      <c r="C677" s="7"/>
      <c r="D677" s="7" t="s">
        <v>1095</v>
      </c>
      <c r="E677" s="6">
        <f t="shared" si="20"/>
        <v>1</v>
      </c>
      <c r="F677" s="6" t="str">
        <f t="shared" si="21"/>
        <v>Only YAKE</v>
      </c>
      <c r="G677" s="7" t="s">
        <v>2026</v>
      </c>
      <c r="H677" s="7"/>
      <c r="I677" s="19" t="str">
        <f>IF(COUNTIF('Claude vs tools'!$K$2:$P$139,A677)&gt;0,"★ Yes","")</f>
        <v/>
      </c>
    </row>
    <row r="678" spans="1:9" ht="26.4" x14ac:dyDescent="0.3">
      <c r="A678" s="18" t="s">
        <v>1096</v>
      </c>
      <c r="B678" s="7"/>
      <c r="C678" s="7" t="s">
        <v>1096</v>
      </c>
      <c r="D678" s="7"/>
      <c r="E678" s="6">
        <f t="shared" si="20"/>
        <v>1</v>
      </c>
      <c r="F678" s="6" t="str">
        <f t="shared" si="21"/>
        <v>Only RAKE</v>
      </c>
      <c r="G678" s="7" t="s">
        <v>2027</v>
      </c>
      <c r="H678" s="7"/>
      <c r="I678" s="19" t="str">
        <f>IF(COUNTIF('Claude vs tools'!$K$2:$P$139,A678)&gt;0,"★ Yes","")</f>
        <v/>
      </c>
    </row>
    <row r="679" spans="1:9" x14ac:dyDescent="0.3">
      <c r="A679" s="18" t="s">
        <v>1097</v>
      </c>
      <c r="B679" s="7"/>
      <c r="C679" s="7" t="s">
        <v>1097</v>
      </c>
      <c r="D679" s="7"/>
      <c r="E679" s="6">
        <f t="shared" si="20"/>
        <v>1</v>
      </c>
      <c r="F679" s="6" t="str">
        <f t="shared" si="21"/>
        <v>Only RAKE</v>
      </c>
      <c r="G679" s="7" t="s">
        <v>2028</v>
      </c>
      <c r="H679" s="7"/>
      <c r="I679" s="19" t="str">
        <f>IF(COUNTIF('Claude vs tools'!$K$2:$P$139,A679)&gt;0,"★ Yes","")</f>
        <v/>
      </c>
    </row>
    <row r="680" spans="1:9" x14ac:dyDescent="0.3">
      <c r="A680" s="18" t="s">
        <v>1098</v>
      </c>
      <c r="B680" s="7"/>
      <c r="C680" s="7" t="s">
        <v>1098</v>
      </c>
      <c r="D680" s="7"/>
      <c r="E680" s="6">
        <f t="shared" si="20"/>
        <v>1</v>
      </c>
      <c r="F680" s="6" t="str">
        <f t="shared" si="21"/>
        <v>Only RAKE</v>
      </c>
      <c r="G680" s="7" t="s">
        <v>2029</v>
      </c>
      <c r="H680" s="7"/>
      <c r="I680" s="19" t="str">
        <f>IF(COUNTIF('Claude vs tools'!$K$2:$P$139,A680)&gt;0,"★ Yes","")</f>
        <v/>
      </c>
    </row>
    <row r="681" spans="1:9" x14ac:dyDescent="0.3">
      <c r="A681" s="18" t="s">
        <v>1099</v>
      </c>
      <c r="B681" s="7"/>
      <c r="C681" s="7"/>
      <c r="D681" s="7" t="s">
        <v>1099</v>
      </c>
      <c r="E681" s="6">
        <f t="shared" si="20"/>
        <v>1</v>
      </c>
      <c r="F681" s="6" t="str">
        <f t="shared" si="21"/>
        <v>Only YAKE</v>
      </c>
      <c r="G681" s="7" t="s">
        <v>2030</v>
      </c>
      <c r="H681" s="7"/>
      <c r="I681" s="19" t="str">
        <f>IF(COUNTIF('Claude vs tools'!$K$2:$P$139,A681)&gt;0,"★ Yes","")</f>
        <v/>
      </c>
    </row>
    <row r="682" spans="1:9" x14ac:dyDescent="0.3">
      <c r="A682" s="18" t="s">
        <v>1100</v>
      </c>
      <c r="B682" s="7"/>
      <c r="C682" s="7" t="s">
        <v>1100</v>
      </c>
      <c r="D682" s="7"/>
      <c r="E682" s="6">
        <f t="shared" si="20"/>
        <v>1</v>
      </c>
      <c r="F682" s="6" t="str">
        <f t="shared" si="21"/>
        <v>Only RAKE</v>
      </c>
      <c r="G682" s="7" t="s">
        <v>2031</v>
      </c>
      <c r="H682" s="7"/>
      <c r="I682" s="19" t="str">
        <f>IF(COUNTIF('Claude vs tools'!$K$2:$P$139,A682)&gt;0,"★ Yes","")</f>
        <v/>
      </c>
    </row>
    <row r="683" spans="1:9" ht="39.6" x14ac:dyDescent="0.3">
      <c r="A683" s="18" t="s">
        <v>1101</v>
      </c>
      <c r="B683" s="7"/>
      <c r="C683" s="7"/>
      <c r="D683" s="7" t="s">
        <v>1101</v>
      </c>
      <c r="E683" s="6">
        <f t="shared" si="20"/>
        <v>1</v>
      </c>
      <c r="F683" s="6" t="str">
        <f t="shared" si="21"/>
        <v>Only YAKE</v>
      </c>
      <c r="G683" s="7" t="s">
        <v>2032</v>
      </c>
      <c r="H683" s="7"/>
      <c r="I683" s="19" t="str">
        <f>IF(COUNTIF('Claude vs tools'!$K$2:$P$139,A683)&gt;0,"★ Yes","")</f>
        <v/>
      </c>
    </row>
    <row r="684" spans="1:9" ht="26.4" x14ac:dyDescent="0.3">
      <c r="A684" s="18" t="s">
        <v>1102</v>
      </c>
      <c r="B684" s="7"/>
      <c r="C684" s="7"/>
      <c r="D684" s="7" t="s">
        <v>1102</v>
      </c>
      <c r="E684" s="6">
        <f t="shared" si="20"/>
        <v>1</v>
      </c>
      <c r="F684" s="6" t="str">
        <f t="shared" si="21"/>
        <v>Only YAKE</v>
      </c>
      <c r="G684" s="7" t="s">
        <v>2033</v>
      </c>
      <c r="H684" s="7"/>
      <c r="I684" s="19" t="str">
        <f>IF(COUNTIF('Claude vs tools'!$K$2:$P$139,A684)&gt;0,"★ Yes","")</f>
        <v/>
      </c>
    </row>
    <row r="685" spans="1:9" x14ac:dyDescent="0.3">
      <c r="A685" s="18" t="s">
        <v>422</v>
      </c>
      <c r="B685" s="7"/>
      <c r="C685" s="7"/>
      <c r="D685" s="7" t="s">
        <v>422</v>
      </c>
      <c r="E685" s="6">
        <f t="shared" si="20"/>
        <v>1</v>
      </c>
      <c r="F685" s="6" t="str">
        <f t="shared" si="21"/>
        <v>Only YAKE</v>
      </c>
      <c r="G685" s="7" t="s">
        <v>2034</v>
      </c>
      <c r="H685" s="7"/>
      <c r="I685" s="19" t="str">
        <f>IF(COUNTIF('Claude vs tools'!$K$2:$P$139,A685)&gt;0,"★ Yes","")</f>
        <v>★ Yes</v>
      </c>
    </row>
    <row r="686" spans="1:9" ht="26.4" x14ac:dyDescent="0.3">
      <c r="A686" s="18" t="s">
        <v>1103</v>
      </c>
      <c r="B686" s="7"/>
      <c r="C686" s="7"/>
      <c r="D686" s="7" t="s">
        <v>1103</v>
      </c>
      <c r="E686" s="6">
        <f t="shared" si="20"/>
        <v>1</v>
      </c>
      <c r="F686" s="6" t="str">
        <f t="shared" si="21"/>
        <v>Only YAKE</v>
      </c>
      <c r="G686" s="7" t="s">
        <v>2035</v>
      </c>
      <c r="H686" s="7"/>
      <c r="I686" s="19" t="str">
        <f>IF(COUNTIF('Claude vs tools'!$K$2:$P$139,A686)&gt;0,"★ Yes","")</f>
        <v/>
      </c>
    </row>
    <row r="687" spans="1:9" x14ac:dyDescent="0.3">
      <c r="A687" s="18" t="s">
        <v>535</v>
      </c>
      <c r="B687" s="7"/>
      <c r="C687" s="7" t="s">
        <v>535</v>
      </c>
      <c r="D687" s="7"/>
      <c r="E687" s="6">
        <f t="shared" si="20"/>
        <v>1</v>
      </c>
      <c r="F687" s="6" t="str">
        <f t="shared" si="21"/>
        <v>Only RAKE</v>
      </c>
      <c r="G687" s="7" t="s">
        <v>1947</v>
      </c>
      <c r="H687" s="7"/>
      <c r="I687" s="19" t="str">
        <f>IF(COUNTIF('Claude vs tools'!$K$2:$P$139,A687)&gt;0,"★ Yes","")</f>
        <v>★ Yes</v>
      </c>
    </row>
    <row r="688" spans="1:9" x14ac:dyDescent="0.3">
      <c r="A688" s="18" t="s">
        <v>197</v>
      </c>
      <c r="B688" s="7"/>
      <c r="C688" s="7" t="s">
        <v>197</v>
      </c>
      <c r="D688" s="7"/>
      <c r="E688" s="6">
        <f t="shared" si="20"/>
        <v>1</v>
      </c>
      <c r="F688" s="6" t="str">
        <f t="shared" si="21"/>
        <v>Only RAKE</v>
      </c>
      <c r="G688" s="7" t="s">
        <v>795</v>
      </c>
      <c r="H688" s="7"/>
      <c r="I688" s="19" t="str">
        <f>IF(COUNTIF('Claude vs tools'!$K$2:$P$139,A688)&gt;0,"★ Yes","")</f>
        <v>★ Yes</v>
      </c>
    </row>
    <row r="689" spans="1:9" x14ac:dyDescent="0.3">
      <c r="A689" s="18" t="s">
        <v>1104</v>
      </c>
      <c r="B689" s="7"/>
      <c r="C689" s="7"/>
      <c r="D689" s="7" t="s">
        <v>1104</v>
      </c>
      <c r="E689" s="6">
        <f t="shared" si="20"/>
        <v>1</v>
      </c>
      <c r="F689" s="6" t="str">
        <f t="shared" si="21"/>
        <v>Only YAKE</v>
      </c>
      <c r="G689" s="7" t="s">
        <v>2036</v>
      </c>
      <c r="H689" s="7"/>
      <c r="I689" s="19" t="str">
        <f>IF(COUNTIF('Claude vs tools'!$K$2:$P$139,A689)&gt;0,"★ Yes","")</f>
        <v/>
      </c>
    </row>
    <row r="690" spans="1:9" ht="26.4" x14ac:dyDescent="0.3">
      <c r="A690" s="18" t="s">
        <v>1105</v>
      </c>
      <c r="B690" s="7"/>
      <c r="C690" s="7" t="s">
        <v>1105</v>
      </c>
      <c r="D690" s="7"/>
      <c r="E690" s="6">
        <f t="shared" si="20"/>
        <v>1</v>
      </c>
      <c r="F690" s="6" t="str">
        <f t="shared" si="21"/>
        <v>Only RAKE</v>
      </c>
      <c r="G690" s="7" t="s">
        <v>2037</v>
      </c>
      <c r="H690" s="7"/>
      <c r="I690" s="19" t="str">
        <f>IF(COUNTIF('Claude vs tools'!$K$2:$P$139,A690)&gt;0,"★ Yes","")</f>
        <v/>
      </c>
    </row>
    <row r="691" spans="1:9" x14ac:dyDescent="0.3">
      <c r="A691" s="18" t="s">
        <v>1106</v>
      </c>
      <c r="B691" s="7"/>
      <c r="C691" s="7" t="s">
        <v>1106</v>
      </c>
      <c r="D691" s="7"/>
      <c r="E691" s="6">
        <f t="shared" si="20"/>
        <v>1</v>
      </c>
      <c r="F691" s="6" t="str">
        <f t="shared" si="21"/>
        <v>Only RAKE</v>
      </c>
      <c r="G691" s="7" t="s">
        <v>2038</v>
      </c>
      <c r="H691" s="7"/>
      <c r="I691" s="19" t="str">
        <f>IF(COUNTIF('Claude vs tools'!$K$2:$P$139,A691)&gt;0,"★ Yes","")</f>
        <v/>
      </c>
    </row>
    <row r="692" spans="1:9" x14ac:dyDescent="0.3">
      <c r="A692" s="18" t="s">
        <v>410</v>
      </c>
      <c r="B692" s="7" t="s">
        <v>410</v>
      </c>
      <c r="C692" s="7"/>
      <c r="D692" s="7"/>
      <c r="E692" s="6">
        <f t="shared" si="20"/>
        <v>1</v>
      </c>
      <c r="F692" s="6" t="str">
        <f t="shared" si="21"/>
        <v>Only Gemini</v>
      </c>
      <c r="G692" s="7" t="s">
        <v>795</v>
      </c>
      <c r="H692" s="7"/>
      <c r="I692" s="19" t="str">
        <f>IF(COUNTIF('Claude vs tools'!$K$2:$P$139,A692)&gt;0,"★ Yes","")</f>
        <v>★ Yes</v>
      </c>
    </row>
    <row r="693" spans="1:9" x14ac:dyDescent="0.3">
      <c r="A693" s="18" t="s">
        <v>1107</v>
      </c>
      <c r="B693" s="7"/>
      <c r="C693" s="7" t="s">
        <v>1107</v>
      </c>
      <c r="D693" s="7"/>
      <c r="E693" s="6">
        <f t="shared" si="20"/>
        <v>1</v>
      </c>
      <c r="F693" s="6" t="str">
        <f t="shared" si="21"/>
        <v>Only RAKE</v>
      </c>
      <c r="G693" s="7" t="s">
        <v>2039</v>
      </c>
      <c r="H693" s="7"/>
      <c r="I693" s="19" t="str">
        <f>IF(COUNTIF('Claude vs tools'!$K$2:$P$139,A693)&gt;0,"★ Yes","")</f>
        <v/>
      </c>
    </row>
    <row r="694" spans="1:9" x14ac:dyDescent="0.3">
      <c r="A694" s="18" t="s">
        <v>1108</v>
      </c>
      <c r="B694" s="7"/>
      <c r="C694" s="7" t="s">
        <v>1108</v>
      </c>
      <c r="D694" s="7"/>
      <c r="E694" s="6">
        <f t="shared" si="20"/>
        <v>1</v>
      </c>
      <c r="F694" s="6" t="str">
        <f t="shared" si="21"/>
        <v>Only RAKE</v>
      </c>
      <c r="G694" s="7" t="s">
        <v>1454</v>
      </c>
      <c r="H694" s="7"/>
      <c r="I694" s="19" t="str">
        <f>IF(COUNTIF('Claude vs tools'!$K$2:$P$139,A694)&gt;0,"★ Yes","")</f>
        <v/>
      </c>
    </row>
    <row r="695" spans="1:9" x14ac:dyDescent="0.3">
      <c r="A695" s="18" t="s">
        <v>1109</v>
      </c>
      <c r="B695" s="7"/>
      <c r="C695" s="7"/>
      <c r="D695" s="7" t="s">
        <v>1109</v>
      </c>
      <c r="E695" s="6">
        <f t="shared" si="20"/>
        <v>1</v>
      </c>
      <c r="F695" s="6" t="str">
        <f t="shared" si="21"/>
        <v>Only YAKE</v>
      </c>
      <c r="G695" s="7" t="s">
        <v>2040</v>
      </c>
      <c r="H695" s="7"/>
      <c r="I695" s="19" t="str">
        <f>IF(COUNTIF('Claude vs tools'!$K$2:$P$139,A695)&gt;0,"★ Yes","")</f>
        <v/>
      </c>
    </row>
    <row r="696" spans="1:9" x14ac:dyDescent="0.3">
      <c r="A696" s="18" t="s">
        <v>1110</v>
      </c>
      <c r="B696" s="7"/>
      <c r="C696" s="7" t="s">
        <v>1110</v>
      </c>
      <c r="D696" s="7"/>
      <c r="E696" s="6">
        <f t="shared" si="20"/>
        <v>1</v>
      </c>
      <c r="F696" s="6" t="str">
        <f t="shared" si="21"/>
        <v>Only RAKE</v>
      </c>
      <c r="G696" s="7" t="s">
        <v>2041</v>
      </c>
      <c r="H696" s="7"/>
      <c r="I696" s="19" t="str">
        <f>IF(COUNTIF('Claude vs tools'!$K$2:$P$139,A696)&gt;0,"★ Yes","")</f>
        <v/>
      </c>
    </row>
    <row r="697" spans="1:9" x14ac:dyDescent="0.3">
      <c r="A697" s="18" t="s">
        <v>527</v>
      </c>
      <c r="B697" s="7"/>
      <c r="C697" s="7"/>
      <c r="D697" s="7" t="s">
        <v>527</v>
      </c>
      <c r="E697" s="6">
        <f t="shared" si="20"/>
        <v>1</v>
      </c>
      <c r="F697" s="6" t="str">
        <f t="shared" si="21"/>
        <v>Only YAKE</v>
      </c>
      <c r="G697" s="7" t="s">
        <v>2042</v>
      </c>
      <c r="H697" s="7"/>
      <c r="I697" s="19" t="str">
        <f>IF(COUNTIF('Claude vs tools'!$K$2:$P$139,A697)&gt;0,"★ Yes","")</f>
        <v>★ Yes</v>
      </c>
    </row>
    <row r="698" spans="1:9" x14ac:dyDescent="0.3">
      <c r="A698" s="18" t="s">
        <v>524</v>
      </c>
      <c r="B698" s="7"/>
      <c r="C698" s="7"/>
      <c r="D698" s="7" t="s">
        <v>524</v>
      </c>
      <c r="E698" s="6">
        <f t="shared" si="20"/>
        <v>1</v>
      </c>
      <c r="F698" s="6" t="str">
        <f t="shared" si="21"/>
        <v>Only YAKE</v>
      </c>
      <c r="G698" s="7" t="s">
        <v>2043</v>
      </c>
      <c r="H698" s="7"/>
      <c r="I698" s="19" t="str">
        <f>IF(COUNTIF('Claude vs tools'!$K$2:$P$139,A698)&gt;0,"★ Yes","")</f>
        <v>★ Yes</v>
      </c>
    </row>
    <row r="699" spans="1:9" x14ac:dyDescent="0.3">
      <c r="A699" s="18" t="s">
        <v>1111</v>
      </c>
      <c r="B699" s="7"/>
      <c r="C699" s="7" t="s">
        <v>1111</v>
      </c>
      <c r="D699" s="7"/>
      <c r="E699" s="6">
        <f t="shared" si="20"/>
        <v>1</v>
      </c>
      <c r="F699" s="6" t="str">
        <f t="shared" si="21"/>
        <v>Only RAKE</v>
      </c>
      <c r="G699" s="7" t="s">
        <v>2044</v>
      </c>
      <c r="H699" s="7"/>
      <c r="I699" s="19" t="str">
        <f>IF(COUNTIF('Claude vs tools'!$K$2:$P$139,A699)&gt;0,"★ Yes","")</f>
        <v/>
      </c>
    </row>
    <row r="700" spans="1:9" x14ac:dyDescent="0.3">
      <c r="A700" s="18" t="s">
        <v>526</v>
      </c>
      <c r="B700" s="7"/>
      <c r="C700" s="7" t="s">
        <v>526</v>
      </c>
      <c r="D700" s="7"/>
      <c r="E700" s="6">
        <f t="shared" si="20"/>
        <v>1</v>
      </c>
      <c r="F700" s="6" t="str">
        <f t="shared" si="21"/>
        <v>Only RAKE</v>
      </c>
      <c r="G700" s="7" t="s">
        <v>2045</v>
      </c>
      <c r="H700" s="7"/>
      <c r="I700" s="19" t="str">
        <f>IF(COUNTIF('Claude vs tools'!$K$2:$P$139,A700)&gt;0,"★ Yes","")</f>
        <v>★ Yes</v>
      </c>
    </row>
    <row r="701" spans="1:9" ht="26.4" x14ac:dyDescent="0.3">
      <c r="A701" s="18" t="s">
        <v>1112</v>
      </c>
      <c r="B701" s="7"/>
      <c r="C701" s="7" t="s">
        <v>1112</v>
      </c>
      <c r="D701" s="7"/>
      <c r="E701" s="6">
        <f t="shared" si="20"/>
        <v>1</v>
      </c>
      <c r="F701" s="6" t="str">
        <f t="shared" si="21"/>
        <v>Only RAKE</v>
      </c>
      <c r="G701" s="7" t="s">
        <v>2046</v>
      </c>
      <c r="H701" s="7"/>
      <c r="I701" s="19" t="str">
        <f>IF(COUNTIF('Claude vs tools'!$K$2:$P$139,A701)&gt;0,"★ Yes","")</f>
        <v/>
      </c>
    </row>
    <row r="702" spans="1:9" x14ac:dyDescent="0.3">
      <c r="A702" s="18" t="s">
        <v>1113</v>
      </c>
      <c r="B702" s="7"/>
      <c r="C702" s="7" t="s">
        <v>1113</v>
      </c>
      <c r="D702" s="7"/>
      <c r="E702" s="6">
        <f t="shared" si="20"/>
        <v>1</v>
      </c>
      <c r="F702" s="6" t="str">
        <f t="shared" si="21"/>
        <v>Only RAKE</v>
      </c>
      <c r="G702" s="7" t="s">
        <v>2047</v>
      </c>
      <c r="H702" s="7"/>
      <c r="I702" s="19" t="str">
        <f>IF(COUNTIF('Claude vs tools'!$K$2:$P$139,A702)&gt;0,"★ Yes","")</f>
        <v/>
      </c>
    </row>
    <row r="703" spans="1:9" x14ac:dyDescent="0.3">
      <c r="A703" s="18" t="s">
        <v>1114</v>
      </c>
      <c r="B703" s="7"/>
      <c r="C703" s="7" t="s">
        <v>1114</v>
      </c>
      <c r="D703" s="7"/>
      <c r="E703" s="6">
        <f t="shared" si="20"/>
        <v>1</v>
      </c>
      <c r="F703" s="6" t="str">
        <f t="shared" si="21"/>
        <v>Only RAKE</v>
      </c>
      <c r="G703" s="7" t="s">
        <v>2048</v>
      </c>
      <c r="H703" s="7"/>
      <c r="I703" s="19" t="str">
        <f>IF(COUNTIF('Claude vs tools'!$K$2:$P$139,A703)&gt;0,"★ Yes","")</f>
        <v/>
      </c>
    </row>
    <row r="704" spans="1:9" x14ac:dyDescent="0.3">
      <c r="A704" s="18" t="s">
        <v>1115</v>
      </c>
      <c r="B704" s="7"/>
      <c r="C704" s="7" t="s">
        <v>1115</v>
      </c>
      <c r="D704" s="7"/>
      <c r="E704" s="6">
        <f t="shared" si="20"/>
        <v>1</v>
      </c>
      <c r="F704" s="6" t="str">
        <f t="shared" si="21"/>
        <v>Only RAKE</v>
      </c>
      <c r="G704" s="7" t="s">
        <v>2049</v>
      </c>
      <c r="H704" s="7"/>
      <c r="I704" s="19" t="str">
        <f>IF(COUNTIF('Claude vs tools'!$K$2:$P$139,A704)&gt;0,"★ Yes","")</f>
        <v/>
      </c>
    </row>
    <row r="705" spans="1:9" x14ac:dyDescent="0.3">
      <c r="A705" s="18" t="s">
        <v>1116</v>
      </c>
      <c r="B705" s="7"/>
      <c r="C705" s="7" t="s">
        <v>1116</v>
      </c>
      <c r="D705" s="7"/>
      <c r="E705" s="6">
        <f t="shared" si="20"/>
        <v>1</v>
      </c>
      <c r="F705" s="6" t="str">
        <f t="shared" si="21"/>
        <v>Only RAKE</v>
      </c>
      <c r="G705" s="7" t="s">
        <v>2050</v>
      </c>
      <c r="H705" s="7"/>
      <c r="I705" s="19" t="str">
        <f>IF(COUNTIF('Claude vs tools'!$K$2:$P$139,A705)&gt;0,"★ Yes","")</f>
        <v/>
      </c>
    </row>
    <row r="706" spans="1:9" x14ac:dyDescent="0.3">
      <c r="A706" s="18" t="s">
        <v>1117</v>
      </c>
      <c r="B706" s="7"/>
      <c r="C706" s="7" t="s">
        <v>1117</v>
      </c>
      <c r="D706" s="7"/>
      <c r="E706" s="6">
        <f t="shared" ref="E706:E769" si="22">COUNTA(B706:D706)</f>
        <v>1</v>
      </c>
      <c r="F706" s="6" t="str">
        <f t="shared" ref="F706:F769" si="23">IF(E706=3,"All three",IF(E706=2,SUBSTITUTE(TRIM(IF(B706&lt;&gt;"","Gemini ","")&amp;IF(C706&lt;&gt;"","RAKE ","")&amp;IF(D706&lt;&gt;"","YAKE",""))," "," + "),"Only "&amp;TRIM(IF(B706&lt;&gt;"","Gemini","")&amp;IF(C706&lt;&gt;"","RAKE","")&amp;IF(D706&lt;&gt;"","YAKE",""))))</f>
        <v>Only RAKE</v>
      </c>
      <c r="G706" s="7" t="s">
        <v>2051</v>
      </c>
      <c r="H706" s="7"/>
      <c r="I706" s="19" t="str">
        <f>IF(COUNTIF('Claude vs tools'!$K$2:$P$139,A706)&gt;0,"★ Yes","")</f>
        <v/>
      </c>
    </row>
    <row r="707" spans="1:9" ht="26.4" x14ac:dyDescent="0.3">
      <c r="A707" s="18" t="s">
        <v>308</v>
      </c>
      <c r="B707" s="7"/>
      <c r="C707" s="7" t="s">
        <v>308</v>
      </c>
      <c r="D707" s="7"/>
      <c r="E707" s="6">
        <f t="shared" si="22"/>
        <v>1</v>
      </c>
      <c r="F707" s="6" t="str">
        <f t="shared" si="23"/>
        <v>Only RAKE</v>
      </c>
      <c r="G707" s="7" t="s">
        <v>2052</v>
      </c>
      <c r="H707" s="7"/>
      <c r="I707" s="19" t="str">
        <f>IF(COUNTIF('Claude vs tools'!$K$2:$P$139,A707)&gt;0,"★ Yes","")</f>
        <v>★ Yes</v>
      </c>
    </row>
    <row r="708" spans="1:9" x14ac:dyDescent="0.3">
      <c r="A708" s="18" t="s">
        <v>1118</v>
      </c>
      <c r="B708" s="7"/>
      <c r="C708" s="7" t="s">
        <v>1118</v>
      </c>
      <c r="D708" s="7"/>
      <c r="E708" s="6">
        <f t="shared" si="22"/>
        <v>1</v>
      </c>
      <c r="F708" s="6" t="str">
        <f t="shared" si="23"/>
        <v>Only RAKE</v>
      </c>
      <c r="G708" s="7" t="s">
        <v>2053</v>
      </c>
      <c r="H708" s="7"/>
      <c r="I708" s="19" t="str">
        <f>IF(COUNTIF('Claude vs tools'!$K$2:$P$139,A708)&gt;0,"★ Yes","")</f>
        <v/>
      </c>
    </row>
    <row r="709" spans="1:9" x14ac:dyDescent="0.3">
      <c r="A709" s="18" t="s">
        <v>1119</v>
      </c>
      <c r="B709" s="7" t="s">
        <v>1119</v>
      </c>
      <c r="C709" s="7"/>
      <c r="D709" s="7"/>
      <c r="E709" s="6">
        <f t="shared" si="22"/>
        <v>1</v>
      </c>
      <c r="F709" s="6" t="str">
        <f t="shared" si="23"/>
        <v>Only Gemini</v>
      </c>
      <c r="G709" s="7" t="s">
        <v>2054</v>
      </c>
      <c r="H709" s="7"/>
      <c r="I709" s="19" t="str">
        <f>IF(COUNTIF('Claude vs tools'!$K$2:$P$139,A709)&gt;0,"★ Yes","")</f>
        <v/>
      </c>
    </row>
    <row r="710" spans="1:9" x14ac:dyDescent="0.3">
      <c r="A710" s="18" t="s">
        <v>1120</v>
      </c>
      <c r="B710" s="7" t="s">
        <v>1120</v>
      </c>
      <c r="C710" s="7"/>
      <c r="D710" s="7"/>
      <c r="E710" s="6">
        <f t="shared" si="22"/>
        <v>1</v>
      </c>
      <c r="F710" s="6" t="str">
        <f t="shared" si="23"/>
        <v>Only Gemini</v>
      </c>
      <c r="G710" s="7" t="s">
        <v>2055</v>
      </c>
      <c r="H710" s="7"/>
      <c r="I710" s="19" t="str">
        <f>IF(COUNTIF('Claude vs tools'!$K$2:$P$139,A710)&gt;0,"★ Yes","")</f>
        <v/>
      </c>
    </row>
    <row r="711" spans="1:9" x14ac:dyDescent="0.3">
      <c r="A711" s="18" t="s">
        <v>310</v>
      </c>
      <c r="B711" s="7"/>
      <c r="C711" s="7" t="s">
        <v>310</v>
      </c>
      <c r="D711" s="7"/>
      <c r="E711" s="6">
        <f t="shared" si="22"/>
        <v>1</v>
      </c>
      <c r="F711" s="6" t="str">
        <f t="shared" si="23"/>
        <v>Only RAKE</v>
      </c>
      <c r="G711" s="7" t="s">
        <v>1667</v>
      </c>
      <c r="H711" s="7"/>
      <c r="I711" s="19" t="str">
        <f>IF(COUNTIF('Claude vs tools'!$K$2:$P$139,A711)&gt;0,"★ Yes","")</f>
        <v>★ Yes</v>
      </c>
    </row>
    <row r="712" spans="1:9" x14ac:dyDescent="0.3">
      <c r="A712" s="18" t="s">
        <v>309</v>
      </c>
      <c r="B712" s="7"/>
      <c r="C712" s="7" t="s">
        <v>309</v>
      </c>
      <c r="D712" s="7"/>
      <c r="E712" s="6">
        <f t="shared" si="22"/>
        <v>1</v>
      </c>
      <c r="F712" s="6" t="str">
        <f t="shared" si="23"/>
        <v>Only RAKE</v>
      </c>
      <c r="G712" s="7" t="s">
        <v>795</v>
      </c>
      <c r="H712" s="7"/>
      <c r="I712" s="19" t="str">
        <f>IF(COUNTIF('Claude vs tools'!$K$2:$P$139,A712)&gt;0,"★ Yes","")</f>
        <v>★ Yes</v>
      </c>
    </row>
    <row r="713" spans="1:9" x14ac:dyDescent="0.3">
      <c r="A713" s="18" t="s">
        <v>266</v>
      </c>
      <c r="B713" s="7"/>
      <c r="C713" s="7" t="s">
        <v>266</v>
      </c>
      <c r="D713" s="7"/>
      <c r="E713" s="6">
        <f t="shared" si="22"/>
        <v>1</v>
      </c>
      <c r="F713" s="6" t="str">
        <f t="shared" si="23"/>
        <v>Only RAKE</v>
      </c>
      <c r="G713" s="7" t="s">
        <v>2056</v>
      </c>
      <c r="H713" s="7"/>
      <c r="I713" s="19" t="str">
        <f>IF(COUNTIF('Claude vs tools'!$K$2:$P$139,A713)&gt;0,"★ Yes","")</f>
        <v>★ Yes</v>
      </c>
    </row>
    <row r="714" spans="1:9" x14ac:dyDescent="0.3">
      <c r="A714" s="18" t="s">
        <v>1121</v>
      </c>
      <c r="B714" s="7"/>
      <c r="C714" s="7" t="s">
        <v>1121</v>
      </c>
      <c r="D714" s="7"/>
      <c r="E714" s="6">
        <f t="shared" si="22"/>
        <v>1</v>
      </c>
      <c r="F714" s="6" t="str">
        <f t="shared" si="23"/>
        <v>Only RAKE</v>
      </c>
      <c r="G714" s="7" t="s">
        <v>2057</v>
      </c>
      <c r="H714" s="7"/>
      <c r="I714" s="19" t="str">
        <f>IF(COUNTIF('Claude vs tools'!$K$2:$P$139,A714)&gt;0,"★ Yes","")</f>
        <v/>
      </c>
    </row>
    <row r="715" spans="1:9" x14ac:dyDescent="0.3">
      <c r="A715" s="18" t="s">
        <v>1122</v>
      </c>
      <c r="B715" s="7"/>
      <c r="C715" s="7" t="s">
        <v>1122</v>
      </c>
      <c r="D715" s="7"/>
      <c r="E715" s="6">
        <f t="shared" si="22"/>
        <v>1</v>
      </c>
      <c r="F715" s="6" t="str">
        <f t="shared" si="23"/>
        <v>Only RAKE</v>
      </c>
      <c r="G715" s="7" t="s">
        <v>795</v>
      </c>
      <c r="H715" s="7"/>
      <c r="I715" s="19" t="str">
        <f>IF(COUNTIF('Claude vs tools'!$K$2:$P$139,A715)&gt;0,"★ Yes","")</f>
        <v/>
      </c>
    </row>
    <row r="716" spans="1:9" x14ac:dyDescent="0.3">
      <c r="A716" s="18" t="s">
        <v>1123</v>
      </c>
      <c r="B716" s="7"/>
      <c r="C716" s="7" t="s">
        <v>1123</v>
      </c>
      <c r="D716" s="7"/>
      <c r="E716" s="6">
        <f t="shared" si="22"/>
        <v>1</v>
      </c>
      <c r="F716" s="6" t="str">
        <f t="shared" si="23"/>
        <v>Only RAKE</v>
      </c>
      <c r="G716" s="7" t="s">
        <v>2058</v>
      </c>
      <c r="H716" s="7"/>
      <c r="I716" s="19" t="str">
        <f>IF(COUNTIF('Claude vs tools'!$K$2:$P$139,A716)&gt;0,"★ Yes","")</f>
        <v/>
      </c>
    </row>
    <row r="717" spans="1:9" ht="39.6" x14ac:dyDescent="0.3">
      <c r="A717" s="18" t="s">
        <v>1124</v>
      </c>
      <c r="B717" s="7"/>
      <c r="C717" s="7"/>
      <c r="D717" s="7" t="s">
        <v>1124</v>
      </c>
      <c r="E717" s="6">
        <f t="shared" si="22"/>
        <v>1</v>
      </c>
      <c r="F717" s="6" t="str">
        <f t="shared" si="23"/>
        <v>Only YAKE</v>
      </c>
      <c r="G717" s="7" t="s">
        <v>2059</v>
      </c>
      <c r="H717" s="7"/>
      <c r="I717" s="19" t="str">
        <f>IF(COUNTIF('Claude vs tools'!$K$2:$P$139,A717)&gt;0,"★ Yes","")</f>
        <v/>
      </c>
    </row>
    <row r="718" spans="1:9" ht="26.4" x14ac:dyDescent="0.3">
      <c r="A718" s="18" t="s">
        <v>1125</v>
      </c>
      <c r="B718" s="7"/>
      <c r="C718" s="7"/>
      <c r="D718" s="7" t="s">
        <v>1125</v>
      </c>
      <c r="E718" s="6">
        <f t="shared" si="22"/>
        <v>1</v>
      </c>
      <c r="F718" s="6" t="str">
        <f t="shared" si="23"/>
        <v>Only YAKE</v>
      </c>
      <c r="G718" s="7" t="s">
        <v>2060</v>
      </c>
      <c r="H718" s="7"/>
      <c r="I718" s="19" t="str">
        <f>IF(COUNTIF('Claude vs tools'!$K$2:$P$139,A718)&gt;0,"★ Yes","")</f>
        <v/>
      </c>
    </row>
    <row r="719" spans="1:9" x14ac:dyDescent="0.3">
      <c r="A719" s="18" t="s">
        <v>192</v>
      </c>
      <c r="B719" s="7"/>
      <c r="C719" s="7"/>
      <c r="D719" s="7" t="s">
        <v>192</v>
      </c>
      <c r="E719" s="6">
        <f t="shared" si="22"/>
        <v>1</v>
      </c>
      <c r="F719" s="6" t="str">
        <f t="shared" si="23"/>
        <v>Only YAKE</v>
      </c>
      <c r="G719" s="7" t="s">
        <v>2061</v>
      </c>
      <c r="H719" s="7"/>
      <c r="I719" s="19" t="str">
        <f>IF(COUNTIF('Claude vs tools'!$K$2:$P$139,A719)&gt;0,"★ Yes","")</f>
        <v>★ Yes</v>
      </c>
    </row>
    <row r="720" spans="1:9" x14ac:dyDescent="0.3">
      <c r="A720" s="18" t="s">
        <v>1126</v>
      </c>
      <c r="B720" s="7"/>
      <c r="C720" s="7" t="s">
        <v>1126</v>
      </c>
      <c r="D720" s="7"/>
      <c r="E720" s="6">
        <f t="shared" si="22"/>
        <v>1</v>
      </c>
      <c r="F720" s="6" t="str">
        <f t="shared" si="23"/>
        <v>Only RAKE</v>
      </c>
      <c r="G720" s="7" t="s">
        <v>795</v>
      </c>
      <c r="H720" s="7"/>
      <c r="I720" s="19" t="str">
        <f>IF(COUNTIF('Claude vs tools'!$K$2:$P$139,A720)&gt;0,"★ Yes","")</f>
        <v/>
      </c>
    </row>
    <row r="721" spans="1:9" x14ac:dyDescent="0.3">
      <c r="A721" s="18" t="s">
        <v>1127</v>
      </c>
      <c r="B721" s="7"/>
      <c r="C721" s="7"/>
      <c r="D721" s="7" t="s">
        <v>1127</v>
      </c>
      <c r="E721" s="6">
        <f t="shared" si="22"/>
        <v>1</v>
      </c>
      <c r="F721" s="6" t="str">
        <f t="shared" si="23"/>
        <v>Only YAKE</v>
      </c>
      <c r="G721" s="7" t="s">
        <v>2062</v>
      </c>
      <c r="H721" s="7"/>
      <c r="I721" s="19" t="str">
        <f>IF(COUNTIF('Claude vs tools'!$K$2:$P$139,A721)&gt;0,"★ Yes","")</f>
        <v/>
      </c>
    </row>
    <row r="722" spans="1:9" x14ac:dyDescent="0.3">
      <c r="A722" s="18" t="s">
        <v>303</v>
      </c>
      <c r="B722" s="7"/>
      <c r="C722" s="7"/>
      <c r="D722" s="7" t="s">
        <v>303</v>
      </c>
      <c r="E722" s="6">
        <f t="shared" si="22"/>
        <v>1</v>
      </c>
      <c r="F722" s="6" t="str">
        <f t="shared" si="23"/>
        <v>Only YAKE</v>
      </c>
      <c r="G722" s="7" t="s">
        <v>2063</v>
      </c>
      <c r="H722" s="7"/>
      <c r="I722" s="19" t="str">
        <f>IF(COUNTIF('Claude vs tools'!$K$2:$P$139,A722)&gt;0,"★ Yes","")</f>
        <v>★ Yes</v>
      </c>
    </row>
    <row r="723" spans="1:9" x14ac:dyDescent="0.3">
      <c r="A723" s="18" t="s">
        <v>1128</v>
      </c>
      <c r="B723" s="7" t="s">
        <v>1128</v>
      </c>
      <c r="C723" s="7"/>
      <c r="D723" s="7"/>
      <c r="E723" s="6">
        <f t="shared" si="22"/>
        <v>1</v>
      </c>
      <c r="F723" s="6" t="str">
        <f t="shared" si="23"/>
        <v>Only Gemini</v>
      </c>
      <c r="G723" s="7" t="s">
        <v>2064</v>
      </c>
      <c r="H723" s="7"/>
      <c r="I723" s="19" t="str">
        <f>IF(COUNTIF('Claude vs tools'!$K$2:$P$139,A723)&gt;0,"★ Yes","")</f>
        <v/>
      </c>
    </row>
    <row r="724" spans="1:9" ht="26.4" x14ac:dyDescent="0.3">
      <c r="A724" s="18" t="s">
        <v>1129</v>
      </c>
      <c r="B724" s="7"/>
      <c r="C724" s="7" t="s">
        <v>1129</v>
      </c>
      <c r="D724" s="7"/>
      <c r="E724" s="6">
        <f t="shared" si="22"/>
        <v>1</v>
      </c>
      <c r="F724" s="6" t="str">
        <f t="shared" si="23"/>
        <v>Only RAKE</v>
      </c>
      <c r="G724" s="7" t="s">
        <v>2065</v>
      </c>
      <c r="H724" s="7"/>
      <c r="I724" s="19" t="str">
        <f>IF(COUNTIF('Claude vs tools'!$K$2:$P$139,A724)&gt;0,"★ Yes","")</f>
        <v/>
      </c>
    </row>
    <row r="725" spans="1:9" x14ac:dyDescent="0.3">
      <c r="A725" s="18" t="s">
        <v>1130</v>
      </c>
      <c r="B725" s="7"/>
      <c r="C725" s="7"/>
      <c r="D725" s="7" t="s">
        <v>1130</v>
      </c>
      <c r="E725" s="6">
        <f t="shared" si="22"/>
        <v>1</v>
      </c>
      <c r="F725" s="6" t="str">
        <f t="shared" si="23"/>
        <v>Only YAKE</v>
      </c>
      <c r="G725" s="7" t="s">
        <v>2066</v>
      </c>
      <c r="H725" s="7"/>
      <c r="I725" s="19" t="str">
        <f>IF(COUNTIF('Claude vs tools'!$K$2:$P$139,A725)&gt;0,"★ Yes","")</f>
        <v/>
      </c>
    </row>
    <row r="726" spans="1:9" x14ac:dyDescent="0.3">
      <c r="A726" s="18" t="s">
        <v>1131</v>
      </c>
      <c r="B726" s="7"/>
      <c r="C726" s="7"/>
      <c r="D726" s="7" t="s">
        <v>1131</v>
      </c>
      <c r="E726" s="6">
        <f t="shared" si="22"/>
        <v>1</v>
      </c>
      <c r="F726" s="6" t="str">
        <f t="shared" si="23"/>
        <v>Only YAKE</v>
      </c>
      <c r="G726" s="7" t="s">
        <v>2067</v>
      </c>
      <c r="H726" s="7"/>
      <c r="I726" s="19" t="str">
        <f>IF(COUNTIF('Claude vs tools'!$K$2:$P$139,A726)&gt;0,"★ Yes","")</f>
        <v/>
      </c>
    </row>
    <row r="727" spans="1:9" ht="26.4" x14ac:dyDescent="0.3">
      <c r="A727" s="18" t="s">
        <v>1132</v>
      </c>
      <c r="B727" s="7"/>
      <c r="C727" s="7" t="s">
        <v>1132</v>
      </c>
      <c r="D727" s="7"/>
      <c r="E727" s="6">
        <f t="shared" si="22"/>
        <v>1</v>
      </c>
      <c r="F727" s="6" t="str">
        <f t="shared" si="23"/>
        <v>Only RAKE</v>
      </c>
      <c r="G727" s="7" t="s">
        <v>2068</v>
      </c>
      <c r="H727" s="7"/>
      <c r="I727" s="19" t="str">
        <f>IF(COUNTIF('Claude vs tools'!$K$2:$P$139,A727)&gt;0,"★ Yes","")</f>
        <v/>
      </c>
    </row>
    <row r="728" spans="1:9" x14ac:dyDescent="0.3">
      <c r="A728" s="18" t="s">
        <v>1133</v>
      </c>
      <c r="B728" s="7"/>
      <c r="C728" s="7"/>
      <c r="D728" s="7" t="s">
        <v>1133</v>
      </c>
      <c r="E728" s="6">
        <f t="shared" si="22"/>
        <v>1</v>
      </c>
      <c r="F728" s="6" t="str">
        <f t="shared" si="23"/>
        <v>Only YAKE</v>
      </c>
      <c r="G728" s="7" t="s">
        <v>2069</v>
      </c>
      <c r="H728" s="7"/>
      <c r="I728" s="19" t="str">
        <f>IF(COUNTIF('Claude vs tools'!$K$2:$P$139,A728)&gt;0,"★ Yes","")</f>
        <v/>
      </c>
    </row>
    <row r="729" spans="1:9" ht="26.4" x14ac:dyDescent="0.3">
      <c r="A729" s="18" t="s">
        <v>1134</v>
      </c>
      <c r="B729" s="7"/>
      <c r="C729" s="7"/>
      <c r="D729" s="7" t="s">
        <v>1134</v>
      </c>
      <c r="E729" s="6">
        <f t="shared" si="22"/>
        <v>1</v>
      </c>
      <c r="F729" s="6" t="str">
        <f t="shared" si="23"/>
        <v>Only YAKE</v>
      </c>
      <c r="G729" s="7" t="s">
        <v>2070</v>
      </c>
      <c r="H729" s="7"/>
      <c r="I729" s="19" t="str">
        <f>IF(COUNTIF('Claude vs tools'!$K$2:$P$139,A729)&gt;0,"★ Yes","")</f>
        <v/>
      </c>
    </row>
    <row r="730" spans="1:9" ht="26.4" x14ac:dyDescent="0.3">
      <c r="A730" s="18" t="s">
        <v>1135</v>
      </c>
      <c r="B730" s="7"/>
      <c r="C730" s="7"/>
      <c r="D730" s="7" t="s">
        <v>1135</v>
      </c>
      <c r="E730" s="6">
        <f t="shared" si="22"/>
        <v>1</v>
      </c>
      <c r="F730" s="6" t="str">
        <f t="shared" si="23"/>
        <v>Only YAKE</v>
      </c>
      <c r="G730" s="7" t="s">
        <v>2071</v>
      </c>
      <c r="H730" s="7"/>
      <c r="I730" s="19" t="str">
        <f>IF(COUNTIF('Claude vs tools'!$K$2:$P$139,A730)&gt;0,"★ Yes","")</f>
        <v/>
      </c>
    </row>
    <row r="731" spans="1:9" x14ac:dyDescent="0.3">
      <c r="A731" s="18" t="s">
        <v>1136</v>
      </c>
      <c r="B731" s="7"/>
      <c r="C731" s="7"/>
      <c r="D731" s="7" t="s">
        <v>1136</v>
      </c>
      <c r="E731" s="6">
        <f t="shared" si="22"/>
        <v>1</v>
      </c>
      <c r="F731" s="6" t="str">
        <f t="shared" si="23"/>
        <v>Only YAKE</v>
      </c>
      <c r="G731" s="7" t="s">
        <v>2072</v>
      </c>
      <c r="H731" s="7"/>
      <c r="I731" s="19" t="str">
        <f>IF(COUNTIF('Claude vs tools'!$K$2:$P$139,A731)&gt;0,"★ Yes","")</f>
        <v/>
      </c>
    </row>
    <row r="732" spans="1:9" x14ac:dyDescent="0.3">
      <c r="A732" s="18" t="s">
        <v>531</v>
      </c>
      <c r="B732" s="7"/>
      <c r="C732" s="7"/>
      <c r="D732" s="7" t="s">
        <v>531</v>
      </c>
      <c r="E732" s="6">
        <f t="shared" si="22"/>
        <v>1</v>
      </c>
      <c r="F732" s="6" t="str">
        <f t="shared" si="23"/>
        <v>Only YAKE</v>
      </c>
      <c r="G732" s="7" t="s">
        <v>2073</v>
      </c>
      <c r="H732" s="7"/>
      <c r="I732" s="19" t="str">
        <f>IF(COUNTIF('Claude vs tools'!$K$2:$P$139,A732)&gt;0,"★ Yes","")</f>
        <v>★ Yes</v>
      </c>
    </row>
    <row r="733" spans="1:9" x14ac:dyDescent="0.3">
      <c r="A733" s="18" t="s">
        <v>1137</v>
      </c>
      <c r="B733" s="7"/>
      <c r="C733" s="7"/>
      <c r="D733" s="7" t="s">
        <v>1137</v>
      </c>
      <c r="E733" s="6">
        <f t="shared" si="22"/>
        <v>1</v>
      </c>
      <c r="F733" s="6" t="str">
        <f t="shared" si="23"/>
        <v>Only YAKE</v>
      </c>
      <c r="G733" s="7" t="s">
        <v>2074</v>
      </c>
      <c r="H733" s="7"/>
      <c r="I733" s="19" t="str">
        <f>IF(COUNTIF('Claude vs tools'!$K$2:$P$139,A733)&gt;0,"★ Yes","")</f>
        <v/>
      </c>
    </row>
    <row r="734" spans="1:9" x14ac:dyDescent="0.3">
      <c r="A734" s="18" t="s">
        <v>1138</v>
      </c>
      <c r="B734" s="7"/>
      <c r="C734" s="7"/>
      <c r="D734" s="7" t="s">
        <v>1138</v>
      </c>
      <c r="E734" s="6">
        <f t="shared" si="22"/>
        <v>1</v>
      </c>
      <c r="F734" s="6" t="str">
        <f t="shared" si="23"/>
        <v>Only YAKE</v>
      </c>
      <c r="G734" s="7" t="s">
        <v>2075</v>
      </c>
      <c r="H734" s="7"/>
      <c r="I734" s="19" t="str">
        <f>IF(COUNTIF('Claude vs tools'!$K$2:$P$139,A734)&gt;0,"★ Yes","")</f>
        <v/>
      </c>
    </row>
    <row r="735" spans="1:9" x14ac:dyDescent="0.3">
      <c r="A735" s="18" t="s">
        <v>1139</v>
      </c>
      <c r="B735" s="7"/>
      <c r="C735" s="7"/>
      <c r="D735" s="7" t="s">
        <v>1139</v>
      </c>
      <c r="E735" s="6">
        <f t="shared" si="22"/>
        <v>1</v>
      </c>
      <c r="F735" s="6" t="str">
        <f t="shared" si="23"/>
        <v>Only YAKE</v>
      </c>
      <c r="G735" s="7" t="s">
        <v>2076</v>
      </c>
      <c r="H735" s="7"/>
      <c r="I735" s="19" t="str">
        <f>IF(COUNTIF('Claude vs tools'!$K$2:$P$139,A735)&gt;0,"★ Yes","")</f>
        <v/>
      </c>
    </row>
    <row r="736" spans="1:9" x14ac:dyDescent="0.3">
      <c r="A736" s="18" t="s">
        <v>1140</v>
      </c>
      <c r="B736" s="7"/>
      <c r="C736" s="7" t="s">
        <v>1140</v>
      </c>
      <c r="D736" s="7"/>
      <c r="E736" s="6">
        <f t="shared" si="22"/>
        <v>1</v>
      </c>
      <c r="F736" s="6" t="str">
        <f t="shared" si="23"/>
        <v>Only RAKE</v>
      </c>
      <c r="G736" s="7" t="s">
        <v>2077</v>
      </c>
      <c r="H736" s="7"/>
      <c r="I736" s="19" t="str">
        <f>IF(COUNTIF('Claude vs tools'!$K$2:$P$139,A736)&gt;0,"★ Yes","")</f>
        <v/>
      </c>
    </row>
    <row r="737" spans="1:9" ht="26.4" x14ac:dyDescent="0.3">
      <c r="A737" s="18" t="s">
        <v>2078</v>
      </c>
      <c r="B737" s="7"/>
      <c r="C737" s="7"/>
      <c r="D737" s="7" t="s">
        <v>2079</v>
      </c>
      <c r="E737" s="6">
        <f t="shared" si="22"/>
        <v>1</v>
      </c>
      <c r="F737" s="6" t="str">
        <f t="shared" si="23"/>
        <v>Only YAKE</v>
      </c>
      <c r="G737" s="7" t="s">
        <v>2080</v>
      </c>
      <c r="H737" s="7"/>
      <c r="I737" s="19" t="str">
        <f>IF(COUNTIF('Claude vs tools'!$K$2:$P$139,A737)&gt;0,"★ Yes","")</f>
        <v/>
      </c>
    </row>
    <row r="738" spans="1:9" x14ac:dyDescent="0.3">
      <c r="A738" s="18" t="s">
        <v>1142</v>
      </c>
      <c r="B738" s="7"/>
      <c r="C738" s="7" t="s">
        <v>1142</v>
      </c>
      <c r="D738" s="7"/>
      <c r="E738" s="6">
        <f t="shared" si="22"/>
        <v>1</v>
      </c>
      <c r="F738" s="6" t="str">
        <f t="shared" si="23"/>
        <v>Only RAKE</v>
      </c>
      <c r="G738" s="7" t="s">
        <v>795</v>
      </c>
      <c r="H738" s="7"/>
      <c r="I738" s="19" t="str">
        <f>IF(COUNTIF('Claude vs tools'!$K$2:$P$139,A738)&gt;0,"★ Yes","")</f>
        <v/>
      </c>
    </row>
    <row r="739" spans="1:9" x14ac:dyDescent="0.3">
      <c r="A739" s="18" t="s">
        <v>1143</v>
      </c>
      <c r="B739" s="7" t="s">
        <v>1143</v>
      </c>
      <c r="C739" s="7"/>
      <c r="D739" s="7"/>
      <c r="E739" s="6">
        <f t="shared" si="22"/>
        <v>1</v>
      </c>
      <c r="F739" s="6" t="str">
        <f t="shared" si="23"/>
        <v>Only Gemini</v>
      </c>
      <c r="G739" s="7" t="s">
        <v>2081</v>
      </c>
      <c r="H739" s="7"/>
      <c r="I739" s="19" t="str">
        <f>IF(COUNTIF('Claude vs tools'!$K$2:$P$139,A739)&gt;0,"★ Yes","")</f>
        <v/>
      </c>
    </row>
    <row r="740" spans="1:9" x14ac:dyDescent="0.3">
      <c r="A740" s="18" t="s">
        <v>1144</v>
      </c>
      <c r="B740" s="7"/>
      <c r="C740" s="7" t="s">
        <v>1144</v>
      </c>
      <c r="D740" s="7"/>
      <c r="E740" s="6">
        <f t="shared" si="22"/>
        <v>1</v>
      </c>
      <c r="F740" s="6" t="str">
        <f t="shared" si="23"/>
        <v>Only RAKE</v>
      </c>
      <c r="G740" s="7" t="s">
        <v>2082</v>
      </c>
      <c r="H740" s="7"/>
      <c r="I740" s="19" t="str">
        <f>IF(COUNTIF('Claude vs tools'!$K$2:$P$139,A740)&gt;0,"★ Yes","")</f>
        <v/>
      </c>
    </row>
    <row r="741" spans="1:9" x14ac:dyDescent="0.3">
      <c r="A741" s="18" t="s">
        <v>1145</v>
      </c>
      <c r="B741" s="7"/>
      <c r="C741" s="7" t="s">
        <v>1145</v>
      </c>
      <c r="D741" s="7"/>
      <c r="E741" s="6">
        <f t="shared" si="22"/>
        <v>1</v>
      </c>
      <c r="F741" s="6" t="str">
        <f t="shared" si="23"/>
        <v>Only RAKE</v>
      </c>
      <c r="G741" s="7" t="s">
        <v>2083</v>
      </c>
      <c r="H741" s="7"/>
      <c r="I741" s="19" t="str">
        <f>IF(COUNTIF('Claude vs tools'!$K$2:$P$139,A741)&gt;0,"★ Yes","")</f>
        <v/>
      </c>
    </row>
    <row r="742" spans="1:9" x14ac:dyDescent="0.3">
      <c r="A742" s="18" t="s">
        <v>1146</v>
      </c>
      <c r="B742" s="7"/>
      <c r="C742" s="7" t="s">
        <v>1146</v>
      </c>
      <c r="D742" s="7"/>
      <c r="E742" s="6">
        <f t="shared" si="22"/>
        <v>1</v>
      </c>
      <c r="F742" s="6" t="str">
        <f t="shared" si="23"/>
        <v>Only RAKE</v>
      </c>
      <c r="G742" s="7" t="s">
        <v>795</v>
      </c>
      <c r="H742" s="7"/>
      <c r="I742" s="19" t="str">
        <f>IF(COUNTIF('Claude vs tools'!$K$2:$P$139,A742)&gt;0,"★ Yes","")</f>
        <v/>
      </c>
    </row>
    <row r="743" spans="1:9" x14ac:dyDescent="0.3">
      <c r="A743" s="18" t="s">
        <v>1147</v>
      </c>
      <c r="B743" s="7"/>
      <c r="C743" s="7" t="s">
        <v>1147</v>
      </c>
      <c r="D743" s="7"/>
      <c r="E743" s="6">
        <f t="shared" si="22"/>
        <v>1</v>
      </c>
      <c r="F743" s="6" t="str">
        <f t="shared" si="23"/>
        <v>Only RAKE</v>
      </c>
      <c r="G743" s="7" t="s">
        <v>2084</v>
      </c>
      <c r="H743" s="7"/>
      <c r="I743" s="19" t="str">
        <f>IF(COUNTIF('Claude vs tools'!$K$2:$P$139,A743)&gt;0,"★ Yes","")</f>
        <v/>
      </c>
    </row>
    <row r="744" spans="1:9" x14ac:dyDescent="0.3">
      <c r="A744" s="18" t="s">
        <v>1148</v>
      </c>
      <c r="B744" s="7"/>
      <c r="C744" s="7" t="s">
        <v>1148</v>
      </c>
      <c r="D744" s="7"/>
      <c r="E744" s="6">
        <f t="shared" si="22"/>
        <v>1</v>
      </c>
      <c r="F744" s="6" t="str">
        <f t="shared" si="23"/>
        <v>Only RAKE</v>
      </c>
      <c r="G744" s="7" t="s">
        <v>2085</v>
      </c>
      <c r="H744" s="7"/>
      <c r="I744" s="19" t="str">
        <f>IF(COUNTIF('Claude vs tools'!$K$2:$P$139,A744)&gt;0,"★ Yes","")</f>
        <v/>
      </c>
    </row>
    <row r="745" spans="1:9" x14ac:dyDescent="0.3">
      <c r="A745" s="18" t="s">
        <v>1149</v>
      </c>
      <c r="B745" s="7"/>
      <c r="C745" s="7" t="s">
        <v>1149</v>
      </c>
      <c r="D745" s="7"/>
      <c r="E745" s="6">
        <f t="shared" si="22"/>
        <v>1</v>
      </c>
      <c r="F745" s="6" t="str">
        <f t="shared" si="23"/>
        <v>Only RAKE</v>
      </c>
      <c r="G745" s="7" t="s">
        <v>1742</v>
      </c>
      <c r="H745" s="7"/>
      <c r="I745" s="19" t="str">
        <f>IF(COUNTIF('Claude vs tools'!$K$2:$P$139,A745)&gt;0,"★ Yes","")</f>
        <v/>
      </c>
    </row>
    <row r="746" spans="1:9" x14ac:dyDescent="0.3">
      <c r="A746" s="18" t="s">
        <v>1150</v>
      </c>
      <c r="B746" s="7"/>
      <c r="C746" s="7"/>
      <c r="D746" s="7" t="s">
        <v>1150</v>
      </c>
      <c r="E746" s="6">
        <f t="shared" si="22"/>
        <v>1</v>
      </c>
      <c r="F746" s="6" t="str">
        <f t="shared" si="23"/>
        <v>Only YAKE</v>
      </c>
      <c r="G746" s="7" t="s">
        <v>2086</v>
      </c>
      <c r="H746" s="7"/>
      <c r="I746" s="19" t="str">
        <f>IF(COUNTIF('Claude vs tools'!$K$2:$P$139,A746)&gt;0,"★ Yes","")</f>
        <v/>
      </c>
    </row>
    <row r="747" spans="1:9" x14ac:dyDescent="0.3">
      <c r="A747" s="18" t="s">
        <v>1151</v>
      </c>
      <c r="B747" s="7"/>
      <c r="C747" s="7" t="s">
        <v>1151</v>
      </c>
      <c r="D747" s="7"/>
      <c r="E747" s="6">
        <f t="shared" si="22"/>
        <v>1</v>
      </c>
      <c r="F747" s="6" t="str">
        <f t="shared" si="23"/>
        <v>Only RAKE</v>
      </c>
      <c r="G747" s="7" t="s">
        <v>2087</v>
      </c>
      <c r="H747" s="7"/>
      <c r="I747" s="19" t="str">
        <f>IF(COUNTIF('Claude vs tools'!$K$2:$P$139,A747)&gt;0,"★ Yes","")</f>
        <v/>
      </c>
    </row>
    <row r="748" spans="1:9" x14ac:dyDescent="0.3">
      <c r="A748" s="18" t="s">
        <v>1152</v>
      </c>
      <c r="B748" s="7"/>
      <c r="C748" s="7"/>
      <c r="D748" s="7" t="s">
        <v>1152</v>
      </c>
      <c r="E748" s="6">
        <f t="shared" si="22"/>
        <v>1</v>
      </c>
      <c r="F748" s="6" t="str">
        <f t="shared" si="23"/>
        <v>Only YAKE</v>
      </c>
      <c r="G748" s="7" t="s">
        <v>2088</v>
      </c>
      <c r="H748" s="7"/>
      <c r="I748" s="19" t="str">
        <f>IF(COUNTIF('Claude vs tools'!$K$2:$P$139,A748)&gt;0,"★ Yes","")</f>
        <v/>
      </c>
    </row>
    <row r="749" spans="1:9" ht="26.4" x14ac:dyDescent="0.3">
      <c r="A749" s="18" t="s">
        <v>1153</v>
      </c>
      <c r="B749" s="7"/>
      <c r="C749" s="7"/>
      <c r="D749" s="7" t="s">
        <v>1153</v>
      </c>
      <c r="E749" s="6">
        <f t="shared" si="22"/>
        <v>1</v>
      </c>
      <c r="F749" s="6" t="str">
        <f t="shared" si="23"/>
        <v>Only YAKE</v>
      </c>
      <c r="G749" s="7" t="s">
        <v>2089</v>
      </c>
      <c r="H749" s="7"/>
      <c r="I749" s="19" t="str">
        <f>IF(COUNTIF('Claude vs tools'!$K$2:$P$139,A749)&gt;0,"★ Yes","")</f>
        <v/>
      </c>
    </row>
    <row r="750" spans="1:9" x14ac:dyDescent="0.3">
      <c r="A750" s="18" t="s">
        <v>238</v>
      </c>
      <c r="B750" s="7"/>
      <c r="C750" s="7"/>
      <c r="D750" s="7" t="s">
        <v>238</v>
      </c>
      <c r="E750" s="6">
        <f t="shared" si="22"/>
        <v>1</v>
      </c>
      <c r="F750" s="6" t="str">
        <f t="shared" si="23"/>
        <v>Only YAKE</v>
      </c>
      <c r="G750" s="7" t="s">
        <v>2090</v>
      </c>
      <c r="H750" s="7"/>
      <c r="I750" s="19" t="str">
        <f>IF(COUNTIF('Claude vs tools'!$K$2:$P$139,A750)&gt;0,"★ Yes","")</f>
        <v>★ Yes</v>
      </c>
    </row>
    <row r="751" spans="1:9" x14ac:dyDescent="0.3">
      <c r="A751" s="18" t="s">
        <v>245</v>
      </c>
      <c r="B751" s="7" t="s">
        <v>245</v>
      </c>
      <c r="C751" s="7"/>
      <c r="D751" s="7"/>
      <c r="E751" s="6">
        <f t="shared" si="22"/>
        <v>1</v>
      </c>
      <c r="F751" s="6" t="str">
        <f t="shared" si="23"/>
        <v>Only Gemini</v>
      </c>
      <c r="G751" s="7" t="s">
        <v>2091</v>
      </c>
      <c r="H751" s="7"/>
      <c r="I751" s="19" t="str">
        <f>IF(COUNTIF('Claude vs tools'!$K$2:$P$139,A751)&gt;0,"★ Yes","")</f>
        <v>★ Yes</v>
      </c>
    </row>
    <row r="752" spans="1:9" x14ac:dyDescent="0.3">
      <c r="A752" s="18" t="s">
        <v>1154</v>
      </c>
      <c r="B752" s="7"/>
      <c r="C752" s="7" t="s">
        <v>1154</v>
      </c>
      <c r="D752" s="7"/>
      <c r="E752" s="6">
        <f t="shared" si="22"/>
        <v>1</v>
      </c>
      <c r="F752" s="6" t="str">
        <f t="shared" si="23"/>
        <v>Only RAKE</v>
      </c>
      <c r="G752" s="7" t="s">
        <v>2092</v>
      </c>
      <c r="H752" s="7"/>
      <c r="I752" s="19" t="str">
        <f>IF(COUNTIF('Claude vs tools'!$K$2:$P$139,A752)&gt;0,"★ Yes","")</f>
        <v/>
      </c>
    </row>
    <row r="753" spans="1:9" ht="26.4" x14ac:dyDescent="0.3">
      <c r="A753" s="18" t="s">
        <v>1155</v>
      </c>
      <c r="B753" s="7"/>
      <c r="C753" s="7"/>
      <c r="D753" s="7" t="s">
        <v>1155</v>
      </c>
      <c r="E753" s="6">
        <f t="shared" si="22"/>
        <v>1</v>
      </c>
      <c r="F753" s="6" t="str">
        <f t="shared" si="23"/>
        <v>Only YAKE</v>
      </c>
      <c r="G753" s="7" t="s">
        <v>2093</v>
      </c>
      <c r="H753" s="7"/>
      <c r="I753" s="19" t="str">
        <f>IF(COUNTIF('Claude vs tools'!$K$2:$P$139,A753)&gt;0,"★ Yes","")</f>
        <v/>
      </c>
    </row>
    <row r="754" spans="1:9" x14ac:dyDescent="0.3">
      <c r="A754" s="18" t="s">
        <v>1156</v>
      </c>
      <c r="B754" s="7"/>
      <c r="C754" s="7" t="s">
        <v>1156</v>
      </c>
      <c r="D754" s="7"/>
      <c r="E754" s="6">
        <f t="shared" si="22"/>
        <v>1</v>
      </c>
      <c r="F754" s="6" t="str">
        <f t="shared" si="23"/>
        <v>Only RAKE</v>
      </c>
      <c r="G754" s="7" t="s">
        <v>2094</v>
      </c>
      <c r="H754" s="7"/>
      <c r="I754" s="19" t="str">
        <f>IF(COUNTIF('Claude vs tools'!$K$2:$P$139,A754)&gt;0,"★ Yes","")</f>
        <v/>
      </c>
    </row>
    <row r="755" spans="1:9" ht="26.4" x14ac:dyDescent="0.3">
      <c r="A755" s="18" t="s">
        <v>1157</v>
      </c>
      <c r="B755" s="7"/>
      <c r="C755" s="7"/>
      <c r="D755" s="7" t="s">
        <v>1157</v>
      </c>
      <c r="E755" s="6">
        <f t="shared" si="22"/>
        <v>1</v>
      </c>
      <c r="F755" s="6" t="str">
        <f t="shared" si="23"/>
        <v>Only YAKE</v>
      </c>
      <c r="G755" s="7" t="s">
        <v>2095</v>
      </c>
      <c r="H755" s="7"/>
      <c r="I755" s="19" t="str">
        <f>IF(COUNTIF('Claude vs tools'!$K$2:$P$139,A755)&gt;0,"★ Yes","")</f>
        <v/>
      </c>
    </row>
    <row r="756" spans="1:9" x14ac:dyDescent="0.3">
      <c r="A756" s="18" t="s">
        <v>1158</v>
      </c>
      <c r="B756" s="7"/>
      <c r="C756" s="7"/>
      <c r="D756" s="7" t="s">
        <v>1158</v>
      </c>
      <c r="E756" s="6">
        <f t="shared" si="22"/>
        <v>1</v>
      </c>
      <c r="F756" s="6" t="str">
        <f t="shared" si="23"/>
        <v>Only YAKE</v>
      </c>
      <c r="G756" s="7" t="s">
        <v>1490</v>
      </c>
      <c r="H756" s="7"/>
      <c r="I756" s="19" t="str">
        <f>IF(COUNTIF('Claude vs tools'!$K$2:$P$139,A756)&gt;0,"★ Yes","")</f>
        <v/>
      </c>
    </row>
    <row r="757" spans="1:9" x14ac:dyDescent="0.3">
      <c r="A757" s="18" t="s">
        <v>1159</v>
      </c>
      <c r="B757" s="7"/>
      <c r="C757" s="7"/>
      <c r="D757" s="7" t="s">
        <v>1159</v>
      </c>
      <c r="E757" s="6">
        <f t="shared" si="22"/>
        <v>1</v>
      </c>
      <c r="F757" s="6" t="str">
        <f t="shared" si="23"/>
        <v>Only YAKE</v>
      </c>
      <c r="G757" s="7" t="s">
        <v>795</v>
      </c>
      <c r="H757" s="7"/>
      <c r="I757" s="19" t="str">
        <f>IF(COUNTIF('Claude vs tools'!$K$2:$P$139,A757)&gt;0,"★ Yes","")</f>
        <v/>
      </c>
    </row>
    <row r="758" spans="1:9" ht="26.4" x14ac:dyDescent="0.3">
      <c r="A758" s="18" t="s">
        <v>1160</v>
      </c>
      <c r="B758" s="7"/>
      <c r="C758" s="7"/>
      <c r="D758" s="7" t="s">
        <v>1160</v>
      </c>
      <c r="E758" s="6">
        <f t="shared" si="22"/>
        <v>1</v>
      </c>
      <c r="F758" s="6" t="str">
        <f t="shared" si="23"/>
        <v>Only YAKE</v>
      </c>
      <c r="G758" s="7" t="s">
        <v>2096</v>
      </c>
      <c r="H758" s="7"/>
      <c r="I758" s="19" t="str">
        <f>IF(COUNTIF('Claude vs tools'!$K$2:$P$139,A758)&gt;0,"★ Yes","")</f>
        <v/>
      </c>
    </row>
    <row r="759" spans="1:9" ht="26.4" x14ac:dyDescent="0.3">
      <c r="A759" s="18" t="s">
        <v>1161</v>
      </c>
      <c r="B759" s="7" t="s">
        <v>1161</v>
      </c>
      <c r="C759" s="7"/>
      <c r="D759" s="7"/>
      <c r="E759" s="6">
        <f t="shared" si="22"/>
        <v>1</v>
      </c>
      <c r="F759" s="6" t="str">
        <f t="shared" si="23"/>
        <v>Only Gemini</v>
      </c>
      <c r="G759" s="7" t="s">
        <v>2097</v>
      </c>
      <c r="H759" s="7"/>
      <c r="I759" s="19" t="str">
        <f>IF(COUNTIF('Claude vs tools'!$K$2:$P$139,A759)&gt;0,"★ Yes","")</f>
        <v/>
      </c>
    </row>
    <row r="760" spans="1:9" x14ac:dyDescent="0.3">
      <c r="A760" s="18" t="s">
        <v>1162</v>
      </c>
      <c r="B760" s="7"/>
      <c r="C760" s="7" t="s">
        <v>1162</v>
      </c>
      <c r="D760" s="7"/>
      <c r="E760" s="6">
        <f t="shared" si="22"/>
        <v>1</v>
      </c>
      <c r="F760" s="6" t="str">
        <f t="shared" si="23"/>
        <v>Only RAKE</v>
      </c>
      <c r="G760" s="7" t="s">
        <v>2098</v>
      </c>
      <c r="H760" s="7"/>
      <c r="I760" s="19" t="str">
        <f>IF(COUNTIF('Claude vs tools'!$K$2:$P$139,A760)&gt;0,"★ Yes","")</f>
        <v/>
      </c>
    </row>
    <row r="761" spans="1:9" x14ac:dyDescent="0.3">
      <c r="A761" s="18" t="s">
        <v>1163</v>
      </c>
      <c r="B761" s="7"/>
      <c r="C761" s="7" t="s">
        <v>1163</v>
      </c>
      <c r="D761" s="7"/>
      <c r="E761" s="6">
        <f t="shared" si="22"/>
        <v>1</v>
      </c>
      <c r="F761" s="6" t="str">
        <f t="shared" si="23"/>
        <v>Only RAKE</v>
      </c>
      <c r="G761" s="7" t="s">
        <v>2099</v>
      </c>
      <c r="H761" s="7"/>
      <c r="I761" s="19" t="str">
        <f>IF(COUNTIF('Claude vs tools'!$K$2:$P$139,A761)&gt;0,"★ Yes","")</f>
        <v/>
      </c>
    </row>
    <row r="762" spans="1:9" ht="39.6" x14ac:dyDescent="0.3">
      <c r="A762" s="18" t="s">
        <v>1164</v>
      </c>
      <c r="B762" s="7"/>
      <c r="C762" s="7"/>
      <c r="D762" s="7" t="s">
        <v>1164</v>
      </c>
      <c r="E762" s="6">
        <f t="shared" si="22"/>
        <v>1</v>
      </c>
      <c r="F762" s="6" t="str">
        <f t="shared" si="23"/>
        <v>Only YAKE</v>
      </c>
      <c r="G762" s="7" t="s">
        <v>2100</v>
      </c>
      <c r="H762" s="7"/>
      <c r="I762" s="19" t="str">
        <f>IF(COUNTIF('Claude vs tools'!$K$2:$P$139,A762)&gt;0,"★ Yes","")</f>
        <v/>
      </c>
    </row>
    <row r="763" spans="1:9" ht="26.4" x14ac:dyDescent="0.3">
      <c r="A763" s="18" t="s">
        <v>1165</v>
      </c>
      <c r="B763" s="7"/>
      <c r="C763" s="7"/>
      <c r="D763" s="7" t="s">
        <v>1165</v>
      </c>
      <c r="E763" s="6">
        <f t="shared" si="22"/>
        <v>1</v>
      </c>
      <c r="F763" s="6" t="str">
        <f t="shared" si="23"/>
        <v>Only YAKE</v>
      </c>
      <c r="G763" s="7" t="s">
        <v>2101</v>
      </c>
      <c r="H763" s="7"/>
      <c r="I763" s="19" t="str">
        <f>IF(COUNTIF('Claude vs tools'!$K$2:$P$139,A763)&gt;0,"★ Yes","")</f>
        <v/>
      </c>
    </row>
    <row r="764" spans="1:9" x14ac:dyDescent="0.3">
      <c r="A764" s="18" t="s">
        <v>1166</v>
      </c>
      <c r="B764" s="7"/>
      <c r="C764" s="7" t="s">
        <v>1166</v>
      </c>
      <c r="D764" s="7"/>
      <c r="E764" s="6">
        <f t="shared" si="22"/>
        <v>1</v>
      </c>
      <c r="F764" s="6" t="str">
        <f t="shared" si="23"/>
        <v>Only RAKE</v>
      </c>
      <c r="G764" s="7" t="s">
        <v>2102</v>
      </c>
      <c r="H764" s="7"/>
      <c r="I764" s="19" t="str">
        <f>IF(COUNTIF('Claude vs tools'!$K$2:$P$139,A764)&gt;0,"★ Yes","")</f>
        <v/>
      </c>
    </row>
    <row r="765" spans="1:9" x14ac:dyDescent="0.3">
      <c r="A765" s="18" t="s">
        <v>1167</v>
      </c>
      <c r="B765" s="7"/>
      <c r="C765" s="7" t="s">
        <v>1167</v>
      </c>
      <c r="D765" s="7"/>
      <c r="E765" s="6">
        <f t="shared" si="22"/>
        <v>1</v>
      </c>
      <c r="F765" s="6" t="str">
        <f t="shared" si="23"/>
        <v>Only RAKE</v>
      </c>
      <c r="G765" s="7" t="s">
        <v>1672</v>
      </c>
      <c r="H765" s="7"/>
      <c r="I765" s="19" t="str">
        <f>IF(COUNTIF('Claude vs tools'!$K$2:$P$139,A765)&gt;0,"★ Yes","")</f>
        <v/>
      </c>
    </row>
    <row r="766" spans="1:9" x14ac:dyDescent="0.3">
      <c r="A766" s="18" t="s">
        <v>1168</v>
      </c>
      <c r="B766" s="7"/>
      <c r="C766" s="7" t="s">
        <v>1168</v>
      </c>
      <c r="D766" s="7"/>
      <c r="E766" s="6">
        <f t="shared" si="22"/>
        <v>1</v>
      </c>
      <c r="F766" s="6" t="str">
        <f t="shared" si="23"/>
        <v>Only RAKE</v>
      </c>
      <c r="G766" s="7" t="s">
        <v>2103</v>
      </c>
      <c r="H766" s="7"/>
      <c r="I766" s="19" t="str">
        <f>IF(COUNTIF('Claude vs tools'!$K$2:$P$139,A766)&gt;0,"★ Yes","")</f>
        <v/>
      </c>
    </row>
    <row r="767" spans="1:9" x14ac:dyDescent="0.3">
      <c r="A767" s="18" t="s">
        <v>1169</v>
      </c>
      <c r="B767" s="7"/>
      <c r="C767" s="7"/>
      <c r="D767" s="7" t="s">
        <v>1169</v>
      </c>
      <c r="E767" s="6">
        <f t="shared" si="22"/>
        <v>1</v>
      </c>
      <c r="F767" s="6" t="str">
        <f t="shared" si="23"/>
        <v>Only YAKE</v>
      </c>
      <c r="G767" s="7" t="s">
        <v>2104</v>
      </c>
      <c r="H767" s="7"/>
      <c r="I767" s="19" t="str">
        <f>IF(COUNTIF('Claude vs tools'!$K$2:$P$139,A767)&gt;0,"★ Yes","")</f>
        <v/>
      </c>
    </row>
    <row r="768" spans="1:9" x14ac:dyDescent="0.3">
      <c r="A768" s="18" t="s">
        <v>1170</v>
      </c>
      <c r="B768" s="7"/>
      <c r="C768" s="7" t="s">
        <v>1170</v>
      </c>
      <c r="D768" s="7"/>
      <c r="E768" s="6">
        <f t="shared" si="22"/>
        <v>1</v>
      </c>
      <c r="F768" s="6" t="str">
        <f t="shared" si="23"/>
        <v>Only RAKE</v>
      </c>
      <c r="G768" s="7" t="s">
        <v>1672</v>
      </c>
      <c r="H768" s="7"/>
      <c r="I768" s="19" t="str">
        <f>IF(COUNTIF('Claude vs tools'!$K$2:$P$139,A768)&gt;0,"★ Yes","")</f>
        <v/>
      </c>
    </row>
    <row r="769" spans="1:9" x14ac:dyDescent="0.3">
      <c r="A769" s="18" t="s">
        <v>1171</v>
      </c>
      <c r="B769" s="7"/>
      <c r="C769" s="7"/>
      <c r="D769" s="7" t="s">
        <v>1171</v>
      </c>
      <c r="E769" s="6">
        <f t="shared" si="22"/>
        <v>1</v>
      </c>
      <c r="F769" s="6" t="str">
        <f t="shared" si="23"/>
        <v>Only YAKE</v>
      </c>
      <c r="G769" s="7" t="s">
        <v>1858</v>
      </c>
      <c r="H769" s="7"/>
      <c r="I769" s="19" t="str">
        <f>IF(COUNTIF('Claude vs tools'!$K$2:$P$139,A769)&gt;0,"★ Yes","")</f>
        <v/>
      </c>
    </row>
    <row r="770" spans="1:9" x14ac:dyDescent="0.3">
      <c r="A770" s="18" t="s">
        <v>1172</v>
      </c>
      <c r="B770" s="7"/>
      <c r="C770" s="7" t="s">
        <v>1172</v>
      </c>
      <c r="D770" s="7"/>
      <c r="E770" s="6">
        <f t="shared" ref="E770:E833" si="24">COUNTA(B770:D770)</f>
        <v>1</v>
      </c>
      <c r="F770" s="6" t="str">
        <f t="shared" ref="F770:F833" si="25">IF(E770=3,"All three",IF(E770=2,SUBSTITUTE(TRIM(IF(B770&lt;&gt;"","Gemini ","")&amp;IF(C770&lt;&gt;"","RAKE ","")&amp;IF(D770&lt;&gt;"","YAKE",""))," "," + "),"Only "&amp;TRIM(IF(B770&lt;&gt;"","Gemini","")&amp;IF(C770&lt;&gt;"","RAKE","")&amp;IF(D770&lt;&gt;"","YAKE",""))))</f>
        <v>Only RAKE</v>
      </c>
      <c r="G770" s="7" t="s">
        <v>795</v>
      </c>
      <c r="H770" s="7"/>
      <c r="I770" s="19" t="str">
        <f>IF(COUNTIF('Claude vs tools'!$K$2:$P$139,A770)&gt;0,"★ Yes","")</f>
        <v/>
      </c>
    </row>
    <row r="771" spans="1:9" x14ac:dyDescent="0.3">
      <c r="A771" s="18" t="s">
        <v>1173</v>
      </c>
      <c r="B771" s="7"/>
      <c r="C771" s="7"/>
      <c r="D771" s="7" t="s">
        <v>1173</v>
      </c>
      <c r="E771" s="6">
        <f t="shared" si="24"/>
        <v>1</v>
      </c>
      <c r="F771" s="6" t="str">
        <f t="shared" si="25"/>
        <v>Only YAKE</v>
      </c>
      <c r="G771" s="7" t="s">
        <v>2105</v>
      </c>
      <c r="H771" s="7"/>
      <c r="I771" s="19" t="str">
        <f>IF(COUNTIF('Claude vs tools'!$K$2:$P$139,A771)&gt;0,"★ Yes","")</f>
        <v/>
      </c>
    </row>
    <row r="772" spans="1:9" x14ac:dyDescent="0.3">
      <c r="A772" s="18" t="s">
        <v>1174</v>
      </c>
      <c r="B772" s="7"/>
      <c r="C772" s="7" t="s">
        <v>1174</v>
      </c>
      <c r="D772" s="7"/>
      <c r="E772" s="6">
        <f t="shared" si="24"/>
        <v>1</v>
      </c>
      <c r="F772" s="6" t="str">
        <f t="shared" si="25"/>
        <v>Only RAKE</v>
      </c>
      <c r="G772" s="7" t="s">
        <v>2083</v>
      </c>
      <c r="H772" s="7"/>
      <c r="I772" s="19" t="str">
        <f>IF(COUNTIF('Claude vs tools'!$K$2:$P$139,A772)&gt;0,"★ Yes","")</f>
        <v/>
      </c>
    </row>
    <row r="773" spans="1:9" ht="26.4" x14ac:dyDescent="0.3">
      <c r="A773" s="18" t="s">
        <v>34</v>
      </c>
      <c r="B773" s="7" t="s">
        <v>34</v>
      </c>
      <c r="C773" s="7"/>
      <c r="D773" s="7"/>
      <c r="E773" s="6">
        <f t="shared" si="24"/>
        <v>1</v>
      </c>
      <c r="F773" s="6" t="str">
        <f t="shared" si="25"/>
        <v>Only Gemini</v>
      </c>
      <c r="G773" s="7" t="s">
        <v>2106</v>
      </c>
      <c r="H773" s="7"/>
      <c r="I773" s="19" t="str">
        <f>IF(COUNTIF('Claude vs tools'!$K$2:$P$139,A773)&gt;0,"★ Yes","")</f>
        <v>★ Yes</v>
      </c>
    </row>
    <row r="774" spans="1:9" x14ac:dyDescent="0.3">
      <c r="A774" s="18" t="s">
        <v>1175</v>
      </c>
      <c r="B774" s="7"/>
      <c r="C774" s="7"/>
      <c r="D774" s="7" t="s">
        <v>1175</v>
      </c>
      <c r="E774" s="6">
        <f t="shared" si="24"/>
        <v>1</v>
      </c>
      <c r="F774" s="6" t="str">
        <f t="shared" si="25"/>
        <v>Only YAKE</v>
      </c>
      <c r="G774" s="7" t="s">
        <v>2107</v>
      </c>
      <c r="H774" s="7"/>
      <c r="I774" s="19" t="str">
        <f>IF(COUNTIF('Claude vs tools'!$K$2:$P$139,A774)&gt;0,"★ Yes","")</f>
        <v/>
      </c>
    </row>
    <row r="775" spans="1:9" ht="26.4" x14ac:dyDescent="0.3">
      <c r="A775" s="18" t="s">
        <v>496</v>
      </c>
      <c r="B775" s="7"/>
      <c r="C775" s="7"/>
      <c r="D775" s="7" t="s">
        <v>496</v>
      </c>
      <c r="E775" s="6">
        <f t="shared" si="24"/>
        <v>1</v>
      </c>
      <c r="F775" s="6" t="str">
        <f t="shared" si="25"/>
        <v>Only YAKE</v>
      </c>
      <c r="G775" s="7" t="s">
        <v>2108</v>
      </c>
      <c r="H775" s="7"/>
      <c r="I775" s="19" t="str">
        <f>IF(COUNTIF('Claude vs tools'!$K$2:$P$139,A775)&gt;0,"★ Yes","")</f>
        <v>★ Yes</v>
      </c>
    </row>
    <row r="776" spans="1:9" x14ac:dyDescent="0.3">
      <c r="A776" s="18" t="s">
        <v>1176</v>
      </c>
      <c r="B776" s="7"/>
      <c r="C776" s="7" t="s">
        <v>1176</v>
      </c>
      <c r="D776" s="7"/>
      <c r="E776" s="6">
        <f t="shared" si="24"/>
        <v>1</v>
      </c>
      <c r="F776" s="6" t="str">
        <f t="shared" si="25"/>
        <v>Only RAKE</v>
      </c>
      <c r="G776" s="7" t="s">
        <v>2109</v>
      </c>
      <c r="H776" s="7"/>
      <c r="I776" s="19" t="str">
        <f>IF(COUNTIF('Claude vs tools'!$K$2:$P$139,A776)&gt;0,"★ Yes","")</f>
        <v/>
      </c>
    </row>
    <row r="777" spans="1:9" x14ac:dyDescent="0.3">
      <c r="A777" s="18" t="s">
        <v>1177</v>
      </c>
      <c r="B777" s="7"/>
      <c r="C777" s="7" t="s">
        <v>1177</v>
      </c>
      <c r="D777" s="7"/>
      <c r="E777" s="6">
        <f t="shared" si="24"/>
        <v>1</v>
      </c>
      <c r="F777" s="6" t="str">
        <f t="shared" si="25"/>
        <v>Only RAKE</v>
      </c>
      <c r="G777" s="7" t="s">
        <v>2110</v>
      </c>
      <c r="H777" s="7"/>
      <c r="I777" s="19" t="str">
        <f>IF(COUNTIF('Claude vs tools'!$K$2:$P$139,A777)&gt;0,"★ Yes","")</f>
        <v/>
      </c>
    </row>
    <row r="778" spans="1:9" x14ac:dyDescent="0.3">
      <c r="A778" s="18" t="s">
        <v>1178</v>
      </c>
      <c r="B778" s="7"/>
      <c r="C778" s="7" t="s">
        <v>1178</v>
      </c>
      <c r="D778" s="7"/>
      <c r="E778" s="6">
        <f t="shared" si="24"/>
        <v>1</v>
      </c>
      <c r="F778" s="6" t="str">
        <f t="shared" si="25"/>
        <v>Only RAKE</v>
      </c>
      <c r="G778" s="7" t="s">
        <v>1905</v>
      </c>
      <c r="H778" s="7"/>
      <c r="I778" s="19" t="str">
        <f>IF(COUNTIF('Claude vs tools'!$K$2:$P$139,A778)&gt;0,"★ Yes","")</f>
        <v/>
      </c>
    </row>
    <row r="779" spans="1:9" ht="39.6" x14ac:dyDescent="0.3">
      <c r="A779" s="18" t="s">
        <v>1179</v>
      </c>
      <c r="B779" s="7"/>
      <c r="C779" s="7"/>
      <c r="D779" s="7" t="s">
        <v>1179</v>
      </c>
      <c r="E779" s="6">
        <f t="shared" si="24"/>
        <v>1</v>
      </c>
      <c r="F779" s="6" t="str">
        <f t="shared" si="25"/>
        <v>Only YAKE</v>
      </c>
      <c r="G779" s="7" t="s">
        <v>2111</v>
      </c>
      <c r="H779" s="7"/>
      <c r="I779" s="19" t="str">
        <f>IF(COUNTIF('Claude vs tools'!$K$2:$P$139,A779)&gt;0,"★ Yes","")</f>
        <v/>
      </c>
    </row>
    <row r="780" spans="1:9" x14ac:dyDescent="0.3">
      <c r="A780" s="18" t="s">
        <v>1180</v>
      </c>
      <c r="B780" s="7"/>
      <c r="C780" s="7" t="s">
        <v>1180</v>
      </c>
      <c r="D780" s="7"/>
      <c r="E780" s="6">
        <f t="shared" si="24"/>
        <v>1</v>
      </c>
      <c r="F780" s="6" t="str">
        <f t="shared" si="25"/>
        <v>Only RAKE</v>
      </c>
      <c r="G780" s="7" t="s">
        <v>2112</v>
      </c>
      <c r="H780" s="7"/>
      <c r="I780" s="19" t="str">
        <f>IF(COUNTIF('Claude vs tools'!$K$2:$P$139,A780)&gt;0,"★ Yes","")</f>
        <v/>
      </c>
    </row>
    <row r="781" spans="1:9" x14ac:dyDescent="0.3">
      <c r="A781" s="18" t="s">
        <v>1181</v>
      </c>
      <c r="B781" s="7"/>
      <c r="C781" s="7" t="s">
        <v>1181</v>
      </c>
      <c r="D781" s="7"/>
      <c r="E781" s="6">
        <f t="shared" si="24"/>
        <v>1</v>
      </c>
      <c r="F781" s="6" t="str">
        <f t="shared" si="25"/>
        <v>Only RAKE</v>
      </c>
      <c r="G781" s="7" t="s">
        <v>2113</v>
      </c>
      <c r="H781" s="7"/>
      <c r="I781" s="19" t="str">
        <f>IF(COUNTIF('Claude vs tools'!$K$2:$P$139,A781)&gt;0,"★ Yes","")</f>
        <v/>
      </c>
    </row>
    <row r="782" spans="1:9" x14ac:dyDescent="0.3">
      <c r="A782" s="18" t="s">
        <v>1182</v>
      </c>
      <c r="B782" s="7"/>
      <c r="C782" s="7" t="s">
        <v>1182</v>
      </c>
      <c r="D782" s="7"/>
      <c r="E782" s="6">
        <f t="shared" si="24"/>
        <v>1</v>
      </c>
      <c r="F782" s="6" t="str">
        <f t="shared" si="25"/>
        <v>Only RAKE</v>
      </c>
      <c r="G782" s="7" t="s">
        <v>2024</v>
      </c>
      <c r="H782" s="7"/>
      <c r="I782" s="19" t="str">
        <f>IF(COUNTIF('Claude vs tools'!$K$2:$P$139,A782)&gt;0,"★ Yes","")</f>
        <v/>
      </c>
    </row>
    <row r="783" spans="1:9" ht="26.4" x14ac:dyDescent="0.3">
      <c r="A783" s="18" t="s">
        <v>1183</v>
      </c>
      <c r="B783" s="7" t="s">
        <v>1183</v>
      </c>
      <c r="C783" s="7"/>
      <c r="D783" s="7"/>
      <c r="E783" s="6">
        <f t="shared" si="24"/>
        <v>1</v>
      </c>
      <c r="F783" s="6" t="str">
        <f t="shared" si="25"/>
        <v>Only Gemini</v>
      </c>
      <c r="G783" s="7" t="s">
        <v>2114</v>
      </c>
      <c r="H783" s="7"/>
      <c r="I783" s="19" t="str">
        <f>IF(COUNTIF('Claude vs tools'!$K$2:$P$139,A783)&gt;0,"★ Yes","")</f>
        <v/>
      </c>
    </row>
    <row r="784" spans="1:9" ht="26.4" x14ac:dyDescent="0.3">
      <c r="A784" s="18" t="s">
        <v>1184</v>
      </c>
      <c r="B784" s="7" t="s">
        <v>1184</v>
      </c>
      <c r="C784" s="7"/>
      <c r="D784" s="7"/>
      <c r="E784" s="6">
        <f t="shared" si="24"/>
        <v>1</v>
      </c>
      <c r="F784" s="6" t="str">
        <f t="shared" si="25"/>
        <v>Only Gemini</v>
      </c>
      <c r="G784" s="7" t="s">
        <v>2115</v>
      </c>
      <c r="H784" s="7"/>
      <c r="I784" s="19" t="str">
        <f>IF(COUNTIF('Claude vs tools'!$K$2:$P$139,A784)&gt;0,"★ Yes","")</f>
        <v/>
      </c>
    </row>
    <row r="785" spans="1:9" ht="39.6" x14ac:dyDescent="0.3">
      <c r="A785" s="18" t="s">
        <v>1185</v>
      </c>
      <c r="B785" s="7"/>
      <c r="C785" s="7"/>
      <c r="D785" s="7" t="s">
        <v>1185</v>
      </c>
      <c r="E785" s="6">
        <f t="shared" si="24"/>
        <v>1</v>
      </c>
      <c r="F785" s="6" t="str">
        <f t="shared" si="25"/>
        <v>Only YAKE</v>
      </c>
      <c r="G785" s="7" t="s">
        <v>2116</v>
      </c>
      <c r="H785" s="7"/>
      <c r="I785" s="19" t="str">
        <f>IF(COUNTIF('Claude vs tools'!$K$2:$P$139,A785)&gt;0,"★ Yes","")</f>
        <v/>
      </c>
    </row>
    <row r="786" spans="1:9" ht="26.4" x14ac:dyDescent="0.3">
      <c r="A786" s="18" t="s">
        <v>1186</v>
      </c>
      <c r="B786" s="7"/>
      <c r="C786" s="7"/>
      <c r="D786" s="7" t="s">
        <v>1186</v>
      </c>
      <c r="E786" s="6">
        <f t="shared" si="24"/>
        <v>1</v>
      </c>
      <c r="F786" s="6" t="str">
        <f t="shared" si="25"/>
        <v>Only YAKE</v>
      </c>
      <c r="G786" s="7" t="s">
        <v>2117</v>
      </c>
      <c r="H786" s="7"/>
      <c r="I786" s="19" t="str">
        <f>IF(COUNTIF('Claude vs tools'!$K$2:$P$139,A786)&gt;0,"★ Yes","")</f>
        <v/>
      </c>
    </row>
    <row r="787" spans="1:9" x14ac:dyDescent="0.3">
      <c r="A787" s="18" t="s">
        <v>1187</v>
      </c>
      <c r="B787" s="7"/>
      <c r="C787" s="7" t="s">
        <v>1187</v>
      </c>
      <c r="D787" s="7"/>
      <c r="E787" s="6">
        <f t="shared" si="24"/>
        <v>1</v>
      </c>
      <c r="F787" s="6" t="str">
        <f t="shared" si="25"/>
        <v>Only RAKE</v>
      </c>
      <c r="G787" s="7" t="s">
        <v>2118</v>
      </c>
      <c r="H787" s="7"/>
      <c r="I787" s="19" t="str">
        <f>IF(COUNTIF('Claude vs tools'!$K$2:$P$139,A787)&gt;0,"★ Yes","")</f>
        <v/>
      </c>
    </row>
    <row r="788" spans="1:9" ht="26.4" x14ac:dyDescent="0.3">
      <c r="A788" s="18" t="s">
        <v>1188</v>
      </c>
      <c r="B788" s="7"/>
      <c r="C788" s="7" t="s">
        <v>1188</v>
      </c>
      <c r="D788" s="7"/>
      <c r="E788" s="6">
        <f t="shared" si="24"/>
        <v>1</v>
      </c>
      <c r="F788" s="6" t="str">
        <f t="shared" si="25"/>
        <v>Only RAKE</v>
      </c>
      <c r="G788" s="7" t="s">
        <v>2119</v>
      </c>
      <c r="H788" s="7"/>
      <c r="I788" s="19" t="str">
        <f>IF(COUNTIF('Claude vs tools'!$K$2:$P$139,A788)&gt;0,"★ Yes","")</f>
        <v/>
      </c>
    </row>
    <row r="789" spans="1:9" ht="26.4" x14ac:dyDescent="0.3">
      <c r="A789" s="18" t="s">
        <v>1189</v>
      </c>
      <c r="B789" s="7"/>
      <c r="C789" s="7" t="s">
        <v>1189</v>
      </c>
      <c r="D789" s="7"/>
      <c r="E789" s="6">
        <f t="shared" si="24"/>
        <v>1</v>
      </c>
      <c r="F789" s="6" t="str">
        <f t="shared" si="25"/>
        <v>Only RAKE</v>
      </c>
      <c r="G789" s="7" t="s">
        <v>2120</v>
      </c>
      <c r="H789" s="7"/>
      <c r="I789" s="19" t="str">
        <f>IF(COUNTIF('Claude vs tools'!$K$2:$P$139,A789)&gt;0,"★ Yes","")</f>
        <v/>
      </c>
    </row>
    <row r="790" spans="1:9" x14ac:dyDescent="0.3">
      <c r="A790" s="18" t="s">
        <v>1190</v>
      </c>
      <c r="B790" s="7"/>
      <c r="C790" s="7" t="s">
        <v>1190</v>
      </c>
      <c r="D790" s="7"/>
      <c r="E790" s="6">
        <f t="shared" si="24"/>
        <v>1</v>
      </c>
      <c r="F790" s="6" t="str">
        <f t="shared" si="25"/>
        <v>Only RAKE</v>
      </c>
      <c r="G790" s="7" t="s">
        <v>1773</v>
      </c>
      <c r="H790" s="7"/>
      <c r="I790" s="19" t="str">
        <f>IF(COUNTIF('Claude vs tools'!$K$2:$P$139,A790)&gt;0,"★ Yes","")</f>
        <v/>
      </c>
    </row>
    <row r="791" spans="1:9" x14ac:dyDescent="0.3">
      <c r="A791" s="18" t="s">
        <v>1191</v>
      </c>
      <c r="B791" s="7"/>
      <c r="C791" s="7" t="s">
        <v>1191</v>
      </c>
      <c r="D791" s="7"/>
      <c r="E791" s="6">
        <f t="shared" si="24"/>
        <v>1</v>
      </c>
      <c r="F791" s="6" t="str">
        <f t="shared" si="25"/>
        <v>Only RAKE</v>
      </c>
      <c r="G791" s="7" t="s">
        <v>2121</v>
      </c>
      <c r="H791" s="7"/>
      <c r="I791" s="19" t="str">
        <f>IF(COUNTIF('Claude vs tools'!$K$2:$P$139,A791)&gt;0,"★ Yes","")</f>
        <v/>
      </c>
    </row>
    <row r="792" spans="1:9" ht="26.4" x14ac:dyDescent="0.3">
      <c r="A792" s="18" t="s">
        <v>1192</v>
      </c>
      <c r="B792" s="7"/>
      <c r="C792" s="7"/>
      <c r="D792" s="7" t="s">
        <v>1192</v>
      </c>
      <c r="E792" s="6">
        <f t="shared" si="24"/>
        <v>1</v>
      </c>
      <c r="F792" s="6" t="str">
        <f t="shared" si="25"/>
        <v>Only YAKE</v>
      </c>
      <c r="G792" s="7" t="s">
        <v>2122</v>
      </c>
      <c r="H792" s="7"/>
      <c r="I792" s="19" t="str">
        <f>IF(COUNTIF('Claude vs tools'!$K$2:$P$139,A792)&gt;0,"★ Yes","")</f>
        <v/>
      </c>
    </row>
    <row r="793" spans="1:9" ht="26.4" x14ac:dyDescent="0.3">
      <c r="A793" s="18" t="s">
        <v>65</v>
      </c>
      <c r="B793" s="7" t="s">
        <v>65</v>
      </c>
      <c r="C793" s="7"/>
      <c r="D793" s="7"/>
      <c r="E793" s="6">
        <f t="shared" si="24"/>
        <v>1</v>
      </c>
      <c r="F793" s="6" t="str">
        <f t="shared" si="25"/>
        <v>Only Gemini</v>
      </c>
      <c r="G793" s="7" t="s">
        <v>2123</v>
      </c>
      <c r="H793" s="7"/>
      <c r="I793" s="19" t="str">
        <f>IF(COUNTIF('Claude vs tools'!$K$2:$P$139,A793)&gt;0,"★ Yes","")</f>
        <v>★ Yes</v>
      </c>
    </row>
    <row r="794" spans="1:9" ht="26.4" x14ac:dyDescent="0.3">
      <c r="A794" s="18" t="s">
        <v>64</v>
      </c>
      <c r="B794" s="7" t="s">
        <v>64</v>
      </c>
      <c r="C794" s="7"/>
      <c r="D794" s="7"/>
      <c r="E794" s="6">
        <f t="shared" si="24"/>
        <v>1</v>
      </c>
      <c r="F794" s="6" t="str">
        <f t="shared" si="25"/>
        <v>Only Gemini</v>
      </c>
      <c r="G794" s="7" t="s">
        <v>2124</v>
      </c>
      <c r="H794" s="7"/>
      <c r="I794" s="19" t="str">
        <f>IF(COUNTIF('Claude vs tools'!$K$2:$P$139,A794)&gt;0,"★ Yes","")</f>
        <v>★ Yes</v>
      </c>
    </row>
    <row r="795" spans="1:9" x14ac:dyDescent="0.3">
      <c r="A795" s="18" t="s">
        <v>1193</v>
      </c>
      <c r="B795" s="7"/>
      <c r="C795" s="7" t="s">
        <v>1193</v>
      </c>
      <c r="D795" s="7"/>
      <c r="E795" s="6">
        <f t="shared" si="24"/>
        <v>1</v>
      </c>
      <c r="F795" s="6" t="str">
        <f t="shared" si="25"/>
        <v>Only RAKE</v>
      </c>
      <c r="G795" s="7" t="s">
        <v>2125</v>
      </c>
      <c r="H795" s="7"/>
      <c r="I795" s="19" t="str">
        <f>IF(COUNTIF('Claude vs tools'!$K$2:$P$139,A795)&gt;0,"★ Yes","")</f>
        <v/>
      </c>
    </row>
    <row r="796" spans="1:9" x14ac:dyDescent="0.3">
      <c r="A796" s="18" t="s">
        <v>1194</v>
      </c>
      <c r="B796" s="7"/>
      <c r="C796" s="7"/>
      <c r="D796" s="7" t="s">
        <v>1194</v>
      </c>
      <c r="E796" s="6">
        <f t="shared" si="24"/>
        <v>1</v>
      </c>
      <c r="F796" s="6" t="str">
        <f t="shared" si="25"/>
        <v>Only YAKE</v>
      </c>
      <c r="G796" s="7" t="s">
        <v>2126</v>
      </c>
      <c r="H796" s="7"/>
      <c r="I796" s="19" t="str">
        <f>IF(COUNTIF('Claude vs tools'!$K$2:$P$139,A796)&gt;0,"★ Yes","")</f>
        <v/>
      </c>
    </row>
    <row r="797" spans="1:9" x14ac:dyDescent="0.3">
      <c r="A797" s="18" t="s">
        <v>1195</v>
      </c>
      <c r="B797" s="7"/>
      <c r="C797" s="7"/>
      <c r="D797" s="7" t="s">
        <v>1195</v>
      </c>
      <c r="E797" s="6">
        <f t="shared" si="24"/>
        <v>1</v>
      </c>
      <c r="F797" s="6" t="str">
        <f t="shared" si="25"/>
        <v>Only YAKE</v>
      </c>
      <c r="G797" s="7" t="s">
        <v>2127</v>
      </c>
      <c r="H797" s="7"/>
      <c r="I797" s="19" t="str">
        <f>IF(COUNTIF('Claude vs tools'!$K$2:$P$139,A797)&gt;0,"★ Yes","")</f>
        <v/>
      </c>
    </row>
    <row r="798" spans="1:9" x14ac:dyDescent="0.3">
      <c r="A798" s="18" t="s">
        <v>1196</v>
      </c>
      <c r="B798" s="7"/>
      <c r="C798" s="7"/>
      <c r="D798" s="7" t="s">
        <v>1196</v>
      </c>
      <c r="E798" s="6">
        <f t="shared" si="24"/>
        <v>1</v>
      </c>
      <c r="F798" s="6" t="str">
        <f t="shared" si="25"/>
        <v>Only YAKE</v>
      </c>
      <c r="G798" s="7" t="s">
        <v>2128</v>
      </c>
      <c r="H798" s="7"/>
      <c r="I798" s="19" t="str">
        <f>IF(COUNTIF('Claude vs tools'!$K$2:$P$139,A798)&gt;0,"★ Yes","")</f>
        <v/>
      </c>
    </row>
    <row r="799" spans="1:9" x14ac:dyDescent="0.3">
      <c r="A799" s="18" t="s">
        <v>1197</v>
      </c>
      <c r="B799" s="7"/>
      <c r="C799" s="7" t="s">
        <v>1197</v>
      </c>
      <c r="D799" s="7"/>
      <c r="E799" s="6">
        <f t="shared" si="24"/>
        <v>1</v>
      </c>
      <c r="F799" s="6" t="str">
        <f t="shared" si="25"/>
        <v>Only RAKE</v>
      </c>
      <c r="G799" s="7" t="s">
        <v>2129</v>
      </c>
      <c r="H799" s="7"/>
      <c r="I799" s="19" t="str">
        <f>IF(COUNTIF('Claude vs tools'!$K$2:$P$139,A799)&gt;0,"★ Yes","")</f>
        <v/>
      </c>
    </row>
    <row r="800" spans="1:9" ht="26.4" x14ac:dyDescent="0.3">
      <c r="A800" s="18" t="s">
        <v>1198</v>
      </c>
      <c r="B800" s="7"/>
      <c r="C800" s="7"/>
      <c r="D800" s="7" t="s">
        <v>1198</v>
      </c>
      <c r="E800" s="6">
        <f t="shared" si="24"/>
        <v>1</v>
      </c>
      <c r="F800" s="6" t="str">
        <f t="shared" si="25"/>
        <v>Only YAKE</v>
      </c>
      <c r="G800" s="7" t="s">
        <v>2130</v>
      </c>
      <c r="H800" s="7"/>
      <c r="I800" s="19" t="str">
        <f>IF(COUNTIF('Claude vs tools'!$K$2:$P$139,A800)&gt;0,"★ Yes","")</f>
        <v/>
      </c>
    </row>
    <row r="801" spans="1:9" x14ac:dyDescent="0.3">
      <c r="A801" s="18" t="s">
        <v>1199</v>
      </c>
      <c r="B801" s="7"/>
      <c r="C801" s="7"/>
      <c r="D801" s="7" t="s">
        <v>1199</v>
      </c>
      <c r="E801" s="6">
        <f t="shared" si="24"/>
        <v>1</v>
      </c>
      <c r="F801" s="6" t="str">
        <f t="shared" si="25"/>
        <v>Only YAKE</v>
      </c>
      <c r="G801" s="7" t="s">
        <v>2066</v>
      </c>
      <c r="H801" s="7"/>
      <c r="I801" s="19" t="str">
        <f>IF(COUNTIF('Claude vs tools'!$K$2:$P$139,A801)&gt;0,"★ Yes","")</f>
        <v/>
      </c>
    </row>
    <row r="802" spans="1:9" x14ac:dyDescent="0.3">
      <c r="A802" s="18" t="s">
        <v>1200</v>
      </c>
      <c r="B802" s="7"/>
      <c r="C802" s="7"/>
      <c r="D802" s="7" t="s">
        <v>1200</v>
      </c>
      <c r="E802" s="6">
        <f t="shared" si="24"/>
        <v>1</v>
      </c>
      <c r="F802" s="6" t="str">
        <f t="shared" si="25"/>
        <v>Only YAKE</v>
      </c>
      <c r="G802" s="7" t="s">
        <v>2131</v>
      </c>
      <c r="H802" s="7"/>
      <c r="I802" s="19" t="str">
        <f>IF(COUNTIF('Claude vs tools'!$K$2:$P$139,A802)&gt;0,"★ Yes","")</f>
        <v/>
      </c>
    </row>
    <row r="803" spans="1:9" x14ac:dyDescent="0.3">
      <c r="A803" s="18" t="s">
        <v>1201</v>
      </c>
      <c r="B803" s="7"/>
      <c r="C803" s="7"/>
      <c r="D803" s="7" t="s">
        <v>1201</v>
      </c>
      <c r="E803" s="6">
        <f t="shared" si="24"/>
        <v>1</v>
      </c>
      <c r="F803" s="6" t="str">
        <f t="shared" si="25"/>
        <v>Only YAKE</v>
      </c>
      <c r="G803" s="7" t="s">
        <v>2132</v>
      </c>
      <c r="H803" s="7"/>
      <c r="I803" s="19" t="str">
        <f>IF(COUNTIF('Claude vs tools'!$K$2:$P$139,A803)&gt;0,"★ Yes","")</f>
        <v/>
      </c>
    </row>
    <row r="804" spans="1:9" x14ac:dyDescent="0.3">
      <c r="A804" s="18" t="s">
        <v>1202</v>
      </c>
      <c r="B804" s="7"/>
      <c r="C804" s="7"/>
      <c r="D804" s="7" t="s">
        <v>1202</v>
      </c>
      <c r="E804" s="6">
        <f t="shared" si="24"/>
        <v>1</v>
      </c>
      <c r="F804" s="6" t="str">
        <f t="shared" si="25"/>
        <v>Only YAKE</v>
      </c>
      <c r="G804" s="7" t="s">
        <v>795</v>
      </c>
      <c r="H804" s="7"/>
      <c r="I804" s="19" t="str">
        <f>IF(COUNTIF('Claude vs tools'!$K$2:$P$139,A804)&gt;0,"★ Yes","")</f>
        <v/>
      </c>
    </row>
    <row r="805" spans="1:9" x14ac:dyDescent="0.3">
      <c r="A805" s="18" t="s">
        <v>1203</v>
      </c>
      <c r="B805" s="7"/>
      <c r="C805" s="7"/>
      <c r="D805" s="7" t="s">
        <v>1203</v>
      </c>
      <c r="E805" s="6">
        <f t="shared" si="24"/>
        <v>1</v>
      </c>
      <c r="F805" s="6" t="str">
        <f t="shared" si="25"/>
        <v>Only YAKE</v>
      </c>
      <c r="G805" s="7" t="s">
        <v>2133</v>
      </c>
      <c r="H805" s="7"/>
      <c r="I805" s="19" t="str">
        <f>IF(COUNTIF('Claude vs tools'!$K$2:$P$139,A805)&gt;0,"★ Yes","")</f>
        <v/>
      </c>
    </row>
    <row r="806" spans="1:9" x14ac:dyDescent="0.3">
      <c r="A806" s="18" t="s">
        <v>1204</v>
      </c>
      <c r="B806" s="7"/>
      <c r="C806" s="7"/>
      <c r="D806" s="7" t="s">
        <v>1204</v>
      </c>
      <c r="E806" s="6">
        <f t="shared" si="24"/>
        <v>1</v>
      </c>
      <c r="F806" s="6" t="str">
        <f t="shared" si="25"/>
        <v>Only YAKE</v>
      </c>
      <c r="G806" s="7" t="s">
        <v>795</v>
      </c>
      <c r="H806" s="7"/>
      <c r="I806" s="19" t="str">
        <f>IF(COUNTIF('Claude vs tools'!$K$2:$P$139,A806)&gt;0,"★ Yes","")</f>
        <v/>
      </c>
    </row>
    <row r="807" spans="1:9" x14ac:dyDescent="0.3">
      <c r="A807" s="18" t="s">
        <v>1205</v>
      </c>
      <c r="B807" s="7"/>
      <c r="C807" s="7"/>
      <c r="D807" s="7" t="s">
        <v>1205</v>
      </c>
      <c r="E807" s="6">
        <f t="shared" si="24"/>
        <v>1</v>
      </c>
      <c r="F807" s="6" t="str">
        <f t="shared" si="25"/>
        <v>Only YAKE</v>
      </c>
      <c r="G807" s="7" t="s">
        <v>2134</v>
      </c>
      <c r="H807" s="7"/>
      <c r="I807" s="19" t="str">
        <f>IF(COUNTIF('Claude vs tools'!$K$2:$P$139,A807)&gt;0,"★ Yes","")</f>
        <v/>
      </c>
    </row>
    <row r="808" spans="1:9" x14ac:dyDescent="0.3">
      <c r="A808" s="18" t="s">
        <v>1206</v>
      </c>
      <c r="B808" s="7"/>
      <c r="C808" s="7"/>
      <c r="D808" s="7" t="s">
        <v>1206</v>
      </c>
      <c r="E808" s="6">
        <f t="shared" si="24"/>
        <v>1</v>
      </c>
      <c r="F808" s="6" t="str">
        <f t="shared" si="25"/>
        <v>Only YAKE</v>
      </c>
      <c r="G808" s="7" t="s">
        <v>2135</v>
      </c>
      <c r="H808" s="7"/>
      <c r="I808" s="19" t="str">
        <f>IF(COUNTIF('Claude vs tools'!$K$2:$P$139,A808)&gt;0,"★ Yes","")</f>
        <v/>
      </c>
    </row>
    <row r="809" spans="1:9" x14ac:dyDescent="0.3">
      <c r="A809" s="18" t="s">
        <v>1207</v>
      </c>
      <c r="B809" s="7" t="s">
        <v>1207</v>
      </c>
      <c r="C809" s="7"/>
      <c r="D809" s="7"/>
      <c r="E809" s="6">
        <f t="shared" si="24"/>
        <v>1</v>
      </c>
      <c r="F809" s="6" t="str">
        <f t="shared" si="25"/>
        <v>Only Gemini</v>
      </c>
      <c r="G809" s="7" t="s">
        <v>2136</v>
      </c>
      <c r="H809" s="7"/>
      <c r="I809" s="19" t="str">
        <f>IF(COUNTIF('Claude vs tools'!$K$2:$P$139,A809)&gt;0,"★ Yes","")</f>
        <v/>
      </c>
    </row>
    <row r="810" spans="1:9" x14ac:dyDescent="0.3">
      <c r="A810" s="18" t="s">
        <v>1208</v>
      </c>
      <c r="B810" s="7"/>
      <c r="C810" s="7" t="s">
        <v>1208</v>
      </c>
      <c r="D810" s="7"/>
      <c r="E810" s="6">
        <f t="shared" si="24"/>
        <v>1</v>
      </c>
      <c r="F810" s="6" t="str">
        <f t="shared" si="25"/>
        <v>Only RAKE</v>
      </c>
      <c r="G810" s="7" t="s">
        <v>2137</v>
      </c>
      <c r="H810" s="7"/>
      <c r="I810" s="19" t="str">
        <f>IF(COUNTIF('Claude vs tools'!$K$2:$P$139,A810)&gt;0,"★ Yes","")</f>
        <v/>
      </c>
    </row>
    <row r="811" spans="1:9" x14ac:dyDescent="0.3">
      <c r="A811" s="18" t="s">
        <v>2138</v>
      </c>
      <c r="B811" s="7"/>
      <c r="C811" s="7" t="s">
        <v>2139</v>
      </c>
      <c r="D811" s="7"/>
      <c r="E811" s="6">
        <f t="shared" si="24"/>
        <v>1</v>
      </c>
      <c r="F811" s="6" t="str">
        <f t="shared" si="25"/>
        <v>Only RAKE</v>
      </c>
      <c r="G811" s="7" t="s">
        <v>795</v>
      </c>
      <c r="H811" s="7"/>
      <c r="I811" s="19" t="str">
        <f>IF(COUNTIF('Claude vs tools'!$K$2:$P$139,A811)&gt;0,"★ Yes","")</f>
        <v/>
      </c>
    </row>
    <row r="812" spans="1:9" x14ac:dyDescent="0.3">
      <c r="A812" s="18" t="s">
        <v>1210</v>
      </c>
      <c r="B812" s="7"/>
      <c r="C812" s="7" t="s">
        <v>1210</v>
      </c>
      <c r="D812" s="7"/>
      <c r="E812" s="6">
        <f t="shared" si="24"/>
        <v>1</v>
      </c>
      <c r="F812" s="6" t="str">
        <f t="shared" si="25"/>
        <v>Only RAKE</v>
      </c>
      <c r="G812" s="7" t="s">
        <v>2140</v>
      </c>
      <c r="H812" s="7"/>
      <c r="I812" s="19" t="str">
        <f>IF(COUNTIF('Claude vs tools'!$K$2:$P$139,A812)&gt;0,"★ Yes","")</f>
        <v/>
      </c>
    </row>
    <row r="813" spans="1:9" x14ac:dyDescent="0.3">
      <c r="A813" s="18" t="s">
        <v>334</v>
      </c>
      <c r="B813" s="7"/>
      <c r="C813" s="7" t="s">
        <v>334</v>
      </c>
      <c r="D813" s="7"/>
      <c r="E813" s="6">
        <f t="shared" si="24"/>
        <v>1</v>
      </c>
      <c r="F813" s="6" t="str">
        <f t="shared" si="25"/>
        <v>Only RAKE</v>
      </c>
      <c r="G813" s="7" t="s">
        <v>2141</v>
      </c>
      <c r="H813" s="7"/>
      <c r="I813" s="19" t="str">
        <f>IF(COUNTIF('Claude vs tools'!$K$2:$P$139,A813)&gt;0,"★ Yes","")</f>
        <v>★ Yes</v>
      </c>
    </row>
    <row r="814" spans="1:9" x14ac:dyDescent="0.3">
      <c r="A814" s="18" t="s">
        <v>1211</v>
      </c>
      <c r="B814" s="7" t="s">
        <v>1211</v>
      </c>
      <c r="C814" s="7"/>
      <c r="D814" s="7"/>
      <c r="E814" s="6">
        <f t="shared" si="24"/>
        <v>1</v>
      </c>
      <c r="F814" s="6" t="str">
        <f t="shared" si="25"/>
        <v>Only Gemini</v>
      </c>
      <c r="G814" s="7" t="s">
        <v>2142</v>
      </c>
      <c r="H814" s="7"/>
      <c r="I814" s="19" t="str">
        <f>IF(COUNTIF('Claude vs tools'!$K$2:$P$139,A814)&gt;0,"★ Yes","")</f>
        <v/>
      </c>
    </row>
    <row r="815" spans="1:9" x14ac:dyDescent="0.3">
      <c r="A815" s="18" t="s">
        <v>127</v>
      </c>
      <c r="B815" s="7"/>
      <c r="C815" s="7" t="s">
        <v>127</v>
      </c>
      <c r="D815" s="7"/>
      <c r="E815" s="6">
        <f t="shared" si="24"/>
        <v>1</v>
      </c>
      <c r="F815" s="6" t="str">
        <f t="shared" si="25"/>
        <v>Only RAKE</v>
      </c>
      <c r="G815" s="7" t="s">
        <v>795</v>
      </c>
      <c r="H815" s="7"/>
      <c r="I815" s="19" t="str">
        <f>IF(COUNTIF('Claude vs tools'!$K$2:$P$139,A815)&gt;0,"★ Yes","")</f>
        <v>★ Yes</v>
      </c>
    </row>
    <row r="816" spans="1:9" x14ac:dyDescent="0.3">
      <c r="A816" s="18" t="s">
        <v>1212</v>
      </c>
      <c r="B816" s="7"/>
      <c r="C816" s="7" t="s">
        <v>1212</v>
      </c>
      <c r="D816" s="7"/>
      <c r="E816" s="6">
        <f t="shared" si="24"/>
        <v>1</v>
      </c>
      <c r="F816" s="6" t="str">
        <f t="shared" si="25"/>
        <v>Only RAKE</v>
      </c>
      <c r="G816" s="7" t="s">
        <v>2143</v>
      </c>
      <c r="H816" s="7"/>
      <c r="I816" s="19" t="str">
        <f>IF(COUNTIF('Claude vs tools'!$K$2:$P$139,A816)&gt;0,"★ Yes","")</f>
        <v/>
      </c>
    </row>
    <row r="817" spans="1:9" x14ac:dyDescent="0.3">
      <c r="A817" s="18" t="s">
        <v>1213</v>
      </c>
      <c r="B817" s="7"/>
      <c r="C817" s="7"/>
      <c r="D817" s="7" t="s">
        <v>1213</v>
      </c>
      <c r="E817" s="6">
        <f t="shared" si="24"/>
        <v>1</v>
      </c>
      <c r="F817" s="6" t="str">
        <f t="shared" si="25"/>
        <v>Only YAKE</v>
      </c>
      <c r="G817" s="7" t="s">
        <v>2144</v>
      </c>
      <c r="H817" s="7"/>
      <c r="I817" s="19" t="str">
        <f>IF(COUNTIF('Claude vs tools'!$K$2:$P$139,A817)&gt;0,"★ Yes","")</f>
        <v/>
      </c>
    </row>
    <row r="818" spans="1:9" x14ac:dyDescent="0.3">
      <c r="A818" s="18" t="s">
        <v>1214</v>
      </c>
      <c r="B818" s="7"/>
      <c r="C818" s="7" t="s">
        <v>1214</v>
      </c>
      <c r="D818" s="7"/>
      <c r="E818" s="6">
        <f t="shared" si="24"/>
        <v>1</v>
      </c>
      <c r="F818" s="6" t="str">
        <f t="shared" si="25"/>
        <v>Only RAKE</v>
      </c>
      <c r="G818" s="7" t="s">
        <v>2145</v>
      </c>
      <c r="H818" s="7"/>
      <c r="I818" s="19" t="str">
        <f>IF(COUNTIF('Claude vs tools'!$K$2:$P$139,A818)&gt;0,"★ Yes","")</f>
        <v/>
      </c>
    </row>
    <row r="819" spans="1:9" x14ac:dyDescent="0.3">
      <c r="A819" s="18" t="s">
        <v>319</v>
      </c>
      <c r="B819" s="7"/>
      <c r="C819" s="7" t="s">
        <v>319</v>
      </c>
      <c r="D819" s="7"/>
      <c r="E819" s="6">
        <f t="shared" si="24"/>
        <v>1</v>
      </c>
      <c r="F819" s="6" t="str">
        <f t="shared" si="25"/>
        <v>Only RAKE</v>
      </c>
      <c r="G819" s="7" t="s">
        <v>2146</v>
      </c>
      <c r="H819" s="7"/>
      <c r="I819" s="19" t="str">
        <f>IF(COUNTIF('Claude vs tools'!$K$2:$P$139,A819)&gt;0,"★ Yes","")</f>
        <v>★ Yes</v>
      </c>
    </row>
    <row r="820" spans="1:9" x14ac:dyDescent="0.3">
      <c r="A820" s="18" t="s">
        <v>1215</v>
      </c>
      <c r="B820" s="7"/>
      <c r="C820" s="7" t="s">
        <v>1215</v>
      </c>
      <c r="D820" s="7"/>
      <c r="E820" s="6">
        <f t="shared" si="24"/>
        <v>1</v>
      </c>
      <c r="F820" s="6" t="str">
        <f t="shared" si="25"/>
        <v>Only RAKE</v>
      </c>
      <c r="G820" s="7" t="s">
        <v>2147</v>
      </c>
      <c r="H820" s="7"/>
      <c r="I820" s="19" t="str">
        <f>IF(COUNTIF('Claude vs tools'!$K$2:$P$139,A820)&gt;0,"★ Yes","")</f>
        <v/>
      </c>
    </row>
    <row r="821" spans="1:9" x14ac:dyDescent="0.3">
      <c r="A821" s="18" t="s">
        <v>1216</v>
      </c>
      <c r="B821" s="7"/>
      <c r="C821" s="7"/>
      <c r="D821" s="7" t="s">
        <v>1216</v>
      </c>
      <c r="E821" s="6">
        <f t="shared" si="24"/>
        <v>1</v>
      </c>
      <c r="F821" s="6" t="str">
        <f t="shared" si="25"/>
        <v>Only YAKE</v>
      </c>
      <c r="G821" s="7" t="s">
        <v>1947</v>
      </c>
      <c r="H821" s="7"/>
      <c r="I821" s="19" t="str">
        <f>IF(COUNTIF('Claude vs tools'!$K$2:$P$139,A821)&gt;0,"★ Yes","")</f>
        <v/>
      </c>
    </row>
    <row r="822" spans="1:9" ht="26.4" x14ac:dyDescent="0.3">
      <c r="A822" s="18" t="s">
        <v>1217</v>
      </c>
      <c r="B822" s="7"/>
      <c r="C822" s="7" t="s">
        <v>1217</v>
      </c>
      <c r="D822" s="7"/>
      <c r="E822" s="6">
        <f t="shared" si="24"/>
        <v>1</v>
      </c>
      <c r="F822" s="6" t="str">
        <f t="shared" si="25"/>
        <v>Only RAKE</v>
      </c>
      <c r="G822" s="7" t="s">
        <v>2148</v>
      </c>
      <c r="H822" s="7"/>
      <c r="I822" s="19" t="str">
        <f>IF(COUNTIF('Claude vs tools'!$K$2:$P$139,A822)&gt;0,"★ Yes","")</f>
        <v/>
      </c>
    </row>
    <row r="823" spans="1:9" x14ac:dyDescent="0.3">
      <c r="A823" s="18" t="s">
        <v>1218</v>
      </c>
      <c r="B823" s="7"/>
      <c r="C823" s="7" t="s">
        <v>1218</v>
      </c>
      <c r="D823" s="7"/>
      <c r="E823" s="6">
        <f t="shared" si="24"/>
        <v>1</v>
      </c>
      <c r="F823" s="6" t="str">
        <f t="shared" si="25"/>
        <v>Only RAKE</v>
      </c>
      <c r="G823" s="7" t="s">
        <v>1947</v>
      </c>
      <c r="H823" s="7"/>
      <c r="I823" s="19" t="str">
        <f>IF(COUNTIF('Claude vs tools'!$K$2:$P$139,A823)&gt;0,"★ Yes","")</f>
        <v/>
      </c>
    </row>
    <row r="824" spans="1:9" x14ac:dyDescent="0.3">
      <c r="A824" s="18" t="s">
        <v>1219</v>
      </c>
      <c r="B824" s="7"/>
      <c r="C824" s="7" t="s">
        <v>1219</v>
      </c>
      <c r="D824" s="7"/>
      <c r="E824" s="6">
        <f t="shared" si="24"/>
        <v>1</v>
      </c>
      <c r="F824" s="6" t="str">
        <f t="shared" si="25"/>
        <v>Only RAKE</v>
      </c>
      <c r="G824" s="7" t="s">
        <v>795</v>
      </c>
      <c r="H824" s="7"/>
      <c r="I824" s="19" t="str">
        <f>IF(COUNTIF('Claude vs tools'!$K$2:$P$139,A824)&gt;0,"★ Yes","")</f>
        <v/>
      </c>
    </row>
    <row r="825" spans="1:9" ht="26.4" x14ac:dyDescent="0.3">
      <c r="A825" s="18" t="s">
        <v>383</v>
      </c>
      <c r="B825" s="7"/>
      <c r="C825" s="7"/>
      <c r="D825" s="7" t="s">
        <v>383</v>
      </c>
      <c r="E825" s="6">
        <f t="shared" si="24"/>
        <v>1</v>
      </c>
      <c r="F825" s="6" t="str">
        <f t="shared" si="25"/>
        <v>Only YAKE</v>
      </c>
      <c r="G825" s="7" t="s">
        <v>2149</v>
      </c>
      <c r="H825" s="7"/>
      <c r="I825" s="19" t="str">
        <f>IF(COUNTIF('Claude vs tools'!$K$2:$P$139,A825)&gt;0,"★ Yes","")</f>
        <v>★ Yes</v>
      </c>
    </row>
    <row r="826" spans="1:9" ht="26.4" x14ac:dyDescent="0.3">
      <c r="A826" s="18" t="s">
        <v>1220</v>
      </c>
      <c r="B826" s="7"/>
      <c r="C826" s="7"/>
      <c r="D826" s="7" t="s">
        <v>1220</v>
      </c>
      <c r="E826" s="6">
        <f t="shared" si="24"/>
        <v>1</v>
      </c>
      <c r="F826" s="6" t="str">
        <f t="shared" si="25"/>
        <v>Only YAKE</v>
      </c>
      <c r="G826" s="7" t="s">
        <v>2150</v>
      </c>
      <c r="H826" s="7"/>
      <c r="I826" s="19" t="str">
        <f>IF(COUNTIF('Claude vs tools'!$K$2:$P$139,A826)&gt;0,"★ Yes","")</f>
        <v/>
      </c>
    </row>
    <row r="827" spans="1:9" x14ac:dyDescent="0.3">
      <c r="A827" s="18" t="s">
        <v>1221</v>
      </c>
      <c r="B827" s="7"/>
      <c r="C827" s="7" t="s">
        <v>1221</v>
      </c>
      <c r="D827" s="7"/>
      <c r="E827" s="6">
        <f t="shared" si="24"/>
        <v>1</v>
      </c>
      <c r="F827" s="6" t="str">
        <f t="shared" si="25"/>
        <v>Only RAKE</v>
      </c>
      <c r="G827" s="7" t="s">
        <v>2151</v>
      </c>
      <c r="H827" s="7"/>
      <c r="I827" s="19" t="str">
        <f>IF(COUNTIF('Claude vs tools'!$K$2:$P$139,A827)&gt;0,"★ Yes","")</f>
        <v/>
      </c>
    </row>
    <row r="828" spans="1:9" x14ac:dyDescent="0.3">
      <c r="A828" s="18" t="s">
        <v>1222</v>
      </c>
      <c r="B828" s="7"/>
      <c r="C828" s="7"/>
      <c r="D828" s="7" t="s">
        <v>1222</v>
      </c>
      <c r="E828" s="6">
        <f t="shared" si="24"/>
        <v>1</v>
      </c>
      <c r="F828" s="6" t="str">
        <f t="shared" si="25"/>
        <v>Only YAKE</v>
      </c>
      <c r="G828" s="7" t="s">
        <v>2152</v>
      </c>
      <c r="H828" s="7"/>
      <c r="I828" s="19" t="str">
        <f>IF(COUNTIF('Claude vs tools'!$K$2:$P$139,A828)&gt;0,"★ Yes","")</f>
        <v/>
      </c>
    </row>
    <row r="829" spans="1:9" x14ac:dyDescent="0.3">
      <c r="A829" s="18" t="s">
        <v>1223</v>
      </c>
      <c r="B829" s="7"/>
      <c r="C829" s="7" t="s">
        <v>1223</v>
      </c>
      <c r="D829" s="7"/>
      <c r="E829" s="6">
        <f t="shared" si="24"/>
        <v>1</v>
      </c>
      <c r="F829" s="6" t="str">
        <f t="shared" si="25"/>
        <v>Only RAKE</v>
      </c>
      <c r="G829" s="7" t="s">
        <v>2153</v>
      </c>
      <c r="H829" s="7"/>
      <c r="I829" s="19" t="str">
        <f>IF(COUNTIF('Claude vs tools'!$K$2:$P$139,A829)&gt;0,"★ Yes","")</f>
        <v/>
      </c>
    </row>
    <row r="830" spans="1:9" x14ac:dyDescent="0.3">
      <c r="A830" s="18" t="s">
        <v>1224</v>
      </c>
      <c r="B830" s="7"/>
      <c r="C830" s="7" t="s">
        <v>1224</v>
      </c>
      <c r="D830" s="7"/>
      <c r="E830" s="6">
        <f t="shared" si="24"/>
        <v>1</v>
      </c>
      <c r="F830" s="6" t="str">
        <f t="shared" si="25"/>
        <v>Only RAKE</v>
      </c>
      <c r="G830" s="7" t="s">
        <v>2154</v>
      </c>
      <c r="H830" s="7"/>
      <c r="I830" s="19" t="str">
        <f>IF(COUNTIF('Claude vs tools'!$K$2:$P$139,A830)&gt;0,"★ Yes","")</f>
        <v/>
      </c>
    </row>
    <row r="831" spans="1:9" ht="39.6" x14ac:dyDescent="0.3">
      <c r="A831" s="18" t="s">
        <v>1225</v>
      </c>
      <c r="B831" s="7"/>
      <c r="C831" s="7"/>
      <c r="D831" s="7" t="s">
        <v>1225</v>
      </c>
      <c r="E831" s="6">
        <f t="shared" si="24"/>
        <v>1</v>
      </c>
      <c r="F831" s="6" t="str">
        <f t="shared" si="25"/>
        <v>Only YAKE</v>
      </c>
      <c r="G831" s="7" t="s">
        <v>2155</v>
      </c>
      <c r="H831" s="7"/>
      <c r="I831" s="19" t="str">
        <f>IF(COUNTIF('Claude vs tools'!$K$2:$P$139,A831)&gt;0,"★ Yes","")</f>
        <v/>
      </c>
    </row>
    <row r="832" spans="1:9" x14ac:dyDescent="0.3">
      <c r="A832" s="18" t="s">
        <v>1226</v>
      </c>
      <c r="B832" s="7"/>
      <c r="C832" s="7"/>
      <c r="D832" s="7" t="s">
        <v>1226</v>
      </c>
      <c r="E832" s="6">
        <f t="shared" si="24"/>
        <v>1</v>
      </c>
      <c r="F832" s="6" t="str">
        <f t="shared" si="25"/>
        <v>Only YAKE</v>
      </c>
      <c r="G832" s="7" t="s">
        <v>2156</v>
      </c>
      <c r="H832" s="7"/>
      <c r="I832" s="19" t="str">
        <f>IF(COUNTIF('Claude vs tools'!$K$2:$P$139,A832)&gt;0,"★ Yes","")</f>
        <v/>
      </c>
    </row>
    <row r="833" spans="1:9" ht="26.4" x14ac:dyDescent="0.3">
      <c r="A833" s="18" t="s">
        <v>489</v>
      </c>
      <c r="B833" s="7"/>
      <c r="C833" s="7" t="s">
        <v>489</v>
      </c>
      <c r="D833" s="7"/>
      <c r="E833" s="6">
        <f t="shared" si="24"/>
        <v>1</v>
      </c>
      <c r="F833" s="6" t="str">
        <f t="shared" si="25"/>
        <v>Only RAKE</v>
      </c>
      <c r="G833" s="7" t="s">
        <v>1753</v>
      </c>
      <c r="H833" s="7"/>
      <c r="I833" s="19" t="str">
        <f>IF(COUNTIF('Claude vs tools'!$K$2:$P$139,A833)&gt;0,"★ Yes","")</f>
        <v>★ Yes</v>
      </c>
    </row>
    <row r="834" spans="1:9" x14ac:dyDescent="0.3">
      <c r="A834" s="18" t="s">
        <v>1227</v>
      </c>
      <c r="B834" s="7"/>
      <c r="C834" s="7" t="s">
        <v>1227</v>
      </c>
      <c r="D834" s="7"/>
      <c r="E834" s="6">
        <f t="shared" ref="E834:E897" si="26">COUNTA(B834:D834)</f>
        <v>1</v>
      </c>
      <c r="F834" s="6" t="str">
        <f t="shared" ref="F834:F897" si="27">IF(E834=3,"All three",IF(E834=2,SUBSTITUTE(TRIM(IF(B834&lt;&gt;"","Gemini ","")&amp;IF(C834&lt;&gt;"","RAKE ","")&amp;IF(D834&lt;&gt;"","YAKE",""))," "," + "),"Only "&amp;TRIM(IF(B834&lt;&gt;"","Gemini","")&amp;IF(C834&lt;&gt;"","RAKE","")&amp;IF(D834&lt;&gt;"","YAKE",""))))</f>
        <v>Only RAKE</v>
      </c>
      <c r="G834" s="7" t="s">
        <v>1667</v>
      </c>
      <c r="H834" s="7"/>
      <c r="I834" s="19" t="str">
        <f>IF(COUNTIF('Claude vs tools'!$K$2:$P$139,A834)&gt;0,"★ Yes","")</f>
        <v/>
      </c>
    </row>
    <row r="835" spans="1:9" x14ac:dyDescent="0.3">
      <c r="A835" s="18" t="s">
        <v>1228</v>
      </c>
      <c r="B835" s="7"/>
      <c r="C835" s="7" t="s">
        <v>1228</v>
      </c>
      <c r="D835" s="7"/>
      <c r="E835" s="6">
        <f t="shared" si="26"/>
        <v>1</v>
      </c>
      <c r="F835" s="6" t="str">
        <f t="shared" si="27"/>
        <v>Only RAKE</v>
      </c>
      <c r="G835" s="7" t="s">
        <v>795</v>
      </c>
      <c r="H835" s="7"/>
      <c r="I835" s="19" t="str">
        <f>IF(COUNTIF('Claude vs tools'!$K$2:$P$139,A835)&gt;0,"★ Yes","")</f>
        <v/>
      </c>
    </row>
    <row r="836" spans="1:9" x14ac:dyDescent="0.3">
      <c r="A836" s="18" t="s">
        <v>1229</v>
      </c>
      <c r="B836" s="7"/>
      <c r="C836" s="7"/>
      <c r="D836" s="7" t="s">
        <v>1229</v>
      </c>
      <c r="E836" s="6">
        <f t="shared" si="26"/>
        <v>1</v>
      </c>
      <c r="F836" s="6" t="str">
        <f t="shared" si="27"/>
        <v>Only YAKE</v>
      </c>
      <c r="G836" s="7" t="s">
        <v>2157</v>
      </c>
      <c r="H836" s="7"/>
      <c r="I836" s="19" t="str">
        <f>IF(COUNTIF('Claude vs tools'!$K$2:$P$139,A836)&gt;0,"★ Yes","")</f>
        <v/>
      </c>
    </row>
    <row r="837" spans="1:9" x14ac:dyDescent="0.3">
      <c r="A837" s="18" t="s">
        <v>1230</v>
      </c>
      <c r="B837" s="7"/>
      <c r="C837" s="7"/>
      <c r="D837" s="7" t="s">
        <v>1230</v>
      </c>
      <c r="E837" s="6">
        <f t="shared" si="26"/>
        <v>1</v>
      </c>
      <c r="F837" s="6" t="str">
        <f t="shared" si="27"/>
        <v>Only YAKE</v>
      </c>
      <c r="G837" s="7" t="s">
        <v>2158</v>
      </c>
      <c r="H837" s="7"/>
      <c r="I837" s="19" t="str">
        <f>IF(COUNTIF('Claude vs tools'!$K$2:$P$139,A837)&gt;0,"★ Yes","")</f>
        <v/>
      </c>
    </row>
    <row r="838" spans="1:9" x14ac:dyDescent="0.3">
      <c r="A838" s="18" t="s">
        <v>1231</v>
      </c>
      <c r="B838" s="7"/>
      <c r="C838" s="7" t="s">
        <v>1231</v>
      </c>
      <c r="D838" s="7"/>
      <c r="E838" s="6">
        <f t="shared" si="26"/>
        <v>1</v>
      </c>
      <c r="F838" s="6" t="str">
        <f t="shared" si="27"/>
        <v>Only RAKE</v>
      </c>
      <c r="G838" s="7" t="s">
        <v>795</v>
      </c>
      <c r="H838" s="7"/>
      <c r="I838" s="19" t="str">
        <f>IF(COUNTIF('Claude vs tools'!$K$2:$P$139,A838)&gt;0,"★ Yes","")</f>
        <v/>
      </c>
    </row>
    <row r="839" spans="1:9" x14ac:dyDescent="0.3">
      <c r="A839" s="18" t="s">
        <v>1232</v>
      </c>
      <c r="B839" s="7"/>
      <c r="C839" s="7" t="s">
        <v>1232</v>
      </c>
      <c r="D839" s="7"/>
      <c r="E839" s="6">
        <f t="shared" si="26"/>
        <v>1</v>
      </c>
      <c r="F839" s="6" t="str">
        <f t="shared" si="27"/>
        <v>Only RAKE</v>
      </c>
      <c r="G839" s="7" t="s">
        <v>1636</v>
      </c>
      <c r="H839" s="7"/>
      <c r="I839" s="19" t="str">
        <f>IF(COUNTIF('Claude vs tools'!$K$2:$P$139,A839)&gt;0,"★ Yes","")</f>
        <v/>
      </c>
    </row>
    <row r="840" spans="1:9" x14ac:dyDescent="0.3">
      <c r="A840" s="18" t="s">
        <v>1233</v>
      </c>
      <c r="B840" s="7"/>
      <c r="C840" s="7" t="s">
        <v>1233</v>
      </c>
      <c r="D840" s="7"/>
      <c r="E840" s="6">
        <f t="shared" si="26"/>
        <v>1</v>
      </c>
      <c r="F840" s="6" t="str">
        <f t="shared" si="27"/>
        <v>Only RAKE</v>
      </c>
      <c r="G840" s="7" t="s">
        <v>795</v>
      </c>
      <c r="H840" s="7"/>
      <c r="I840" s="19" t="str">
        <f>IF(COUNTIF('Claude vs tools'!$K$2:$P$139,A840)&gt;0,"★ Yes","")</f>
        <v/>
      </c>
    </row>
    <row r="841" spans="1:9" x14ac:dyDescent="0.3">
      <c r="A841" s="18" t="s">
        <v>1234</v>
      </c>
      <c r="B841" s="7"/>
      <c r="C841" s="7" t="s">
        <v>1234</v>
      </c>
      <c r="D841" s="7"/>
      <c r="E841" s="6">
        <f t="shared" si="26"/>
        <v>1</v>
      </c>
      <c r="F841" s="6" t="str">
        <f t="shared" si="27"/>
        <v>Only RAKE</v>
      </c>
      <c r="G841" s="7" t="s">
        <v>795</v>
      </c>
      <c r="H841" s="7" t="s">
        <v>808</v>
      </c>
      <c r="I841" s="19" t="str">
        <f>IF(COUNTIF('Claude vs tools'!$K$2:$P$139,A841)&gt;0,"★ Yes","")</f>
        <v/>
      </c>
    </row>
    <row r="842" spans="1:9" ht="26.4" x14ac:dyDescent="0.3">
      <c r="A842" s="18" t="s">
        <v>1235</v>
      </c>
      <c r="B842" s="7"/>
      <c r="C842" s="7" t="s">
        <v>1235</v>
      </c>
      <c r="D842" s="7"/>
      <c r="E842" s="6">
        <f t="shared" si="26"/>
        <v>1</v>
      </c>
      <c r="F842" s="6" t="str">
        <f t="shared" si="27"/>
        <v>Only RAKE</v>
      </c>
      <c r="G842" s="7" t="s">
        <v>2159</v>
      </c>
      <c r="H842" s="7"/>
      <c r="I842" s="19" t="str">
        <f>IF(COUNTIF('Claude vs tools'!$K$2:$P$139,A842)&gt;0,"★ Yes","")</f>
        <v/>
      </c>
    </row>
    <row r="843" spans="1:9" x14ac:dyDescent="0.3">
      <c r="A843" s="18" t="s">
        <v>1236</v>
      </c>
      <c r="B843" s="7"/>
      <c r="C843" s="7"/>
      <c r="D843" s="7" t="s">
        <v>1236</v>
      </c>
      <c r="E843" s="6">
        <f t="shared" si="26"/>
        <v>1</v>
      </c>
      <c r="F843" s="6" t="str">
        <f t="shared" si="27"/>
        <v>Only YAKE</v>
      </c>
      <c r="G843" s="7" t="s">
        <v>2160</v>
      </c>
      <c r="H843" s="7"/>
      <c r="I843" s="19" t="str">
        <f>IF(COUNTIF('Claude vs tools'!$K$2:$P$139,A843)&gt;0,"★ Yes","")</f>
        <v/>
      </c>
    </row>
    <row r="844" spans="1:9" x14ac:dyDescent="0.3">
      <c r="A844" s="18" t="s">
        <v>1237</v>
      </c>
      <c r="B844" s="7"/>
      <c r="C844" s="7" t="s">
        <v>1237</v>
      </c>
      <c r="D844" s="7"/>
      <c r="E844" s="6">
        <f t="shared" si="26"/>
        <v>1</v>
      </c>
      <c r="F844" s="6" t="str">
        <f t="shared" si="27"/>
        <v>Only RAKE</v>
      </c>
      <c r="G844" s="7" t="s">
        <v>2161</v>
      </c>
      <c r="H844" s="7"/>
      <c r="I844" s="19" t="str">
        <f>IF(COUNTIF('Claude vs tools'!$K$2:$P$139,A844)&gt;0,"★ Yes","")</f>
        <v/>
      </c>
    </row>
    <row r="845" spans="1:9" x14ac:dyDescent="0.3">
      <c r="A845" s="18" t="s">
        <v>106</v>
      </c>
      <c r="B845" s="7"/>
      <c r="C845" s="7"/>
      <c r="D845" s="7" t="s">
        <v>106</v>
      </c>
      <c r="E845" s="6">
        <f t="shared" si="26"/>
        <v>1</v>
      </c>
      <c r="F845" s="6" t="str">
        <f t="shared" si="27"/>
        <v>Only YAKE</v>
      </c>
      <c r="G845" s="7" t="s">
        <v>2162</v>
      </c>
      <c r="H845" s="7"/>
      <c r="I845" s="19" t="str">
        <f>IF(COUNTIF('Claude vs tools'!$K$2:$P$139,A845)&gt;0,"★ Yes","")</f>
        <v>★ Yes</v>
      </c>
    </row>
    <row r="846" spans="1:9" ht="26.4" x14ac:dyDescent="0.3">
      <c r="A846" s="18" t="s">
        <v>1238</v>
      </c>
      <c r="B846" s="7"/>
      <c r="C846" s="7"/>
      <c r="D846" s="7" t="s">
        <v>1238</v>
      </c>
      <c r="E846" s="6">
        <f t="shared" si="26"/>
        <v>1</v>
      </c>
      <c r="F846" s="6" t="str">
        <f t="shared" si="27"/>
        <v>Only YAKE</v>
      </c>
      <c r="G846" s="7" t="s">
        <v>2163</v>
      </c>
      <c r="H846" s="7"/>
      <c r="I846" s="19" t="str">
        <f>IF(COUNTIF('Claude vs tools'!$K$2:$P$139,A846)&gt;0,"★ Yes","")</f>
        <v/>
      </c>
    </row>
    <row r="847" spans="1:9" x14ac:dyDescent="0.3">
      <c r="A847" s="18" t="s">
        <v>1239</v>
      </c>
      <c r="B847" s="7"/>
      <c r="C847" s="7"/>
      <c r="D847" s="7" t="s">
        <v>1239</v>
      </c>
      <c r="E847" s="6">
        <f t="shared" si="26"/>
        <v>1</v>
      </c>
      <c r="F847" s="6" t="str">
        <f t="shared" si="27"/>
        <v>Only YAKE</v>
      </c>
      <c r="G847" s="7" t="s">
        <v>2164</v>
      </c>
      <c r="H847" s="7"/>
      <c r="I847" s="19" t="str">
        <f>IF(COUNTIF('Claude vs tools'!$K$2:$P$139,A847)&gt;0,"★ Yes","")</f>
        <v/>
      </c>
    </row>
    <row r="848" spans="1:9" x14ac:dyDescent="0.3">
      <c r="A848" s="18" t="s">
        <v>1240</v>
      </c>
      <c r="B848" s="7"/>
      <c r="C848" s="7" t="s">
        <v>1240</v>
      </c>
      <c r="D848" s="7"/>
      <c r="E848" s="6">
        <f t="shared" si="26"/>
        <v>1</v>
      </c>
      <c r="F848" s="6" t="str">
        <f t="shared" si="27"/>
        <v>Only RAKE</v>
      </c>
      <c r="G848" s="7" t="s">
        <v>1576</v>
      </c>
      <c r="H848" s="7"/>
      <c r="I848" s="19" t="str">
        <f>IF(COUNTIF('Claude vs tools'!$K$2:$P$139,A848)&gt;0,"★ Yes","")</f>
        <v/>
      </c>
    </row>
    <row r="849" spans="1:9" x14ac:dyDescent="0.3">
      <c r="A849" s="18" t="s">
        <v>1241</v>
      </c>
      <c r="B849" s="7"/>
      <c r="C849" s="7" t="s">
        <v>1241</v>
      </c>
      <c r="D849" s="7"/>
      <c r="E849" s="6">
        <f t="shared" si="26"/>
        <v>1</v>
      </c>
      <c r="F849" s="6" t="str">
        <f t="shared" si="27"/>
        <v>Only RAKE</v>
      </c>
      <c r="G849" s="7" t="s">
        <v>795</v>
      </c>
      <c r="H849" s="7"/>
      <c r="I849" s="19" t="str">
        <f>IF(COUNTIF('Claude vs tools'!$K$2:$P$139,A849)&gt;0,"★ Yes","")</f>
        <v/>
      </c>
    </row>
    <row r="850" spans="1:9" ht="39.6" x14ac:dyDescent="0.3">
      <c r="A850" s="18" t="s">
        <v>1242</v>
      </c>
      <c r="B850" s="7"/>
      <c r="C850" s="7"/>
      <c r="D850" s="7" t="s">
        <v>1242</v>
      </c>
      <c r="E850" s="6">
        <f t="shared" si="26"/>
        <v>1</v>
      </c>
      <c r="F850" s="6" t="str">
        <f t="shared" si="27"/>
        <v>Only YAKE</v>
      </c>
      <c r="G850" s="7" t="s">
        <v>2165</v>
      </c>
      <c r="H850" s="7"/>
      <c r="I850" s="19" t="str">
        <f>IF(COUNTIF('Claude vs tools'!$K$2:$P$139,A850)&gt;0,"★ Yes","")</f>
        <v/>
      </c>
    </row>
    <row r="851" spans="1:9" ht="39.6" x14ac:dyDescent="0.3">
      <c r="A851" s="18" t="s">
        <v>1243</v>
      </c>
      <c r="B851" s="7"/>
      <c r="C851" s="7"/>
      <c r="D851" s="7" t="s">
        <v>1243</v>
      </c>
      <c r="E851" s="6">
        <f t="shared" si="26"/>
        <v>1</v>
      </c>
      <c r="F851" s="6" t="str">
        <f t="shared" si="27"/>
        <v>Only YAKE</v>
      </c>
      <c r="G851" s="7" t="s">
        <v>2166</v>
      </c>
      <c r="H851" s="7"/>
      <c r="I851" s="19" t="str">
        <f>IF(COUNTIF('Claude vs tools'!$K$2:$P$139,A851)&gt;0,"★ Yes","")</f>
        <v/>
      </c>
    </row>
    <row r="852" spans="1:9" x14ac:dyDescent="0.3">
      <c r="A852" s="18" t="s">
        <v>1244</v>
      </c>
      <c r="B852" s="7"/>
      <c r="C852" s="7" t="s">
        <v>1244</v>
      </c>
      <c r="D852" s="7"/>
      <c r="E852" s="6">
        <f t="shared" si="26"/>
        <v>1</v>
      </c>
      <c r="F852" s="6" t="str">
        <f t="shared" si="27"/>
        <v>Only RAKE</v>
      </c>
      <c r="G852" s="7" t="s">
        <v>2167</v>
      </c>
      <c r="H852" s="7"/>
      <c r="I852" s="19" t="str">
        <f>IF(COUNTIF('Claude vs tools'!$K$2:$P$139,A852)&gt;0,"★ Yes","")</f>
        <v/>
      </c>
    </row>
    <row r="853" spans="1:9" ht="26.4" x14ac:dyDescent="0.3">
      <c r="A853" s="18" t="s">
        <v>1245</v>
      </c>
      <c r="B853" s="7"/>
      <c r="C853" s="7" t="s">
        <v>1245</v>
      </c>
      <c r="D853" s="7"/>
      <c r="E853" s="6">
        <f t="shared" si="26"/>
        <v>1</v>
      </c>
      <c r="F853" s="6" t="str">
        <f t="shared" si="27"/>
        <v>Only RAKE</v>
      </c>
      <c r="G853" s="7" t="s">
        <v>2168</v>
      </c>
      <c r="H853" s="7"/>
      <c r="I853" s="19" t="str">
        <f>IF(COUNTIF('Claude vs tools'!$K$2:$P$139,A853)&gt;0,"★ Yes","")</f>
        <v/>
      </c>
    </row>
    <row r="854" spans="1:9" x14ac:dyDescent="0.3">
      <c r="A854" s="18" t="s">
        <v>1246</v>
      </c>
      <c r="B854" s="7"/>
      <c r="C854" s="7" t="s">
        <v>1246</v>
      </c>
      <c r="D854" s="7"/>
      <c r="E854" s="6">
        <f t="shared" si="26"/>
        <v>1</v>
      </c>
      <c r="F854" s="6" t="str">
        <f t="shared" si="27"/>
        <v>Only RAKE</v>
      </c>
      <c r="G854" s="7" t="s">
        <v>2169</v>
      </c>
      <c r="H854" s="7"/>
      <c r="I854" s="19" t="str">
        <f>IF(COUNTIF('Claude vs tools'!$K$2:$P$139,A854)&gt;0,"★ Yes","")</f>
        <v/>
      </c>
    </row>
    <row r="855" spans="1:9" x14ac:dyDescent="0.3">
      <c r="A855" s="18" t="s">
        <v>1247</v>
      </c>
      <c r="B855" s="7"/>
      <c r="C855" s="7" t="s">
        <v>1247</v>
      </c>
      <c r="D855" s="7"/>
      <c r="E855" s="6">
        <f t="shared" si="26"/>
        <v>1</v>
      </c>
      <c r="F855" s="6" t="str">
        <f t="shared" si="27"/>
        <v>Only RAKE</v>
      </c>
      <c r="G855" s="7" t="s">
        <v>2170</v>
      </c>
      <c r="H855" s="7"/>
      <c r="I855" s="19" t="str">
        <f>IF(COUNTIF('Claude vs tools'!$K$2:$P$139,A855)&gt;0,"★ Yes","")</f>
        <v/>
      </c>
    </row>
    <row r="856" spans="1:9" x14ac:dyDescent="0.3">
      <c r="A856" s="18" t="s">
        <v>1248</v>
      </c>
      <c r="B856" s="7"/>
      <c r="C856" s="7"/>
      <c r="D856" s="7" t="s">
        <v>1248</v>
      </c>
      <c r="E856" s="6">
        <f t="shared" si="26"/>
        <v>1</v>
      </c>
      <c r="F856" s="6" t="str">
        <f t="shared" si="27"/>
        <v>Only YAKE</v>
      </c>
      <c r="G856" s="7" t="s">
        <v>2171</v>
      </c>
      <c r="H856" s="7"/>
      <c r="I856" s="19" t="str">
        <f>IF(COUNTIF('Claude vs tools'!$K$2:$P$139,A856)&gt;0,"★ Yes","")</f>
        <v/>
      </c>
    </row>
    <row r="857" spans="1:9" x14ac:dyDescent="0.3">
      <c r="A857" s="18" t="s">
        <v>1249</v>
      </c>
      <c r="B857" s="7"/>
      <c r="C857" s="7" t="s">
        <v>1249</v>
      </c>
      <c r="D857" s="7"/>
      <c r="E857" s="6">
        <f t="shared" si="26"/>
        <v>1</v>
      </c>
      <c r="F857" s="6" t="str">
        <f t="shared" si="27"/>
        <v>Only RAKE</v>
      </c>
      <c r="G857" s="7" t="s">
        <v>2172</v>
      </c>
      <c r="H857" s="7"/>
      <c r="I857" s="19" t="str">
        <f>IF(COUNTIF('Claude vs tools'!$K$2:$P$139,A857)&gt;0,"★ Yes","")</f>
        <v/>
      </c>
    </row>
    <row r="858" spans="1:9" x14ac:dyDescent="0.3">
      <c r="A858" s="18" t="s">
        <v>1250</v>
      </c>
      <c r="B858" s="7"/>
      <c r="C858" s="7" t="s">
        <v>1250</v>
      </c>
      <c r="D858" s="7"/>
      <c r="E858" s="6">
        <f t="shared" si="26"/>
        <v>1</v>
      </c>
      <c r="F858" s="6" t="str">
        <f t="shared" si="27"/>
        <v>Only RAKE</v>
      </c>
      <c r="G858" s="7" t="s">
        <v>2173</v>
      </c>
      <c r="H858" s="7"/>
      <c r="I858" s="19" t="str">
        <f>IF(COUNTIF('Claude vs tools'!$K$2:$P$139,A858)&gt;0,"★ Yes","")</f>
        <v/>
      </c>
    </row>
    <row r="859" spans="1:9" x14ac:dyDescent="0.3">
      <c r="A859" s="18" t="s">
        <v>1251</v>
      </c>
      <c r="B859" s="7"/>
      <c r="C859" s="7" t="s">
        <v>1251</v>
      </c>
      <c r="D859" s="7"/>
      <c r="E859" s="6">
        <f t="shared" si="26"/>
        <v>1</v>
      </c>
      <c r="F859" s="6" t="str">
        <f t="shared" si="27"/>
        <v>Only RAKE</v>
      </c>
      <c r="G859" s="7" t="s">
        <v>2174</v>
      </c>
      <c r="H859" s="7"/>
      <c r="I859" s="19" t="str">
        <f>IF(COUNTIF('Claude vs tools'!$K$2:$P$139,A859)&gt;0,"★ Yes","")</f>
        <v/>
      </c>
    </row>
    <row r="860" spans="1:9" x14ac:dyDescent="0.3">
      <c r="A860" s="18" t="s">
        <v>1252</v>
      </c>
      <c r="B860" s="7"/>
      <c r="C860" s="7" t="s">
        <v>1252</v>
      </c>
      <c r="D860" s="7"/>
      <c r="E860" s="6">
        <f t="shared" si="26"/>
        <v>1</v>
      </c>
      <c r="F860" s="6" t="str">
        <f t="shared" si="27"/>
        <v>Only RAKE</v>
      </c>
      <c r="G860" s="7" t="s">
        <v>795</v>
      </c>
      <c r="H860" s="7"/>
      <c r="I860" s="19" t="str">
        <f>IF(COUNTIF('Claude vs tools'!$K$2:$P$139,A860)&gt;0,"★ Yes","")</f>
        <v/>
      </c>
    </row>
    <row r="861" spans="1:9" ht="26.4" x14ac:dyDescent="0.3">
      <c r="A861" s="18" t="s">
        <v>1253</v>
      </c>
      <c r="B861" s="7"/>
      <c r="C861" s="7"/>
      <c r="D861" s="7" t="s">
        <v>1253</v>
      </c>
      <c r="E861" s="6">
        <f t="shared" si="26"/>
        <v>1</v>
      </c>
      <c r="F861" s="6" t="str">
        <f t="shared" si="27"/>
        <v>Only YAKE</v>
      </c>
      <c r="G861" s="7" t="s">
        <v>2175</v>
      </c>
      <c r="H861" s="7"/>
      <c r="I861" s="19" t="str">
        <f>IF(COUNTIF('Claude vs tools'!$K$2:$P$139,A861)&gt;0,"★ Yes","")</f>
        <v/>
      </c>
    </row>
    <row r="862" spans="1:9" x14ac:dyDescent="0.3">
      <c r="A862" s="18" t="s">
        <v>1254</v>
      </c>
      <c r="B862" s="7"/>
      <c r="C862" s="7" t="s">
        <v>1254</v>
      </c>
      <c r="D862" s="7"/>
      <c r="E862" s="6">
        <f t="shared" si="26"/>
        <v>1</v>
      </c>
      <c r="F862" s="6" t="str">
        <f t="shared" si="27"/>
        <v>Only RAKE</v>
      </c>
      <c r="G862" s="7" t="s">
        <v>795</v>
      </c>
      <c r="H862" s="7"/>
      <c r="I862" s="19" t="str">
        <f>IF(COUNTIF('Claude vs tools'!$K$2:$P$139,A862)&gt;0,"★ Yes","")</f>
        <v/>
      </c>
    </row>
    <row r="863" spans="1:9" x14ac:dyDescent="0.3">
      <c r="A863" s="18" t="s">
        <v>1255</v>
      </c>
      <c r="B863" s="7"/>
      <c r="C863" s="7"/>
      <c r="D863" s="7" t="s">
        <v>1255</v>
      </c>
      <c r="E863" s="6">
        <f t="shared" si="26"/>
        <v>1</v>
      </c>
      <c r="F863" s="6" t="str">
        <f t="shared" si="27"/>
        <v>Only YAKE</v>
      </c>
      <c r="G863" s="7" t="s">
        <v>2176</v>
      </c>
      <c r="H863" s="7" t="s">
        <v>593</v>
      </c>
      <c r="I863" s="19" t="str">
        <f>IF(COUNTIF('Claude vs tools'!$K$2:$P$139,A863)&gt;0,"★ Yes","")</f>
        <v/>
      </c>
    </row>
    <row r="864" spans="1:9" x14ac:dyDescent="0.3">
      <c r="A864" s="18" t="s">
        <v>1256</v>
      </c>
      <c r="B864" s="7"/>
      <c r="C864" s="7" t="s">
        <v>1256</v>
      </c>
      <c r="D864" s="7"/>
      <c r="E864" s="6">
        <f t="shared" si="26"/>
        <v>1</v>
      </c>
      <c r="F864" s="6" t="str">
        <f t="shared" si="27"/>
        <v>Only RAKE</v>
      </c>
      <c r="G864" s="7" t="s">
        <v>2177</v>
      </c>
      <c r="H864" s="7"/>
      <c r="I864" s="19" t="str">
        <f>IF(COUNTIF('Claude vs tools'!$K$2:$P$139,A864)&gt;0,"★ Yes","")</f>
        <v/>
      </c>
    </row>
    <row r="865" spans="1:9" x14ac:dyDescent="0.3">
      <c r="A865" s="18" t="s">
        <v>57</v>
      </c>
      <c r="B865" s="7"/>
      <c r="C865" s="7" t="s">
        <v>57</v>
      </c>
      <c r="D865" s="7"/>
      <c r="E865" s="6">
        <f t="shared" si="26"/>
        <v>1</v>
      </c>
      <c r="F865" s="6" t="str">
        <f t="shared" si="27"/>
        <v>Only RAKE</v>
      </c>
      <c r="G865" s="7" t="s">
        <v>2178</v>
      </c>
      <c r="H865" s="7"/>
      <c r="I865" s="19" t="str">
        <f>IF(COUNTIF('Claude vs tools'!$K$2:$P$139,A865)&gt;0,"★ Yes","")</f>
        <v>★ Yes</v>
      </c>
    </row>
    <row r="866" spans="1:9" x14ac:dyDescent="0.3">
      <c r="A866" s="18" t="s">
        <v>1257</v>
      </c>
      <c r="B866" s="7"/>
      <c r="C866" s="7" t="s">
        <v>1257</v>
      </c>
      <c r="D866" s="7"/>
      <c r="E866" s="6">
        <f t="shared" si="26"/>
        <v>1</v>
      </c>
      <c r="F866" s="6" t="str">
        <f t="shared" si="27"/>
        <v>Only RAKE</v>
      </c>
      <c r="G866" s="7" t="s">
        <v>2179</v>
      </c>
      <c r="H866" s="7"/>
      <c r="I866" s="19" t="str">
        <f>IF(COUNTIF('Claude vs tools'!$K$2:$P$139,A866)&gt;0,"★ Yes","")</f>
        <v/>
      </c>
    </row>
    <row r="867" spans="1:9" x14ac:dyDescent="0.3">
      <c r="A867" s="18" t="s">
        <v>521</v>
      </c>
      <c r="B867" s="7"/>
      <c r="C867" s="7"/>
      <c r="D867" s="7" t="s">
        <v>521</v>
      </c>
      <c r="E867" s="6">
        <f t="shared" si="26"/>
        <v>1</v>
      </c>
      <c r="F867" s="6" t="str">
        <f t="shared" si="27"/>
        <v>Only YAKE</v>
      </c>
      <c r="G867" s="7" t="s">
        <v>2180</v>
      </c>
      <c r="H867" s="7"/>
      <c r="I867" s="19" t="str">
        <f>IF(COUNTIF('Claude vs tools'!$K$2:$P$139,A867)&gt;0,"★ Yes","")</f>
        <v>★ Yes</v>
      </c>
    </row>
    <row r="868" spans="1:9" x14ac:dyDescent="0.3">
      <c r="A868" s="18" t="s">
        <v>518</v>
      </c>
      <c r="B868" s="7"/>
      <c r="C868" s="7"/>
      <c r="D868" s="7" t="s">
        <v>518</v>
      </c>
      <c r="E868" s="6">
        <f t="shared" si="26"/>
        <v>1</v>
      </c>
      <c r="F868" s="6" t="str">
        <f t="shared" si="27"/>
        <v>Only YAKE</v>
      </c>
      <c r="G868" s="7" t="s">
        <v>2181</v>
      </c>
      <c r="H868" s="7"/>
      <c r="I868" s="19" t="str">
        <f>IF(COUNTIF('Claude vs tools'!$K$2:$P$139,A868)&gt;0,"★ Yes","")</f>
        <v>★ Yes</v>
      </c>
    </row>
    <row r="869" spans="1:9" x14ac:dyDescent="0.3">
      <c r="A869" s="18" t="s">
        <v>1258</v>
      </c>
      <c r="B869" s="7" t="s">
        <v>1258</v>
      </c>
      <c r="C869" s="7"/>
      <c r="D869" s="7"/>
      <c r="E869" s="6">
        <f t="shared" si="26"/>
        <v>1</v>
      </c>
      <c r="F869" s="6" t="str">
        <f t="shared" si="27"/>
        <v>Only Gemini</v>
      </c>
      <c r="G869" s="7" t="s">
        <v>2182</v>
      </c>
      <c r="H869" s="7"/>
      <c r="I869" s="19" t="str">
        <f>IF(COUNTIF('Claude vs tools'!$K$2:$P$139,A869)&gt;0,"★ Yes","")</f>
        <v/>
      </c>
    </row>
    <row r="870" spans="1:9" x14ac:dyDescent="0.3">
      <c r="A870" s="18" t="s">
        <v>538</v>
      </c>
      <c r="B870" s="7"/>
      <c r="C870" s="7" t="s">
        <v>538</v>
      </c>
      <c r="D870" s="7"/>
      <c r="E870" s="6">
        <f t="shared" si="26"/>
        <v>1</v>
      </c>
      <c r="F870" s="6" t="str">
        <f t="shared" si="27"/>
        <v>Only RAKE</v>
      </c>
      <c r="G870" s="7" t="s">
        <v>1947</v>
      </c>
      <c r="H870" s="7"/>
      <c r="I870" s="19" t="str">
        <f>IF(COUNTIF('Claude vs tools'!$K$2:$P$139,A870)&gt;0,"★ Yes","")</f>
        <v>★ Yes</v>
      </c>
    </row>
    <row r="871" spans="1:9" x14ac:dyDescent="0.3">
      <c r="A871" s="18" t="s">
        <v>1259</v>
      </c>
      <c r="B871" s="7"/>
      <c r="C871" s="7" t="s">
        <v>1259</v>
      </c>
      <c r="D871" s="7"/>
      <c r="E871" s="6">
        <f t="shared" si="26"/>
        <v>1</v>
      </c>
      <c r="F871" s="6" t="str">
        <f t="shared" si="27"/>
        <v>Only RAKE</v>
      </c>
      <c r="G871" s="7" t="s">
        <v>1908</v>
      </c>
      <c r="H871" s="7"/>
      <c r="I871" s="19" t="str">
        <f>IF(COUNTIF('Claude vs tools'!$K$2:$P$139,A871)&gt;0,"★ Yes","")</f>
        <v/>
      </c>
    </row>
    <row r="872" spans="1:9" x14ac:dyDescent="0.3">
      <c r="A872" s="18" t="s">
        <v>1260</v>
      </c>
      <c r="B872" s="7"/>
      <c r="C872" s="7"/>
      <c r="D872" s="7" t="s">
        <v>1260</v>
      </c>
      <c r="E872" s="6">
        <f t="shared" si="26"/>
        <v>1</v>
      </c>
      <c r="F872" s="6" t="str">
        <f t="shared" si="27"/>
        <v>Only YAKE</v>
      </c>
      <c r="G872" s="7" t="s">
        <v>2183</v>
      </c>
      <c r="H872" s="7"/>
      <c r="I872" s="19" t="str">
        <f>IF(COUNTIF('Claude vs tools'!$K$2:$P$139,A872)&gt;0,"★ Yes","")</f>
        <v/>
      </c>
    </row>
    <row r="873" spans="1:9" x14ac:dyDescent="0.3">
      <c r="A873" s="18" t="s">
        <v>1261</v>
      </c>
      <c r="B873" s="7"/>
      <c r="C873" s="7" t="s">
        <v>1261</v>
      </c>
      <c r="D873" s="7"/>
      <c r="E873" s="6">
        <f t="shared" si="26"/>
        <v>1</v>
      </c>
      <c r="F873" s="6" t="str">
        <f t="shared" si="27"/>
        <v>Only RAKE</v>
      </c>
      <c r="G873" s="7" t="s">
        <v>2184</v>
      </c>
      <c r="H873" s="7"/>
      <c r="I873" s="19" t="str">
        <f>IF(COUNTIF('Claude vs tools'!$K$2:$P$139,A873)&gt;0,"★ Yes","")</f>
        <v/>
      </c>
    </row>
    <row r="874" spans="1:9" x14ac:dyDescent="0.3">
      <c r="A874" s="18" t="s">
        <v>1262</v>
      </c>
      <c r="B874" s="7"/>
      <c r="C874" s="7"/>
      <c r="D874" s="7" t="s">
        <v>1262</v>
      </c>
      <c r="E874" s="6">
        <f t="shared" si="26"/>
        <v>1</v>
      </c>
      <c r="F874" s="6" t="str">
        <f t="shared" si="27"/>
        <v>Only YAKE</v>
      </c>
      <c r="G874" s="7" t="s">
        <v>2185</v>
      </c>
      <c r="H874" s="7"/>
      <c r="I874" s="19" t="str">
        <f>IF(COUNTIF('Claude vs tools'!$K$2:$P$139,A874)&gt;0,"★ Yes","")</f>
        <v/>
      </c>
    </row>
    <row r="875" spans="1:9" x14ac:dyDescent="0.3">
      <c r="A875" s="18" t="s">
        <v>1263</v>
      </c>
      <c r="B875" s="7" t="s">
        <v>1263</v>
      </c>
      <c r="C875" s="7"/>
      <c r="D875" s="7"/>
      <c r="E875" s="6">
        <f t="shared" si="26"/>
        <v>1</v>
      </c>
      <c r="F875" s="6" t="str">
        <f t="shared" si="27"/>
        <v>Only Gemini</v>
      </c>
      <c r="G875" s="7" t="s">
        <v>1908</v>
      </c>
      <c r="H875" s="7"/>
      <c r="I875" s="19" t="str">
        <f>IF(COUNTIF('Claude vs tools'!$K$2:$P$139,A875)&gt;0,"★ Yes","")</f>
        <v/>
      </c>
    </row>
    <row r="876" spans="1:9" x14ac:dyDescent="0.3">
      <c r="A876" s="18" t="s">
        <v>1264</v>
      </c>
      <c r="B876" s="7"/>
      <c r="C876" s="7" t="s">
        <v>1264</v>
      </c>
      <c r="D876" s="7"/>
      <c r="E876" s="6">
        <f t="shared" si="26"/>
        <v>1</v>
      </c>
      <c r="F876" s="6" t="str">
        <f t="shared" si="27"/>
        <v>Only RAKE</v>
      </c>
      <c r="G876" s="7" t="s">
        <v>2186</v>
      </c>
      <c r="H876" s="7"/>
      <c r="I876" s="19" t="str">
        <f>IF(COUNTIF('Claude vs tools'!$K$2:$P$139,A876)&gt;0,"★ Yes","")</f>
        <v/>
      </c>
    </row>
    <row r="877" spans="1:9" x14ac:dyDescent="0.3">
      <c r="A877" s="18" t="s">
        <v>1265</v>
      </c>
      <c r="B877" s="7"/>
      <c r="C877" s="7" t="s">
        <v>1265</v>
      </c>
      <c r="D877" s="7"/>
      <c r="E877" s="6">
        <f t="shared" si="26"/>
        <v>1</v>
      </c>
      <c r="F877" s="6" t="str">
        <f t="shared" si="27"/>
        <v>Only RAKE</v>
      </c>
      <c r="G877" s="7" t="s">
        <v>2187</v>
      </c>
      <c r="H877" s="7"/>
      <c r="I877" s="19" t="str">
        <f>IF(COUNTIF('Claude vs tools'!$K$2:$P$139,A877)&gt;0,"★ Yes","")</f>
        <v/>
      </c>
    </row>
    <row r="878" spans="1:9" ht="26.4" x14ac:dyDescent="0.3">
      <c r="A878" s="18" t="s">
        <v>1266</v>
      </c>
      <c r="B878" s="7"/>
      <c r="C878" s="7"/>
      <c r="D878" s="7" t="s">
        <v>1266</v>
      </c>
      <c r="E878" s="6">
        <f t="shared" si="26"/>
        <v>1</v>
      </c>
      <c r="F878" s="6" t="str">
        <f t="shared" si="27"/>
        <v>Only YAKE</v>
      </c>
      <c r="G878" s="7" t="s">
        <v>2188</v>
      </c>
      <c r="H878" s="7"/>
      <c r="I878" s="19" t="str">
        <f>IF(COUNTIF('Claude vs tools'!$K$2:$P$139,A878)&gt;0,"★ Yes","")</f>
        <v/>
      </c>
    </row>
    <row r="879" spans="1:9" x14ac:dyDescent="0.3">
      <c r="A879" s="18" t="s">
        <v>96</v>
      </c>
      <c r="B879" s="7"/>
      <c r="C879" s="7"/>
      <c r="D879" s="7" t="s">
        <v>96</v>
      </c>
      <c r="E879" s="6">
        <f t="shared" si="26"/>
        <v>1</v>
      </c>
      <c r="F879" s="6" t="str">
        <f t="shared" si="27"/>
        <v>Only YAKE</v>
      </c>
      <c r="G879" s="7" t="s">
        <v>2189</v>
      </c>
      <c r="H879" s="7"/>
      <c r="I879" s="19" t="str">
        <f>IF(COUNTIF('Claude vs tools'!$K$2:$P$139,A879)&gt;0,"★ Yes","")</f>
        <v>★ Yes</v>
      </c>
    </row>
    <row r="880" spans="1:9" x14ac:dyDescent="0.3">
      <c r="A880" s="18" t="s">
        <v>152</v>
      </c>
      <c r="B880" s="7"/>
      <c r="C880" s="7" t="s">
        <v>152</v>
      </c>
      <c r="D880" s="7"/>
      <c r="E880" s="6">
        <f t="shared" si="26"/>
        <v>1</v>
      </c>
      <c r="F880" s="6" t="str">
        <f t="shared" si="27"/>
        <v>Only RAKE</v>
      </c>
      <c r="G880" s="7" t="s">
        <v>1622</v>
      </c>
      <c r="H880" s="7"/>
      <c r="I880" s="19" t="str">
        <f>IF(COUNTIF('Claude vs tools'!$K$2:$P$139,A880)&gt;0,"★ Yes","")</f>
        <v>★ Yes</v>
      </c>
    </row>
    <row r="881" spans="1:9" ht="26.4" x14ac:dyDescent="0.3">
      <c r="A881" s="18" t="s">
        <v>289</v>
      </c>
      <c r="B881" s="7"/>
      <c r="C881" s="7" t="s">
        <v>289</v>
      </c>
      <c r="D881" s="7"/>
      <c r="E881" s="6">
        <f t="shared" si="26"/>
        <v>1</v>
      </c>
      <c r="F881" s="6" t="str">
        <f t="shared" si="27"/>
        <v>Only RAKE</v>
      </c>
      <c r="G881" s="7" t="s">
        <v>2190</v>
      </c>
      <c r="H881" s="7"/>
      <c r="I881" s="19" t="str">
        <f>IF(COUNTIF('Claude vs tools'!$K$2:$P$139,A881)&gt;0,"★ Yes","")</f>
        <v>★ Yes</v>
      </c>
    </row>
    <row r="882" spans="1:9" ht="26.4" x14ac:dyDescent="0.3">
      <c r="A882" s="18" t="s">
        <v>287</v>
      </c>
      <c r="B882" s="7"/>
      <c r="C882" s="7"/>
      <c r="D882" s="7" t="s">
        <v>287</v>
      </c>
      <c r="E882" s="6">
        <f t="shared" si="26"/>
        <v>1</v>
      </c>
      <c r="F882" s="6" t="str">
        <f t="shared" si="27"/>
        <v>Only YAKE</v>
      </c>
      <c r="G882" s="7" t="s">
        <v>2191</v>
      </c>
      <c r="H882" s="7"/>
      <c r="I882" s="19" t="str">
        <f>IF(COUNTIF('Claude vs tools'!$K$2:$P$139,A882)&gt;0,"★ Yes","")</f>
        <v>★ Yes</v>
      </c>
    </row>
    <row r="883" spans="1:9" x14ac:dyDescent="0.3">
      <c r="A883" s="18" t="s">
        <v>1267</v>
      </c>
      <c r="B883" s="7"/>
      <c r="C883" s="7" t="s">
        <v>1267</v>
      </c>
      <c r="D883" s="7"/>
      <c r="E883" s="6">
        <f t="shared" si="26"/>
        <v>1</v>
      </c>
      <c r="F883" s="6" t="str">
        <f t="shared" si="27"/>
        <v>Only RAKE</v>
      </c>
      <c r="G883" s="7" t="s">
        <v>795</v>
      </c>
      <c r="H883" s="7"/>
      <c r="I883" s="19" t="str">
        <f>IF(COUNTIF('Claude vs tools'!$K$2:$P$139,A883)&gt;0,"★ Yes","")</f>
        <v/>
      </c>
    </row>
    <row r="884" spans="1:9" x14ac:dyDescent="0.3">
      <c r="A884" s="18" t="s">
        <v>1268</v>
      </c>
      <c r="B884" s="7"/>
      <c r="C884" s="7" t="s">
        <v>1268</v>
      </c>
      <c r="D884" s="7"/>
      <c r="E884" s="6">
        <f t="shared" si="26"/>
        <v>1</v>
      </c>
      <c r="F884" s="6" t="str">
        <f t="shared" si="27"/>
        <v>Only RAKE</v>
      </c>
      <c r="G884" s="7" t="s">
        <v>2192</v>
      </c>
      <c r="H884" s="7"/>
      <c r="I884" s="19" t="str">
        <f>IF(COUNTIF('Claude vs tools'!$K$2:$P$139,A884)&gt;0,"★ Yes","")</f>
        <v/>
      </c>
    </row>
    <row r="885" spans="1:9" x14ac:dyDescent="0.3">
      <c r="A885" s="18" t="s">
        <v>1269</v>
      </c>
      <c r="B885" s="7"/>
      <c r="C885" s="7" t="s">
        <v>1269</v>
      </c>
      <c r="D885" s="7"/>
      <c r="E885" s="6">
        <f t="shared" si="26"/>
        <v>1</v>
      </c>
      <c r="F885" s="6" t="str">
        <f t="shared" si="27"/>
        <v>Only RAKE</v>
      </c>
      <c r="G885" s="7" t="s">
        <v>1736</v>
      </c>
      <c r="H885" s="7"/>
      <c r="I885" s="19" t="str">
        <f>IF(COUNTIF('Claude vs tools'!$K$2:$P$139,A885)&gt;0,"★ Yes","")</f>
        <v/>
      </c>
    </row>
    <row r="886" spans="1:9" x14ac:dyDescent="0.3">
      <c r="A886" s="18" t="s">
        <v>113</v>
      </c>
      <c r="B886" s="7"/>
      <c r="C886" s="7"/>
      <c r="D886" s="7" t="s">
        <v>113</v>
      </c>
      <c r="E886" s="6">
        <f t="shared" si="26"/>
        <v>1</v>
      </c>
      <c r="F886" s="6" t="str">
        <f t="shared" si="27"/>
        <v>Only YAKE</v>
      </c>
      <c r="G886" s="7" t="s">
        <v>1884</v>
      </c>
      <c r="H886" s="7"/>
      <c r="I886" s="19" t="str">
        <f>IF(COUNTIF('Claude vs tools'!$K$2:$P$139,A886)&gt;0,"★ Yes","")</f>
        <v>★ Yes</v>
      </c>
    </row>
    <row r="887" spans="1:9" x14ac:dyDescent="0.3">
      <c r="A887" s="18" t="s">
        <v>1270</v>
      </c>
      <c r="B887" s="7"/>
      <c r="C887" s="7"/>
      <c r="D887" s="7" t="s">
        <v>1270</v>
      </c>
      <c r="E887" s="6">
        <f t="shared" si="26"/>
        <v>1</v>
      </c>
      <c r="F887" s="6" t="str">
        <f t="shared" si="27"/>
        <v>Only YAKE</v>
      </c>
      <c r="G887" s="7" t="s">
        <v>2075</v>
      </c>
      <c r="H887" s="7"/>
      <c r="I887" s="19" t="str">
        <f>IF(COUNTIF('Claude vs tools'!$K$2:$P$139,A887)&gt;0,"★ Yes","")</f>
        <v/>
      </c>
    </row>
    <row r="888" spans="1:9" ht="26.4" x14ac:dyDescent="0.3">
      <c r="A888" s="18" t="s">
        <v>1271</v>
      </c>
      <c r="B888" s="7"/>
      <c r="C888" s="7"/>
      <c r="D888" s="7" t="s">
        <v>1271</v>
      </c>
      <c r="E888" s="6">
        <f t="shared" si="26"/>
        <v>1</v>
      </c>
      <c r="F888" s="6" t="str">
        <f t="shared" si="27"/>
        <v>Only YAKE</v>
      </c>
      <c r="G888" s="7" t="s">
        <v>2193</v>
      </c>
      <c r="H888" s="7"/>
      <c r="I888" s="19" t="str">
        <f>IF(COUNTIF('Claude vs tools'!$K$2:$P$139,A888)&gt;0,"★ Yes","")</f>
        <v/>
      </c>
    </row>
    <row r="889" spans="1:9" x14ac:dyDescent="0.3">
      <c r="A889" s="18" t="s">
        <v>1272</v>
      </c>
      <c r="B889" s="7"/>
      <c r="C889" s="7" t="s">
        <v>1272</v>
      </c>
      <c r="D889" s="7"/>
      <c r="E889" s="6">
        <f t="shared" si="26"/>
        <v>1</v>
      </c>
      <c r="F889" s="6" t="str">
        <f t="shared" si="27"/>
        <v>Only RAKE</v>
      </c>
      <c r="G889" s="7" t="s">
        <v>2194</v>
      </c>
      <c r="H889" s="7"/>
      <c r="I889" s="19" t="str">
        <f>IF(COUNTIF('Claude vs tools'!$K$2:$P$139,A889)&gt;0,"★ Yes","")</f>
        <v/>
      </c>
    </row>
    <row r="890" spans="1:9" x14ac:dyDescent="0.3">
      <c r="A890" s="18" t="s">
        <v>1273</v>
      </c>
      <c r="B890" s="7"/>
      <c r="C890" s="7" t="s">
        <v>1273</v>
      </c>
      <c r="D890" s="7"/>
      <c r="E890" s="6">
        <f t="shared" si="26"/>
        <v>1</v>
      </c>
      <c r="F890" s="6" t="str">
        <f t="shared" si="27"/>
        <v>Only RAKE</v>
      </c>
      <c r="G890" s="7" t="s">
        <v>2195</v>
      </c>
      <c r="H890" s="7"/>
      <c r="I890" s="19" t="str">
        <f>IF(COUNTIF('Claude vs tools'!$K$2:$P$139,A890)&gt;0,"★ Yes","")</f>
        <v/>
      </c>
    </row>
    <row r="891" spans="1:9" x14ac:dyDescent="0.3">
      <c r="A891" s="18" t="s">
        <v>1274</v>
      </c>
      <c r="B891" s="7"/>
      <c r="C891" s="7" t="s">
        <v>1274</v>
      </c>
      <c r="D891" s="7"/>
      <c r="E891" s="6">
        <f t="shared" si="26"/>
        <v>1</v>
      </c>
      <c r="F891" s="6" t="str">
        <f t="shared" si="27"/>
        <v>Only RAKE</v>
      </c>
      <c r="G891" s="7" t="s">
        <v>795</v>
      </c>
      <c r="H891" s="7"/>
      <c r="I891" s="19" t="str">
        <f>IF(COUNTIF('Claude vs tools'!$K$2:$P$139,A891)&gt;0,"★ Yes","")</f>
        <v/>
      </c>
    </row>
    <row r="892" spans="1:9" ht="26.4" x14ac:dyDescent="0.3">
      <c r="A892" s="18" t="s">
        <v>1275</v>
      </c>
      <c r="B892" s="7"/>
      <c r="C892" s="7"/>
      <c r="D892" s="7" t="s">
        <v>1275</v>
      </c>
      <c r="E892" s="6">
        <f t="shared" si="26"/>
        <v>1</v>
      </c>
      <c r="F892" s="6" t="str">
        <f t="shared" si="27"/>
        <v>Only YAKE</v>
      </c>
      <c r="G892" s="7" t="s">
        <v>2196</v>
      </c>
      <c r="H892" s="7"/>
      <c r="I892" s="19" t="str">
        <f>IF(COUNTIF('Claude vs tools'!$K$2:$P$139,A892)&gt;0,"★ Yes","")</f>
        <v/>
      </c>
    </row>
    <row r="893" spans="1:9" x14ac:dyDescent="0.3">
      <c r="A893" s="18" t="s">
        <v>1276</v>
      </c>
      <c r="B893" s="7"/>
      <c r="C893" s="7"/>
      <c r="D893" s="7" t="s">
        <v>1276</v>
      </c>
      <c r="E893" s="6">
        <f t="shared" si="26"/>
        <v>1</v>
      </c>
      <c r="F893" s="6" t="str">
        <f t="shared" si="27"/>
        <v>Only YAKE</v>
      </c>
      <c r="G893" s="7" t="s">
        <v>2197</v>
      </c>
      <c r="H893" s="7"/>
      <c r="I893" s="19" t="str">
        <f>IF(COUNTIF('Claude vs tools'!$K$2:$P$139,A893)&gt;0,"★ Yes","")</f>
        <v/>
      </c>
    </row>
    <row r="894" spans="1:9" ht="26.4" x14ac:dyDescent="0.3">
      <c r="A894" s="18" t="s">
        <v>1277</v>
      </c>
      <c r="B894" s="7"/>
      <c r="C894" s="7"/>
      <c r="D894" s="7" t="s">
        <v>1277</v>
      </c>
      <c r="E894" s="6">
        <f t="shared" si="26"/>
        <v>1</v>
      </c>
      <c r="F894" s="6" t="str">
        <f t="shared" si="27"/>
        <v>Only YAKE</v>
      </c>
      <c r="G894" s="7" t="s">
        <v>2198</v>
      </c>
      <c r="H894" s="7"/>
      <c r="I894" s="19" t="str">
        <f>IF(COUNTIF('Claude vs tools'!$K$2:$P$139,A894)&gt;0,"★ Yes","")</f>
        <v/>
      </c>
    </row>
    <row r="895" spans="1:9" ht="26.4" x14ac:dyDescent="0.3">
      <c r="A895" s="18" t="s">
        <v>1278</v>
      </c>
      <c r="B895" s="7"/>
      <c r="C895" s="7" t="s">
        <v>1278</v>
      </c>
      <c r="D895" s="7"/>
      <c r="E895" s="6">
        <f t="shared" si="26"/>
        <v>1</v>
      </c>
      <c r="F895" s="6" t="str">
        <f t="shared" si="27"/>
        <v>Only RAKE</v>
      </c>
      <c r="G895" s="7" t="s">
        <v>2199</v>
      </c>
      <c r="H895" s="7"/>
      <c r="I895" s="19" t="str">
        <f>IF(COUNTIF('Claude vs tools'!$K$2:$P$139,A895)&gt;0,"★ Yes","")</f>
        <v/>
      </c>
    </row>
    <row r="896" spans="1:9" x14ac:dyDescent="0.3">
      <c r="A896" s="18" t="s">
        <v>1279</v>
      </c>
      <c r="B896" s="7"/>
      <c r="C896" s="7"/>
      <c r="D896" s="7" t="s">
        <v>1279</v>
      </c>
      <c r="E896" s="6">
        <f t="shared" si="26"/>
        <v>1</v>
      </c>
      <c r="F896" s="6" t="str">
        <f t="shared" si="27"/>
        <v>Only YAKE</v>
      </c>
      <c r="G896" s="7" t="s">
        <v>2200</v>
      </c>
      <c r="H896" s="7"/>
      <c r="I896" s="19" t="str">
        <f>IF(COUNTIF('Claude vs tools'!$K$2:$P$139,A896)&gt;0,"★ Yes","")</f>
        <v/>
      </c>
    </row>
    <row r="897" spans="1:9" ht="26.4" x14ac:dyDescent="0.3">
      <c r="A897" s="18" t="s">
        <v>506</v>
      </c>
      <c r="B897" s="7"/>
      <c r="C897" s="7"/>
      <c r="D897" s="7" t="s">
        <v>506</v>
      </c>
      <c r="E897" s="6">
        <f t="shared" si="26"/>
        <v>1</v>
      </c>
      <c r="F897" s="6" t="str">
        <f t="shared" si="27"/>
        <v>Only YAKE</v>
      </c>
      <c r="G897" s="7" t="s">
        <v>2201</v>
      </c>
      <c r="H897" s="7"/>
      <c r="I897" s="19" t="str">
        <f>IF(COUNTIF('Claude vs tools'!$K$2:$P$139,A897)&gt;0,"★ Yes","")</f>
        <v>★ Yes</v>
      </c>
    </row>
    <row r="898" spans="1:9" x14ac:dyDescent="0.3">
      <c r="A898" s="18" t="s">
        <v>1280</v>
      </c>
      <c r="B898" s="7"/>
      <c r="C898" s="7" t="s">
        <v>1280</v>
      </c>
      <c r="D898" s="7"/>
      <c r="E898" s="6">
        <f t="shared" ref="E898:E961" si="28">COUNTA(B898:D898)</f>
        <v>1</v>
      </c>
      <c r="F898" s="6" t="str">
        <f t="shared" ref="F898:F961" si="29">IF(E898=3,"All three",IF(E898=2,SUBSTITUTE(TRIM(IF(B898&lt;&gt;"","Gemini ","")&amp;IF(C898&lt;&gt;"","RAKE ","")&amp;IF(D898&lt;&gt;"","YAKE",""))," "," + "),"Only "&amp;TRIM(IF(B898&lt;&gt;"","Gemini","")&amp;IF(C898&lt;&gt;"","RAKE","")&amp;IF(D898&lt;&gt;"","YAKE",""))))</f>
        <v>Only RAKE</v>
      </c>
      <c r="G898" s="7" t="s">
        <v>2202</v>
      </c>
      <c r="H898" s="7"/>
      <c r="I898" s="19" t="str">
        <f>IF(COUNTIF('Claude vs tools'!$K$2:$P$139,A898)&gt;0,"★ Yes","")</f>
        <v/>
      </c>
    </row>
    <row r="899" spans="1:9" x14ac:dyDescent="0.3">
      <c r="A899" s="18" t="s">
        <v>1281</v>
      </c>
      <c r="B899" s="7"/>
      <c r="C899" s="7" t="s">
        <v>1281</v>
      </c>
      <c r="D899" s="7"/>
      <c r="E899" s="6">
        <f t="shared" si="28"/>
        <v>1</v>
      </c>
      <c r="F899" s="6" t="str">
        <f t="shared" si="29"/>
        <v>Only RAKE</v>
      </c>
      <c r="G899" s="7" t="s">
        <v>2203</v>
      </c>
      <c r="H899" s="7"/>
      <c r="I899" s="19" t="str">
        <f>IF(COUNTIF('Claude vs tools'!$K$2:$P$139,A899)&gt;0,"★ Yes","")</f>
        <v/>
      </c>
    </row>
    <row r="900" spans="1:9" x14ac:dyDescent="0.3">
      <c r="A900" s="18" t="s">
        <v>1282</v>
      </c>
      <c r="B900" s="7"/>
      <c r="C900" s="7" t="s">
        <v>1282</v>
      </c>
      <c r="D900" s="7"/>
      <c r="E900" s="6">
        <f t="shared" si="28"/>
        <v>1</v>
      </c>
      <c r="F900" s="6" t="str">
        <f t="shared" si="29"/>
        <v>Only RAKE</v>
      </c>
      <c r="G900" s="7" t="s">
        <v>2204</v>
      </c>
      <c r="H900" s="7"/>
      <c r="I900" s="19" t="str">
        <f>IF(COUNTIF('Claude vs tools'!$K$2:$P$139,A900)&gt;0,"★ Yes","")</f>
        <v/>
      </c>
    </row>
    <row r="901" spans="1:9" x14ac:dyDescent="0.3">
      <c r="A901" s="18" t="s">
        <v>1283</v>
      </c>
      <c r="B901" s="7"/>
      <c r="C901" s="7" t="s">
        <v>1283</v>
      </c>
      <c r="D901" s="7"/>
      <c r="E901" s="6">
        <f t="shared" si="28"/>
        <v>1</v>
      </c>
      <c r="F901" s="6" t="str">
        <f t="shared" si="29"/>
        <v>Only RAKE</v>
      </c>
      <c r="G901" s="7" t="s">
        <v>795</v>
      </c>
      <c r="H901" s="7"/>
      <c r="I901" s="19" t="str">
        <f>IF(COUNTIF('Claude vs tools'!$K$2:$P$139,A901)&gt;0,"★ Yes","")</f>
        <v/>
      </c>
    </row>
    <row r="902" spans="1:9" x14ac:dyDescent="0.3">
      <c r="A902" s="18" t="s">
        <v>1284</v>
      </c>
      <c r="B902" s="7"/>
      <c r="C902" s="7"/>
      <c r="D902" s="7" t="s">
        <v>1284</v>
      </c>
      <c r="E902" s="6">
        <f t="shared" si="28"/>
        <v>1</v>
      </c>
      <c r="F902" s="6" t="str">
        <f t="shared" si="29"/>
        <v>Only YAKE</v>
      </c>
      <c r="G902" s="7" t="s">
        <v>2091</v>
      </c>
      <c r="H902" s="7"/>
      <c r="I902" s="19" t="str">
        <f>IF(COUNTIF('Claude vs tools'!$K$2:$P$139,A902)&gt;0,"★ Yes","")</f>
        <v/>
      </c>
    </row>
    <row r="903" spans="1:9" x14ac:dyDescent="0.3">
      <c r="A903" s="18" t="s">
        <v>1285</v>
      </c>
      <c r="B903" s="7"/>
      <c r="C903" s="7"/>
      <c r="D903" s="7" t="s">
        <v>1285</v>
      </c>
      <c r="E903" s="6">
        <f t="shared" si="28"/>
        <v>1</v>
      </c>
      <c r="F903" s="6" t="str">
        <f t="shared" si="29"/>
        <v>Only YAKE</v>
      </c>
      <c r="G903" s="7" t="s">
        <v>2205</v>
      </c>
      <c r="H903" s="7"/>
      <c r="I903" s="19" t="str">
        <f>IF(COUNTIF('Claude vs tools'!$K$2:$P$139,A903)&gt;0,"★ Yes","")</f>
        <v/>
      </c>
    </row>
    <row r="904" spans="1:9" x14ac:dyDescent="0.3">
      <c r="A904" s="18" t="s">
        <v>1286</v>
      </c>
      <c r="B904" s="7" t="s">
        <v>1286</v>
      </c>
      <c r="C904" s="7"/>
      <c r="D904" s="7"/>
      <c r="E904" s="6">
        <f t="shared" si="28"/>
        <v>1</v>
      </c>
      <c r="F904" s="6" t="str">
        <f t="shared" si="29"/>
        <v>Only Gemini</v>
      </c>
      <c r="G904" s="7" t="s">
        <v>2206</v>
      </c>
      <c r="H904" s="7"/>
      <c r="I904" s="19" t="str">
        <f>IF(COUNTIF('Claude vs tools'!$K$2:$P$139,A904)&gt;0,"★ Yes","")</f>
        <v/>
      </c>
    </row>
    <row r="905" spans="1:9" x14ac:dyDescent="0.3">
      <c r="A905" s="18" t="s">
        <v>1287</v>
      </c>
      <c r="B905" s="7"/>
      <c r="C905" s="7"/>
      <c r="D905" s="7" t="s">
        <v>1287</v>
      </c>
      <c r="E905" s="6">
        <f t="shared" si="28"/>
        <v>1</v>
      </c>
      <c r="F905" s="6" t="str">
        <f t="shared" si="29"/>
        <v>Only YAKE</v>
      </c>
      <c r="G905" s="7" t="s">
        <v>795</v>
      </c>
      <c r="H905" s="7"/>
      <c r="I905" s="19" t="str">
        <f>IF(COUNTIF('Claude vs tools'!$K$2:$P$139,A905)&gt;0,"★ Yes","")</f>
        <v/>
      </c>
    </row>
    <row r="906" spans="1:9" x14ac:dyDescent="0.3">
      <c r="A906" s="18" t="s">
        <v>1288</v>
      </c>
      <c r="B906" s="7"/>
      <c r="C906" s="7" t="s">
        <v>1288</v>
      </c>
      <c r="D906" s="7"/>
      <c r="E906" s="6">
        <f t="shared" si="28"/>
        <v>1</v>
      </c>
      <c r="F906" s="6" t="str">
        <f t="shared" si="29"/>
        <v>Only RAKE</v>
      </c>
      <c r="G906" s="7" t="s">
        <v>1880</v>
      </c>
      <c r="H906" s="7"/>
      <c r="I906" s="19" t="str">
        <f>IF(COUNTIF('Claude vs tools'!$K$2:$P$139,A906)&gt;0,"★ Yes","")</f>
        <v/>
      </c>
    </row>
    <row r="907" spans="1:9" x14ac:dyDescent="0.3">
      <c r="A907" s="18" t="s">
        <v>1289</v>
      </c>
      <c r="B907" s="7"/>
      <c r="C907" s="7" t="s">
        <v>1289</v>
      </c>
      <c r="D907" s="7"/>
      <c r="E907" s="6">
        <f t="shared" si="28"/>
        <v>1</v>
      </c>
      <c r="F907" s="6" t="str">
        <f t="shared" si="29"/>
        <v>Only RAKE</v>
      </c>
      <c r="G907" s="7" t="s">
        <v>795</v>
      </c>
      <c r="H907" s="7"/>
      <c r="I907" s="19" t="str">
        <f>IF(COUNTIF('Claude vs tools'!$K$2:$P$139,A907)&gt;0,"★ Yes","")</f>
        <v/>
      </c>
    </row>
    <row r="908" spans="1:9" x14ac:dyDescent="0.3">
      <c r="A908" s="18" t="s">
        <v>1290</v>
      </c>
      <c r="B908" s="7"/>
      <c r="C908" s="7" t="s">
        <v>1290</v>
      </c>
      <c r="D908" s="7"/>
      <c r="E908" s="6">
        <f t="shared" si="28"/>
        <v>1</v>
      </c>
      <c r="F908" s="6" t="str">
        <f t="shared" si="29"/>
        <v>Only RAKE</v>
      </c>
      <c r="G908" s="7" t="s">
        <v>1783</v>
      </c>
      <c r="H908" s="7"/>
      <c r="I908" s="19" t="str">
        <f>IF(COUNTIF('Claude vs tools'!$K$2:$P$139,A908)&gt;0,"★ Yes","")</f>
        <v/>
      </c>
    </row>
    <row r="909" spans="1:9" ht="39.6" x14ac:dyDescent="0.3">
      <c r="A909" s="18" t="s">
        <v>1291</v>
      </c>
      <c r="B909" s="7" t="s">
        <v>1291</v>
      </c>
      <c r="C909" s="7"/>
      <c r="D909" s="7"/>
      <c r="E909" s="6">
        <f t="shared" si="28"/>
        <v>1</v>
      </c>
      <c r="F909" s="6" t="str">
        <f t="shared" si="29"/>
        <v>Only Gemini</v>
      </c>
      <c r="G909" s="7" t="s">
        <v>2207</v>
      </c>
      <c r="H909" s="7" t="s">
        <v>808</v>
      </c>
      <c r="I909" s="19" t="str">
        <f>IF(COUNTIF('Claude vs tools'!$K$2:$P$139,A909)&gt;0,"★ Yes","")</f>
        <v/>
      </c>
    </row>
    <row r="910" spans="1:9" x14ac:dyDescent="0.3">
      <c r="A910" s="18" t="s">
        <v>1292</v>
      </c>
      <c r="B910" s="7" t="s">
        <v>1292</v>
      </c>
      <c r="C910" s="7"/>
      <c r="D910" s="7"/>
      <c r="E910" s="6">
        <f t="shared" si="28"/>
        <v>1</v>
      </c>
      <c r="F910" s="6" t="str">
        <f t="shared" si="29"/>
        <v>Only Gemini</v>
      </c>
      <c r="G910" s="7" t="s">
        <v>2208</v>
      </c>
      <c r="H910" s="7"/>
      <c r="I910" s="19" t="str">
        <f>IF(COUNTIF('Claude vs tools'!$K$2:$P$139,A910)&gt;0,"★ Yes","")</f>
        <v/>
      </c>
    </row>
    <row r="911" spans="1:9" ht="26.4" x14ac:dyDescent="0.3">
      <c r="A911" s="18" t="s">
        <v>1293</v>
      </c>
      <c r="B911" s="7" t="s">
        <v>1293</v>
      </c>
      <c r="C911" s="7"/>
      <c r="D911" s="7"/>
      <c r="E911" s="6">
        <f t="shared" si="28"/>
        <v>1</v>
      </c>
      <c r="F911" s="6" t="str">
        <f t="shared" si="29"/>
        <v>Only Gemini</v>
      </c>
      <c r="G911" s="7" t="s">
        <v>2209</v>
      </c>
      <c r="H911" s="7"/>
      <c r="I911" s="19" t="str">
        <f>IF(COUNTIF('Claude vs tools'!$K$2:$P$139,A911)&gt;0,"★ Yes","")</f>
        <v/>
      </c>
    </row>
    <row r="912" spans="1:9" x14ac:dyDescent="0.3">
      <c r="A912" s="18" t="s">
        <v>1294</v>
      </c>
      <c r="B912" s="7" t="s">
        <v>1294</v>
      </c>
      <c r="C912" s="7"/>
      <c r="D912" s="7"/>
      <c r="E912" s="6">
        <f t="shared" si="28"/>
        <v>1</v>
      </c>
      <c r="F912" s="6" t="str">
        <f t="shared" si="29"/>
        <v>Only Gemini</v>
      </c>
      <c r="G912" s="7" t="s">
        <v>2210</v>
      </c>
      <c r="H912" s="7"/>
      <c r="I912" s="19" t="str">
        <f>IF(COUNTIF('Claude vs tools'!$K$2:$P$139,A912)&gt;0,"★ Yes","")</f>
        <v/>
      </c>
    </row>
    <row r="913" spans="1:9" x14ac:dyDescent="0.3">
      <c r="A913" s="18" t="s">
        <v>1295</v>
      </c>
      <c r="B913" s="7" t="s">
        <v>1295</v>
      </c>
      <c r="C913" s="7"/>
      <c r="D913" s="7"/>
      <c r="E913" s="6">
        <f t="shared" si="28"/>
        <v>1</v>
      </c>
      <c r="F913" s="6" t="str">
        <f t="shared" si="29"/>
        <v>Only Gemini</v>
      </c>
      <c r="G913" s="7" t="s">
        <v>2211</v>
      </c>
      <c r="H913" s="7"/>
      <c r="I913" s="19" t="str">
        <f>IF(COUNTIF('Claude vs tools'!$K$2:$P$139,A913)&gt;0,"★ Yes","")</f>
        <v/>
      </c>
    </row>
    <row r="914" spans="1:9" ht="26.4" x14ac:dyDescent="0.3">
      <c r="A914" s="18" t="s">
        <v>1296</v>
      </c>
      <c r="B914" s="7"/>
      <c r="C914" s="7"/>
      <c r="D914" s="7" t="s">
        <v>1296</v>
      </c>
      <c r="E914" s="6">
        <f t="shared" si="28"/>
        <v>1</v>
      </c>
      <c r="F914" s="6" t="str">
        <f t="shared" si="29"/>
        <v>Only YAKE</v>
      </c>
      <c r="G914" s="7" t="s">
        <v>2212</v>
      </c>
      <c r="H914" s="7"/>
      <c r="I914" s="19" t="str">
        <f>IF(COUNTIF('Claude vs tools'!$K$2:$P$139,A914)&gt;0,"★ Yes","")</f>
        <v/>
      </c>
    </row>
    <row r="915" spans="1:9" x14ac:dyDescent="0.3">
      <c r="A915" s="18" t="s">
        <v>1297</v>
      </c>
      <c r="B915" s="7"/>
      <c r="C915" s="7" t="s">
        <v>1297</v>
      </c>
      <c r="D915" s="7"/>
      <c r="E915" s="6">
        <f t="shared" si="28"/>
        <v>1</v>
      </c>
      <c r="F915" s="6" t="str">
        <f t="shared" si="29"/>
        <v>Only RAKE</v>
      </c>
      <c r="G915" s="7" t="s">
        <v>2213</v>
      </c>
      <c r="H915" s="7" t="s">
        <v>808</v>
      </c>
      <c r="I915" s="19" t="str">
        <f>IF(COUNTIF('Claude vs tools'!$K$2:$P$139,A915)&gt;0,"★ Yes","")</f>
        <v/>
      </c>
    </row>
    <row r="916" spans="1:9" x14ac:dyDescent="0.3">
      <c r="A916" s="18" t="s">
        <v>1298</v>
      </c>
      <c r="B916" s="7" t="s">
        <v>1298</v>
      </c>
      <c r="C916" s="7"/>
      <c r="D916" s="7"/>
      <c r="E916" s="6">
        <f t="shared" si="28"/>
        <v>1</v>
      </c>
      <c r="F916" s="6" t="str">
        <f t="shared" si="29"/>
        <v>Only Gemini</v>
      </c>
      <c r="G916" s="7" t="s">
        <v>2214</v>
      </c>
      <c r="H916" s="7"/>
      <c r="I916" s="19" t="str">
        <f>IF(COUNTIF('Claude vs tools'!$K$2:$P$139,A916)&gt;0,"★ Yes","")</f>
        <v/>
      </c>
    </row>
    <row r="917" spans="1:9" ht="26.4" x14ac:dyDescent="0.3">
      <c r="A917" s="18" t="s">
        <v>1299</v>
      </c>
      <c r="B917" s="7" t="s">
        <v>1299</v>
      </c>
      <c r="C917" s="7"/>
      <c r="D917" s="7"/>
      <c r="E917" s="6">
        <f t="shared" si="28"/>
        <v>1</v>
      </c>
      <c r="F917" s="6" t="str">
        <f t="shared" si="29"/>
        <v>Only Gemini</v>
      </c>
      <c r="G917" s="7" t="s">
        <v>2215</v>
      </c>
      <c r="H917" s="7"/>
      <c r="I917" s="19" t="str">
        <f>IF(COUNTIF('Claude vs tools'!$K$2:$P$139,A917)&gt;0,"★ Yes","")</f>
        <v/>
      </c>
    </row>
    <row r="918" spans="1:9" x14ac:dyDescent="0.3">
      <c r="A918" s="18" t="s">
        <v>1300</v>
      </c>
      <c r="B918" s="7" t="s">
        <v>1300</v>
      </c>
      <c r="C918" s="7"/>
      <c r="D918" s="7"/>
      <c r="E918" s="6">
        <f t="shared" si="28"/>
        <v>1</v>
      </c>
      <c r="F918" s="6" t="str">
        <f t="shared" si="29"/>
        <v>Only Gemini</v>
      </c>
      <c r="G918" s="7" t="s">
        <v>2216</v>
      </c>
      <c r="H918" s="7"/>
      <c r="I918" s="19" t="str">
        <f>IF(COUNTIF('Claude vs tools'!$K$2:$P$139,A918)&gt;0,"★ Yes","")</f>
        <v/>
      </c>
    </row>
    <row r="919" spans="1:9" x14ac:dyDescent="0.3">
      <c r="A919" s="18" t="s">
        <v>1301</v>
      </c>
      <c r="B919" s="7"/>
      <c r="C919" s="7" t="s">
        <v>1301</v>
      </c>
      <c r="D919" s="7"/>
      <c r="E919" s="6">
        <f t="shared" si="28"/>
        <v>1</v>
      </c>
      <c r="F919" s="6" t="str">
        <f t="shared" si="29"/>
        <v>Only RAKE</v>
      </c>
      <c r="G919" s="7" t="s">
        <v>795</v>
      </c>
      <c r="H919" s="7"/>
      <c r="I919" s="19" t="str">
        <f>IF(COUNTIF('Claude vs tools'!$K$2:$P$139,A919)&gt;0,"★ Yes","")</f>
        <v/>
      </c>
    </row>
    <row r="920" spans="1:9" x14ac:dyDescent="0.3">
      <c r="A920" s="18" t="s">
        <v>1302</v>
      </c>
      <c r="B920" s="7"/>
      <c r="C920" s="7" t="s">
        <v>1302</v>
      </c>
      <c r="D920" s="7"/>
      <c r="E920" s="6">
        <f t="shared" si="28"/>
        <v>1</v>
      </c>
      <c r="F920" s="6" t="str">
        <f t="shared" si="29"/>
        <v>Only RAKE</v>
      </c>
      <c r="G920" s="7" t="s">
        <v>795</v>
      </c>
      <c r="H920" s="7"/>
      <c r="I920" s="19" t="str">
        <f>IF(COUNTIF('Claude vs tools'!$K$2:$P$139,A920)&gt;0,"★ Yes","")</f>
        <v/>
      </c>
    </row>
    <row r="921" spans="1:9" ht="26.4" x14ac:dyDescent="0.3">
      <c r="A921" s="18" t="s">
        <v>1303</v>
      </c>
      <c r="B921" s="7"/>
      <c r="C921" s="7"/>
      <c r="D921" s="7" t="s">
        <v>1303</v>
      </c>
      <c r="E921" s="6">
        <f t="shared" si="28"/>
        <v>1</v>
      </c>
      <c r="F921" s="6" t="str">
        <f t="shared" si="29"/>
        <v>Only YAKE</v>
      </c>
      <c r="G921" s="7" t="s">
        <v>2217</v>
      </c>
      <c r="H921" s="7"/>
      <c r="I921" s="19" t="str">
        <f>IF(COUNTIF('Claude vs tools'!$K$2:$P$139,A921)&gt;0,"★ Yes","")</f>
        <v/>
      </c>
    </row>
    <row r="922" spans="1:9" x14ac:dyDescent="0.3">
      <c r="A922" s="18" t="s">
        <v>1304</v>
      </c>
      <c r="B922" s="7"/>
      <c r="C922" s="7"/>
      <c r="D922" s="7" t="s">
        <v>1304</v>
      </c>
      <c r="E922" s="6">
        <f t="shared" si="28"/>
        <v>1</v>
      </c>
      <c r="F922" s="6" t="str">
        <f t="shared" si="29"/>
        <v>Only YAKE</v>
      </c>
      <c r="G922" s="7" t="s">
        <v>2218</v>
      </c>
      <c r="H922" s="7"/>
      <c r="I922" s="19" t="str">
        <f>IF(COUNTIF('Claude vs tools'!$K$2:$P$139,A922)&gt;0,"★ Yes","")</f>
        <v/>
      </c>
    </row>
    <row r="923" spans="1:9" x14ac:dyDescent="0.3">
      <c r="A923" s="18" t="s">
        <v>145</v>
      </c>
      <c r="B923" s="7"/>
      <c r="C923" s="7" t="s">
        <v>145</v>
      </c>
      <c r="D923" s="7"/>
      <c r="E923" s="6">
        <f t="shared" si="28"/>
        <v>1</v>
      </c>
      <c r="F923" s="6" t="str">
        <f t="shared" si="29"/>
        <v>Only RAKE</v>
      </c>
      <c r="G923" s="7" t="s">
        <v>2219</v>
      </c>
      <c r="H923" s="7"/>
      <c r="I923" s="19" t="str">
        <f>IF(COUNTIF('Claude vs tools'!$K$2:$P$139,A923)&gt;0,"★ Yes","")</f>
        <v>★ Yes</v>
      </c>
    </row>
    <row r="924" spans="1:9" x14ac:dyDescent="0.3">
      <c r="A924" s="18" t="s">
        <v>1305</v>
      </c>
      <c r="B924" s="7"/>
      <c r="C924" s="7" t="s">
        <v>1305</v>
      </c>
      <c r="D924" s="7"/>
      <c r="E924" s="6">
        <f t="shared" si="28"/>
        <v>1</v>
      </c>
      <c r="F924" s="6" t="str">
        <f t="shared" si="29"/>
        <v>Only RAKE</v>
      </c>
      <c r="G924" s="7" t="s">
        <v>2220</v>
      </c>
      <c r="H924" s="7"/>
      <c r="I924" s="19" t="str">
        <f>IF(COUNTIF('Claude vs tools'!$K$2:$P$139,A924)&gt;0,"★ Yes","")</f>
        <v/>
      </c>
    </row>
    <row r="925" spans="1:9" x14ac:dyDescent="0.3">
      <c r="A925" s="18" t="s">
        <v>56</v>
      </c>
      <c r="B925" s="7"/>
      <c r="C925" s="7" t="s">
        <v>56</v>
      </c>
      <c r="D925" s="7"/>
      <c r="E925" s="6">
        <f t="shared" si="28"/>
        <v>1</v>
      </c>
      <c r="F925" s="6" t="str">
        <f t="shared" si="29"/>
        <v>Only RAKE</v>
      </c>
      <c r="G925" s="7" t="s">
        <v>2221</v>
      </c>
      <c r="H925" s="7"/>
      <c r="I925" s="19" t="str">
        <f>IF(COUNTIF('Claude vs tools'!$K$2:$P$139,A925)&gt;0,"★ Yes","")</f>
        <v>★ Yes</v>
      </c>
    </row>
    <row r="926" spans="1:9" x14ac:dyDescent="0.3">
      <c r="A926" s="18" t="s">
        <v>1306</v>
      </c>
      <c r="B926" s="7"/>
      <c r="C926" s="7"/>
      <c r="D926" s="7" t="s">
        <v>1306</v>
      </c>
      <c r="E926" s="6">
        <f t="shared" si="28"/>
        <v>1</v>
      </c>
      <c r="F926" s="6" t="str">
        <f t="shared" si="29"/>
        <v>Only YAKE</v>
      </c>
      <c r="G926" s="7" t="s">
        <v>2222</v>
      </c>
      <c r="H926" s="7"/>
      <c r="I926" s="19" t="str">
        <f>IF(COUNTIF('Claude vs tools'!$K$2:$P$139,A926)&gt;0,"★ Yes","")</f>
        <v/>
      </c>
    </row>
    <row r="927" spans="1:9" ht="26.4" x14ac:dyDescent="0.3">
      <c r="A927" s="18" t="s">
        <v>1307</v>
      </c>
      <c r="B927" s="7"/>
      <c r="C927" s="7"/>
      <c r="D927" s="7" t="s">
        <v>1307</v>
      </c>
      <c r="E927" s="6">
        <f t="shared" si="28"/>
        <v>1</v>
      </c>
      <c r="F927" s="6" t="str">
        <f t="shared" si="29"/>
        <v>Only YAKE</v>
      </c>
      <c r="G927" s="7" t="s">
        <v>2223</v>
      </c>
      <c r="H927" s="7"/>
      <c r="I927" s="19" t="str">
        <f>IF(COUNTIF('Claude vs tools'!$K$2:$P$139,A927)&gt;0,"★ Yes","")</f>
        <v/>
      </c>
    </row>
    <row r="928" spans="1:9" x14ac:dyDescent="0.3">
      <c r="A928" s="18" t="s">
        <v>1308</v>
      </c>
      <c r="B928" s="7"/>
      <c r="C928" s="7" t="s">
        <v>1308</v>
      </c>
      <c r="D928" s="7"/>
      <c r="E928" s="6">
        <f t="shared" si="28"/>
        <v>1</v>
      </c>
      <c r="F928" s="6" t="str">
        <f t="shared" si="29"/>
        <v>Only RAKE</v>
      </c>
      <c r="G928" s="7" t="s">
        <v>2224</v>
      </c>
      <c r="H928" s="7"/>
      <c r="I928" s="19" t="str">
        <f>IF(COUNTIF('Claude vs tools'!$K$2:$P$139,A928)&gt;0,"★ Yes","")</f>
        <v/>
      </c>
    </row>
    <row r="929" spans="1:9" x14ac:dyDescent="0.3">
      <c r="A929" s="18" t="s">
        <v>1309</v>
      </c>
      <c r="B929" s="7"/>
      <c r="C929" s="7" t="s">
        <v>1309</v>
      </c>
      <c r="D929" s="7"/>
      <c r="E929" s="6">
        <f t="shared" si="28"/>
        <v>1</v>
      </c>
      <c r="F929" s="6" t="str">
        <f t="shared" si="29"/>
        <v>Only RAKE</v>
      </c>
      <c r="G929" s="7" t="s">
        <v>2091</v>
      </c>
      <c r="H929" s="7"/>
      <c r="I929" s="19" t="str">
        <f>IF(COUNTIF('Claude vs tools'!$K$2:$P$139,A929)&gt;0,"★ Yes","")</f>
        <v/>
      </c>
    </row>
    <row r="930" spans="1:9" ht="26.4" x14ac:dyDescent="0.3">
      <c r="A930" s="18" t="s">
        <v>1310</v>
      </c>
      <c r="B930" s="7"/>
      <c r="C930" s="7"/>
      <c r="D930" s="7" t="s">
        <v>1310</v>
      </c>
      <c r="E930" s="6">
        <f t="shared" si="28"/>
        <v>1</v>
      </c>
      <c r="F930" s="6" t="str">
        <f t="shared" si="29"/>
        <v>Only YAKE</v>
      </c>
      <c r="G930" s="7" t="s">
        <v>2225</v>
      </c>
      <c r="H930" s="7"/>
      <c r="I930" s="19" t="str">
        <f>IF(COUNTIF('Claude vs tools'!$K$2:$P$139,A930)&gt;0,"★ Yes","")</f>
        <v/>
      </c>
    </row>
    <row r="931" spans="1:9" x14ac:dyDescent="0.3">
      <c r="A931" s="18" t="s">
        <v>1311</v>
      </c>
      <c r="B931" s="7"/>
      <c r="C931" s="7" t="s">
        <v>1311</v>
      </c>
      <c r="D931" s="7"/>
      <c r="E931" s="6">
        <f t="shared" si="28"/>
        <v>1</v>
      </c>
      <c r="F931" s="6" t="str">
        <f t="shared" si="29"/>
        <v>Only RAKE</v>
      </c>
      <c r="G931" s="7" t="s">
        <v>795</v>
      </c>
      <c r="H931" s="7"/>
      <c r="I931" s="19" t="str">
        <f>IF(COUNTIF('Claude vs tools'!$K$2:$P$139,A931)&gt;0,"★ Yes","")</f>
        <v/>
      </c>
    </row>
    <row r="932" spans="1:9" x14ac:dyDescent="0.3">
      <c r="A932" s="18" t="s">
        <v>1312</v>
      </c>
      <c r="B932" s="7"/>
      <c r="C932" s="7"/>
      <c r="D932" s="7" t="s">
        <v>1312</v>
      </c>
      <c r="E932" s="6">
        <f t="shared" si="28"/>
        <v>1</v>
      </c>
      <c r="F932" s="6" t="str">
        <f t="shared" si="29"/>
        <v>Only YAKE</v>
      </c>
      <c r="G932" s="7" t="s">
        <v>1449</v>
      </c>
      <c r="H932" s="7"/>
      <c r="I932" s="19" t="str">
        <f>IF(COUNTIF('Claude vs tools'!$K$2:$P$139,A932)&gt;0,"★ Yes","")</f>
        <v/>
      </c>
    </row>
    <row r="933" spans="1:9" x14ac:dyDescent="0.3">
      <c r="A933" s="18" t="s">
        <v>1313</v>
      </c>
      <c r="B933" s="7"/>
      <c r="C933" s="7" t="s">
        <v>1313</v>
      </c>
      <c r="D933" s="7"/>
      <c r="E933" s="6">
        <f t="shared" si="28"/>
        <v>1</v>
      </c>
      <c r="F933" s="6" t="str">
        <f t="shared" si="29"/>
        <v>Only RAKE</v>
      </c>
      <c r="G933" s="7" t="s">
        <v>2226</v>
      </c>
      <c r="H933" s="7"/>
      <c r="I933" s="19" t="str">
        <f>IF(COUNTIF('Claude vs tools'!$K$2:$P$139,A933)&gt;0,"★ Yes","")</f>
        <v/>
      </c>
    </row>
    <row r="934" spans="1:9" x14ac:dyDescent="0.3">
      <c r="A934" s="18" t="s">
        <v>1314</v>
      </c>
      <c r="B934" s="7"/>
      <c r="C934" s="7" t="s">
        <v>1314</v>
      </c>
      <c r="D934" s="7"/>
      <c r="E934" s="6">
        <f t="shared" si="28"/>
        <v>1</v>
      </c>
      <c r="F934" s="6" t="str">
        <f t="shared" si="29"/>
        <v>Only RAKE</v>
      </c>
      <c r="G934" s="7" t="s">
        <v>795</v>
      </c>
      <c r="H934" s="7"/>
      <c r="I934" s="19" t="str">
        <f>IF(COUNTIF('Claude vs tools'!$K$2:$P$139,A934)&gt;0,"★ Yes","")</f>
        <v/>
      </c>
    </row>
    <row r="935" spans="1:9" ht="26.4" x14ac:dyDescent="0.3">
      <c r="A935" s="18" t="s">
        <v>1315</v>
      </c>
      <c r="B935" s="7"/>
      <c r="C935" s="7"/>
      <c r="D935" s="7" t="s">
        <v>1315</v>
      </c>
      <c r="E935" s="6">
        <f t="shared" si="28"/>
        <v>1</v>
      </c>
      <c r="F935" s="6" t="str">
        <f t="shared" si="29"/>
        <v>Only YAKE</v>
      </c>
      <c r="G935" s="7" t="s">
        <v>2227</v>
      </c>
      <c r="H935" s="7"/>
      <c r="I935" s="19" t="str">
        <f>IF(COUNTIF('Claude vs tools'!$K$2:$P$139,A935)&gt;0,"★ Yes","")</f>
        <v/>
      </c>
    </row>
    <row r="936" spans="1:9" x14ac:dyDescent="0.3">
      <c r="A936" s="18" t="s">
        <v>1316</v>
      </c>
      <c r="B936" s="7"/>
      <c r="C936" s="7" t="s">
        <v>1316</v>
      </c>
      <c r="D936" s="7"/>
      <c r="E936" s="6">
        <f t="shared" si="28"/>
        <v>1</v>
      </c>
      <c r="F936" s="6" t="str">
        <f t="shared" si="29"/>
        <v>Only RAKE</v>
      </c>
      <c r="G936" s="7" t="s">
        <v>2228</v>
      </c>
      <c r="H936" s="7"/>
      <c r="I936" s="19" t="str">
        <f>IF(COUNTIF('Claude vs tools'!$K$2:$P$139,A936)&gt;0,"★ Yes","")</f>
        <v/>
      </c>
    </row>
    <row r="937" spans="1:9" x14ac:dyDescent="0.3">
      <c r="A937" s="18" t="s">
        <v>1317</v>
      </c>
      <c r="B937" s="7"/>
      <c r="C937" s="7" t="s">
        <v>1317</v>
      </c>
      <c r="D937" s="7"/>
      <c r="E937" s="6">
        <f t="shared" si="28"/>
        <v>1</v>
      </c>
      <c r="F937" s="6" t="str">
        <f t="shared" si="29"/>
        <v>Only RAKE</v>
      </c>
      <c r="G937" s="7" t="s">
        <v>2229</v>
      </c>
      <c r="H937" s="7"/>
      <c r="I937" s="19" t="str">
        <f>IF(COUNTIF('Claude vs tools'!$K$2:$P$139,A937)&gt;0,"★ Yes","")</f>
        <v/>
      </c>
    </row>
    <row r="938" spans="1:9" x14ac:dyDescent="0.3">
      <c r="A938" s="18" t="s">
        <v>1318</v>
      </c>
      <c r="B938" s="7"/>
      <c r="C938" s="7" t="s">
        <v>1318</v>
      </c>
      <c r="D938" s="7"/>
      <c r="E938" s="6">
        <f t="shared" si="28"/>
        <v>1</v>
      </c>
      <c r="F938" s="6" t="str">
        <f t="shared" si="29"/>
        <v>Only RAKE</v>
      </c>
      <c r="G938" s="7" t="s">
        <v>2230</v>
      </c>
      <c r="H938" s="7"/>
      <c r="I938" s="19" t="str">
        <f>IF(COUNTIF('Claude vs tools'!$K$2:$P$139,A938)&gt;0,"★ Yes","")</f>
        <v/>
      </c>
    </row>
    <row r="939" spans="1:9" x14ac:dyDescent="0.3">
      <c r="A939" s="18" t="s">
        <v>1319</v>
      </c>
      <c r="B939" s="7"/>
      <c r="C939" s="7" t="s">
        <v>1319</v>
      </c>
      <c r="D939" s="7"/>
      <c r="E939" s="6">
        <f t="shared" si="28"/>
        <v>1</v>
      </c>
      <c r="F939" s="6" t="str">
        <f t="shared" si="29"/>
        <v>Only RAKE</v>
      </c>
      <c r="G939" s="7" t="s">
        <v>2231</v>
      </c>
      <c r="H939" s="7"/>
      <c r="I939" s="19" t="str">
        <f>IF(COUNTIF('Claude vs tools'!$K$2:$P$139,A939)&gt;0,"★ Yes","")</f>
        <v/>
      </c>
    </row>
    <row r="940" spans="1:9" x14ac:dyDescent="0.3">
      <c r="A940" s="18" t="s">
        <v>1320</v>
      </c>
      <c r="B940" s="7"/>
      <c r="C940" s="7" t="s">
        <v>1320</v>
      </c>
      <c r="D940" s="7"/>
      <c r="E940" s="6">
        <f t="shared" si="28"/>
        <v>1</v>
      </c>
      <c r="F940" s="6" t="str">
        <f t="shared" si="29"/>
        <v>Only RAKE</v>
      </c>
      <c r="G940" s="7" t="s">
        <v>1742</v>
      </c>
      <c r="H940" s="7"/>
      <c r="I940" s="19" t="str">
        <f>IF(COUNTIF('Claude vs tools'!$K$2:$P$139,A940)&gt;0,"★ Yes","")</f>
        <v/>
      </c>
    </row>
    <row r="941" spans="1:9" x14ac:dyDescent="0.3">
      <c r="A941" s="18" t="s">
        <v>1321</v>
      </c>
      <c r="B941" s="7"/>
      <c r="C941" s="7" t="s">
        <v>1321</v>
      </c>
      <c r="D941" s="7"/>
      <c r="E941" s="6">
        <f t="shared" si="28"/>
        <v>1</v>
      </c>
      <c r="F941" s="6" t="str">
        <f t="shared" si="29"/>
        <v>Only RAKE</v>
      </c>
      <c r="G941" s="7" t="s">
        <v>1672</v>
      </c>
      <c r="H941" s="7"/>
      <c r="I941" s="19" t="str">
        <f>IF(COUNTIF('Claude vs tools'!$K$2:$P$139,A941)&gt;0,"★ Yes","")</f>
        <v/>
      </c>
    </row>
    <row r="942" spans="1:9" x14ac:dyDescent="0.3">
      <c r="A942" s="18" t="s">
        <v>1322</v>
      </c>
      <c r="B942" s="7"/>
      <c r="C942" s="7" t="s">
        <v>1322</v>
      </c>
      <c r="D942" s="7"/>
      <c r="E942" s="6">
        <f t="shared" si="28"/>
        <v>1</v>
      </c>
      <c r="F942" s="6" t="str">
        <f t="shared" si="29"/>
        <v>Only RAKE</v>
      </c>
      <c r="G942" s="7" t="s">
        <v>795</v>
      </c>
      <c r="H942" s="7"/>
      <c r="I942" s="19" t="str">
        <f>IF(COUNTIF('Claude vs tools'!$K$2:$P$139,A942)&gt;0,"★ Yes","")</f>
        <v/>
      </c>
    </row>
    <row r="943" spans="1:9" x14ac:dyDescent="0.3">
      <c r="A943" s="18" t="s">
        <v>1323</v>
      </c>
      <c r="B943" s="7"/>
      <c r="C943" s="7" t="s">
        <v>1323</v>
      </c>
      <c r="D943" s="7"/>
      <c r="E943" s="6">
        <f t="shared" si="28"/>
        <v>1</v>
      </c>
      <c r="F943" s="6" t="str">
        <f t="shared" si="29"/>
        <v>Only RAKE</v>
      </c>
      <c r="G943" s="7" t="s">
        <v>2232</v>
      </c>
      <c r="H943" s="7"/>
      <c r="I943" s="19" t="str">
        <f>IF(COUNTIF('Claude vs tools'!$K$2:$P$139,A943)&gt;0,"★ Yes","")</f>
        <v/>
      </c>
    </row>
    <row r="944" spans="1:9" x14ac:dyDescent="0.3">
      <c r="A944" s="18" t="s">
        <v>1324</v>
      </c>
      <c r="B944" s="7"/>
      <c r="C944" s="7" t="s">
        <v>1324</v>
      </c>
      <c r="D944" s="7"/>
      <c r="E944" s="6">
        <f t="shared" si="28"/>
        <v>1</v>
      </c>
      <c r="F944" s="6" t="str">
        <f t="shared" si="29"/>
        <v>Only RAKE</v>
      </c>
      <c r="G944" s="7" t="s">
        <v>1947</v>
      </c>
      <c r="H944" s="7"/>
      <c r="I944" s="19" t="str">
        <f>IF(COUNTIF('Claude vs tools'!$K$2:$P$139,A944)&gt;0,"★ Yes","")</f>
        <v/>
      </c>
    </row>
    <row r="945" spans="1:9" x14ac:dyDescent="0.3">
      <c r="A945" s="18" t="s">
        <v>1325</v>
      </c>
      <c r="B945" s="7"/>
      <c r="C945" s="7" t="s">
        <v>1325</v>
      </c>
      <c r="D945" s="7"/>
      <c r="E945" s="6">
        <f t="shared" si="28"/>
        <v>1</v>
      </c>
      <c r="F945" s="6" t="str">
        <f t="shared" si="29"/>
        <v>Only RAKE</v>
      </c>
      <c r="G945" s="7" t="s">
        <v>1947</v>
      </c>
      <c r="H945" s="7"/>
      <c r="I945" s="19" t="str">
        <f>IF(COUNTIF('Claude vs tools'!$K$2:$P$139,A945)&gt;0,"★ Yes","")</f>
        <v/>
      </c>
    </row>
    <row r="946" spans="1:9" x14ac:dyDescent="0.3">
      <c r="A946" s="18" t="s">
        <v>1326</v>
      </c>
      <c r="B946" s="7"/>
      <c r="C946" s="7"/>
      <c r="D946" s="7" t="s">
        <v>1326</v>
      </c>
      <c r="E946" s="6">
        <f t="shared" si="28"/>
        <v>1</v>
      </c>
      <c r="F946" s="6" t="str">
        <f t="shared" si="29"/>
        <v>Only YAKE</v>
      </c>
      <c r="G946" s="7" t="s">
        <v>2233</v>
      </c>
      <c r="H946" s="7"/>
      <c r="I946" s="19" t="str">
        <f>IF(COUNTIF('Claude vs tools'!$K$2:$P$139,A946)&gt;0,"★ Yes","")</f>
        <v/>
      </c>
    </row>
    <row r="947" spans="1:9" x14ac:dyDescent="0.3">
      <c r="A947" s="18" t="s">
        <v>1327</v>
      </c>
      <c r="B947" s="7"/>
      <c r="C947" s="7" t="s">
        <v>1327</v>
      </c>
      <c r="D947" s="7"/>
      <c r="E947" s="6">
        <f t="shared" si="28"/>
        <v>1</v>
      </c>
      <c r="F947" s="6" t="str">
        <f t="shared" si="29"/>
        <v>Only RAKE</v>
      </c>
      <c r="G947" s="7" t="s">
        <v>795</v>
      </c>
      <c r="H947" s="7"/>
      <c r="I947" s="19" t="str">
        <f>IF(COUNTIF('Claude vs tools'!$K$2:$P$139,A947)&gt;0,"★ Yes","")</f>
        <v/>
      </c>
    </row>
    <row r="948" spans="1:9" x14ac:dyDescent="0.3">
      <c r="A948" s="18" t="s">
        <v>42</v>
      </c>
      <c r="B948" s="7"/>
      <c r="C948" s="7"/>
      <c r="D948" s="7" t="s">
        <v>42</v>
      </c>
      <c r="E948" s="6">
        <f t="shared" si="28"/>
        <v>1</v>
      </c>
      <c r="F948" s="6" t="str">
        <f t="shared" si="29"/>
        <v>Only YAKE</v>
      </c>
      <c r="G948" s="7" t="s">
        <v>2234</v>
      </c>
      <c r="H948" s="7"/>
      <c r="I948" s="19" t="str">
        <f>IF(COUNTIF('Claude vs tools'!$K$2:$P$139,A948)&gt;0,"★ Yes","")</f>
        <v>★ Yes</v>
      </c>
    </row>
    <row r="949" spans="1:9" ht="26.4" x14ac:dyDescent="0.3">
      <c r="A949" s="18" t="s">
        <v>41</v>
      </c>
      <c r="B949" s="7"/>
      <c r="C949" s="7"/>
      <c r="D949" s="7" t="s">
        <v>41</v>
      </c>
      <c r="E949" s="6">
        <f t="shared" si="28"/>
        <v>1</v>
      </c>
      <c r="F949" s="6" t="str">
        <f t="shared" si="29"/>
        <v>Only YAKE</v>
      </c>
      <c r="G949" s="7" t="s">
        <v>2235</v>
      </c>
      <c r="H949" s="7"/>
      <c r="I949" s="19" t="str">
        <f>IF(COUNTIF('Claude vs tools'!$K$2:$P$139,A949)&gt;0,"★ Yes","")</f>
        <v>★ Yes</v>
      </c>
    </row>
    <row r="950" spans="1:9" x14ac:dyDescent="0.3">
      <c r="A950" s="18" t="s">
        <v>1328</v>
      </c>
      <c r="B950" s="7" t="s">
        <v>1328</v>
      </c>
      <c r="C950" s="7"/>
      <c r="D950" s="7"/>
      <c r="E950" s="6">
        <f t="shared" si="28"/>
        <v>1</v>
      </c>
      <c r="F950" s="6" t="str">
        <f t="shared" si="29"/>
        <v>Only Gemini</v>
      </c>
      <c r="G950" s="7" t="s">
        <v>795</v>
      </c>
      <c r="H950" s="7"/>
      <c r="I950" s="19" t="str">
        <f>IF(COUNTIF('Claude vs tools'!$K$2:$P$139,A950)&gt;0,"★ Yes","")</f>
        <v/>
      </c>
    </row>
    <row r="951" spans="1:9" x14ac:dyDescent="0.3">
      <c r="A951" s="18" t="s">
        <v>1329</v>
      </c>
      <c r="B951" s="7"/>
      <c r="C951" s="7"/>
      <c r="D951" s="7" t="s">
        <v>1329</v>
      </c>
      <c r="E951" s="6">
        <f t="shared" si="28"/>
        <v>1</v>
      </c>
      <c r="F951" s="6" t="str">
        <f t="shared" si="29"/>
        <v>Only YAKE</v>
      </c>
      <c r="G951" s="7" t="s">
        <v>2236</v>
      </c>
      <c r="H951" s="7"/>
      <c r="I951" s="19" t="str">
        <f>IF(COUNTIF('Claude vs tools'!$K$2:$P$139,A951)&gt;0,"★ Yes","")</f>
        <v/>
      </c>
    </row>
    <row r="952" spans="1:9" x14ac:dyDescent="0.3">
      <c r="A952" s="18" t="s">
        <v>1330</v>
      </c>
      <c r="B952" s="7"/>
      <c r="C952" s="7" t="s">
        <v>1330</v>
      </c>
      <c r="D952" s="7"/>
      <c r="E952" s="6">
        <f t="shared" si="28"/>
        <v>1</v>
      </c>
      <c r="F952" s="6" t="str">
        <f t="shared" si="29"/>
        <v>Only RAKE</v>
      </c>
      <c r="G952" s="7" t="s">
        <v>2237</v>
      </c>
      <c r="H952" s="7"/>
      <c r="I952" s="19" t="str">
        <f>IF(COUNTIF('Claude vs tools'!$K$2:$P$139,A952)&gt;0,"★ Yes","")</f>
        <v/>
      </c>
    </row>
    <row r="953" spans="1:9" x14ac:dyDescent="0.3">
      <c r="A953" s="18" t="s">
        <v>1331</v>
      </c>
      <c r="B953" s="7"/>
      <c r="C953" s="7" t="s">
        <v>1331</v>
      </c>
      <c r="D953" s="7"/>
      <c r="E953" s="6">
        <f t="shared" si="28"/>
        <v>1</v>
      </c>
      <c r="F953" s="6" t="str">
        <f t="shared" si="29"/>
        <v>Only RAKE</v>
      </c>
      <c r="G953" s="7" t="s">
        <v>2237</v>
      </c>
      <c r="H953" s="7"/>
      <c r="I953" s="19" t="str">
        <f>IF(COUNTIF('Claude vs tools'!$K$2:$P$139,A953)&gt;0,"★ Yes","")</f>
        <v/>
      </c>
    </row>
    <row r="954" spans="1:9" x14ac:dyDescent="0.3">
      <c r="A954" s="18" t="s">
        <v>1332</v>
      </c>
      <c r="B954" s="7"/>
      <c r="C954" s="7" t="s">
        <v>1332</v>
      </c>
      <c r="D954" s="7"/>
      <c r="E954" s="6">
        <f t="shared" si="28"/>
        <v>1</v>
      </c>
      <c r="F954" s="6" t="str">
        <f t="shared" si="29"/>
        <v>Only RAKE</v>
      </c>
      <c r="G954" s="7" t="s">
        <v>2091</v>
      </c>
      <c r="H954" s="7"/>
      <c r="I954" s="19" t="str">
        <f>IF(COUNTIF('Claude vs tools'!$K$2:$P$139,A954)&gt;0,"★ Yes","")</f>
        <v/>
      </c>
    </row>
    <row r="955" spans="1:9" x14ac:dyDescent="0.3">
      <c r="A955" s="18" t="s">
        <v>1333</v>
      </c>
      <c r="B955" s="7"/>
      <c r="C955" s="7" t="s">
        <v>1333</v>
      </c>
      <c r="D955" s="7"/>
      <c r="E955" s="6">
        <f t="shared" si="28"/>
        <v>1</v>
      </c>
      <c r="F955" s="6" t="str">
        <f t="shared" si="29"/>
        <v>Only RAKE</v>
      </c>
      <c r="G955" s="7" t="s">
        <v>2238</v>
      </c>
      <c r="H955" s="7"/>
      <c r="I955" s="19" t="str">
        <f>IF(COUNTIF('Claude vs tools'!$K$2:$P$139,A955)&gt;0,"★ Yes","")</f>
        <v/>
      </c>
    </row>
    <row r="956" spans="1:9" x14ac:dyDescent="0.3">
      <c r="A956" s="18" t="s">
        <v>366</v>
      </c>
      <c r="B956" s="7"/>
      <c r="C956" s="7" t="s">
        <v>366</v>
      </c>
      <c r="D956" s="7"/>
      <c r="E956" s="6">
        <f t="shared" si="28"/>
        <v>1</v>
      </c>
      <c r="F956" s="6" t="str">
        <f t="shared" si="29"/>
        <v>Only RAKE</v>
      </c>
      <c r="G956" s="7" t="s">
        <v>1424</v>
      </c>
      <c r="H956" s="7"/>
      <c r="I956" s="19" t="str">
        <f>IF(COUNTIF('Claude vs tools'!$K$2:$P$139,A956)&gt;0,"★ Yes","")</f>
        <v>★ Yes</v>
      </c>
    </row>
    <row r="957" spans="1:9" x14ac:dyDescent="0.3">
      <c r="A957" s="18" t="s">
        <v>1334</v>
      </c>
      <c r="B957" s="7"/>
      <c r="C957" s="7" t="s">
        <v>1334</v>
      </c>
      <c r="D957" s="7"/>
      <c r="E957" s="6">
        <f t="shared" si="28"/>
        <v>1</v>
      </c>
      <c r="F957" s="6" t="str">
        <f t="shared" si="29"/>
        <v>Only RAKE</v>
      </c>
      <c r="G957" s="7" t="s">
        <v>2239</v>
      </c>
      <c r="H957" s="7"/>
      <c r="I957" s="19" t="str">
        <f>IF(COUNTIF('Claude vs tools'!$K$2:$P$139,A957)&gt;0,"★ Yes","")</f>
        <v/>
      </c>
    </row>
    <row r="958" spans="1:9" x14ac:dyDescent="0.3">
      <c r="A958" s="18" t="s">
        <v>1335</v>
      </c>
      <c r="B958" s="7"/>
      <c r="C958" s="7"/>
      <c r="D958" s="7" t="s">
        <v>1335</v>
      </c>
      <c r="E958" s="6">
        <f t="shared" si="28"/>
        <v>1</v>
      </c>
      <c r="F958" s="6" t="str">
        <f t="shared" si="29"/>
        <v>Only YAKE</v>
      </c>
      <c r="G958" s="7" t="s">
        <v>2240</v>
      </c>
      <c r="H958" s="7"/>
      <c r="I958" s="19" t="str">
        <f>IF(COUNTIF('Claude vs tools'!$K$2:$P$139,A958)&gt;0,"★ Yes","")</f>
        <v/>
      </c>
    </row>
    <row r="959" spans="1:9" x14ac:dyDescent="0.3">
      <c r="A959" s="18" t="s">
        <v>1336</v>
      </c>
      <c r="B959" s="7"/>
      <c r="C959" s="7" t="s">
        <v>1336</v>
      </c>
      <c r="D959" s="7"/>
      <c r="E959" s="6">
        <f t="shared" si="28"/>
        <v>1</v>
      </c>
      <c r="F959" s="6" t="str">
        <f t="shared" si="29"/>
        <v>Only RAKE</v>
      </c>
      <c r="G959" s="7" t="s">
        <v>795</v>
      </c>
      <c r="H959" s="7"/>
      <c r="I959" s="19" t="str">
        <f>IF(COUNTIF('Claude vs tools'!$K$2:$P$139,A959)&gt;0,"★ Yes","")</f>
        <v/>
      </c>
    </row>
    <row r="960" spans="1:9" x14ac:dyDescent="0.3">
      <c r="A960" s="18" t="s">
        <v>1337</v>
      </c>
      <c r="B960" s="7"/>
      <c r="C960" s="7" t="s">
        <v>1337</v>
      </c>
      <c r="D960" s="7"/>
      <c r="E960" s="6">
        <f t="shared" si="28"/>
        <v>1</v>
      </c>
      <c r="F960" s="6" t="str">
        <f t="shared" si="29"/>
        <v>Only RAKE</v>
      </c>
      <c r="G960" s="7" t="s">
        <v>2241</v>
      </c>
      <c r="H960" s="7"/>
      <c r="I960" s="19" t="str">
        <f>IF(COUNTIF('Claude vs tools'!$K$2:$P$139,A960)&gt;0,"★ Yes","")</f>
        <v/>
      </c>
    </row>
    <row r="961" spans="1:9" x14ac:dyDescent="0.3">
      <c r="A961" s="18" t="s">
        <v>1338</v>
      </c>
      <c r="B961" s="7"/>
      <c r="C961" s="7" t="s">
        <v>1338</v>
      </c>
      <c r="D961" s="7"/>
      <c r="E961" s="6">
        <f t="shared" si="28"/>
        <v>1</v>
      </c>
      <c r="F961" s="6" t="str">
        <f t="shared" si="29"/>
        <v>Only RAKE</v>
      </c>
      <c r="G961" s="7" t="s">
        <v>795</v>
      </c>
      <c r="H961" s="7"/>
      <c r="I961" s="19" t="str">
        <f>IF(COUNTIF('Claude vs tools'!$K$2:$P$139,A961)&gt;0,"★ Yes","")</f>
        <v/>
      </c>
    </row>
    <row r="962" spans="1:9" x14ac:dyDescent="0.3">
      <c r="A962" s="18" t="s">
        <v>1339</v>
      </c>
      <c r="B962" s="7"/>
      <c r="C962" s="7" t="s">
        <v>1339</v>
      </c>
      <c r="D962" s="7"/>
      <c r="E962" s="6">
        <f t="shared" ref="E962:E1025" si="30">COUNTA(B962:D962)</f>
        <v>1</v>
      </c>
      <c r="F962" s="6" t="str">
        <f t="shared" ref="F962:F1025" si="31">IF(E962=3,"All three",IF(E962=2,SUBSTITUTE(TRIM(IF(B962&lt;&gt;"","Gemini ","")&amp;IF(C962&lt;&gt;"","RAKE ","")&amp;IF(D962&lt;&gt;"","YAKE",""))," "," + "),"Only "&amp;TRIM(IF(B962&lt;&gt;"","Gemini","")&amp;IF(C962&lt;&gt;"","RAKE","")&amp;IF(D962&lt;&gt;"","YAKE",""))))</f>
        <v>Only RAKE</v>
      </c>
      <c r="G962" s="7" t="s">
        <v>1490</v>
      </c>
      <c r="H962" s="7"/>
      <c r="I962" s="19" t="str">
        <f>IF(COUNTIF('Claude vs tools'!$K$2:$P$139,A962)&gt;0,"★ Yes","")</f>
        <v/>
      </c>
    </row>
    <row r="963" spans="1:9" x14ac:dyDescent="0.3">
      <c r="A963" s="18" t="s">
        <v>1340</v>
      </c>
      <c r="B963" s="7"/>
      <c r="C963" s="7" t="s">
        <v>1340</v>
      </c>
      <c r="D963" s="7"/>
      <c r="E963" s="6">
        <f t="shared" si="30"/>
        <v>1</v>
      </c>
      <c r="F963" s="6" t="str">
        <f t="shared" si="31"/>
        <v>Only RAKE</v>
      </c>
      <c r="G963" s="7" t="s">
        <v>795</v>
      </c>
      <c r="H963" s="7"/>
      <c r="I963" s="19" t="str">
        <f>IF(COUNTIF('Claude vs tools'!$K$2:$P$139,A963)&gt;0,"★ Yes","")</f>
        <v/>
      </c>
    </row>
    <row r="964" spans="1:9" x14ac:dyDescent="0.3">
      <c r="A964" s="18" t="s">
        <v>1341</v>
      </c>
      <c r="B964" s="7"/>
      <c r="C964" s="7" t="s">
        <v>1341</v>
      </c>
      <c r="D964" s="7"/>
      <c r="E964" s="6">
        <f t="shared" si="30"/>
        <v>1</v>
      </c>
      <c r="F964" s="6" t="str">
        <f t="shared" si="31"/>
        <v>Only RAKE</v>
      </c>
      <c r="G964" s="7" t="s">
        <v>795</v>
      </c>
      <c r="H964" s="7"/>
      <c r="I964" s="19" t="str">
        <f>IF(COUNTIF('Claude vs tools'!$K$2:$P$139,A964)&gt;0,"★ Yes","")</f>
        <v/>
      </c>
    </row>
    <row r="965" spans="1:9" x14ac:dyDescent="0.3">
      <c r="A965" s="18" t="s">
        <v>1342</v>
      </c>
      <c r="B965" s="7"/>
      <c r="C965" s="7" t="s">
        <v>1342</v>
      </c>
      <c r="D965" s="7"/>
      <c r="E965" s="6">
        <f t="shared" si="30"/>
        <v>1</v>
      </c>
      <c r="F965" s="6" t="str">
        <f t="shared" si="31"/>
        <v>Only RAKE</v>
      </c>
      <c r="G965" s="7" t="s">
        <v>2242</v>
      </c>
      <c r="H965" s="7"/>
      <c r="I965" s="19" t="str">
        <f>IF(COUNTIF('Claude vs tools'!$K$2:$P$139,A965)&gt;0,"★ Yes","")</f>
        <v/>
      </c>
    </row>
    <row r="966" spans="1:9" x14ac:dyDescent="0.3">
      <c r="A966" s="18" t="s">
        <v>1343</v>
      </c>
      <c r="B966" s="7"/>
      <c r="C966" s="7"/>
      <c r="D966" s="7" t="s">
        <v>1343</v>
      </c>
      <c r="E966" s="6">
        <f t="shared" si="30"/>
        <v>1</v>
      </c>
      <c r="F966" s="6" t="str">
        <f t="shared" si="31"/>
        <v>Only YAKE</v>
      </c>
      <c r="G966" s="7" t="s">
        <v>2243</v>
      </c>
      <c r="H966" s="7"/>
      <c r="I966" s="19" t="str">
        <f>IF(COUNTIF('Claude vs tools'!$K$2:$P$139,A966)&gt;0,"★ Yes","")</f>
        <v/>
      </c>
    </row>
    <row r="967" spans="1:9" x14ac:dyDescent="0.3">
      <c r="A967" s="18" t="s">
        <v>1344</v>
      </c>
      <c r="B967" s="7"/>
      <c r="C967" s="7"/>
      <c r="D967" s="7" t="s">
        <v>1344</v>
      </c>
      <c r="E967" s="6">
        <f t="shared" si="30"/>
        <v>1</v>
      </c>
      <c r="F967" s="6" t="str">
        <f t="shared" si="31"/>
        <v>Only YAKE</v>
      </c>
      <c r="G967" s="7" t="s">
        <v>2244</v>
      </c>
      <c r="H967" s="7"/>
      <c r="I967" s="19" t="str">
        <f>IF(COUNTIF('Claude vs tools'!$K$2:$P$139,A967)&gt;0,"★ Yes","")</f>
        <v/>
      </c>
    </row>
    <row r="968" spans="1:9" x14ac:dyDescent="0.3">
      <c r="A968" s="18" t="s">
        <v>1345</v>
      </c>
      <c r="B968" s="7"/>
      <c r="C968" s="7" t="s">
        <v>1345</v>
      </c>
      <c r="D968" s="7"/>
      <c r="E968" s="6">
        <f t="shared" si="30"/>
        <v>1</v>
      </c>
      <c r="F968" s="6" t="str">
        <f t="shared" si="31"/>
        <v>Only RAKE</v>
      </c>
      <c r="G968" s="7" t="s">
        <v>1742</v>
      </c>
      <c r="H968" s="7"/>
      <c r="I968" s="19" t="str">
        <f>IF(COUNTIF('Claude vs tools'!$K$2:$P$139,A968)&gt;0,"★ Yes","")</f>
        <v/>
      </c>
    </row>
    <row r="969" spans="1:9" x14ac:dyDescent="0.3">
      <c r="A969" s="18" t="s">
        <v>107</v>
      </c>
      <c r="B969" s="7"/>
      <c r="C969" s="7" t="s">
        <v>107</v>
      </c>
      <c r="D969" s="7"/>
      <c r="E969" s="6">
        <f t="shared" si="30"/>
        <v>1</v>
      </c>
      <c r="F969" s="6" t="str">
        <f t="shared" si="31"/>
        <v>Only RAKE</v>
      </c>
      <c r="G969" s="7" t="s">
        <v>2245</v>
      </c>
      <c r="H969" s="7"/>
      <c r="I969" s="19" t="str">
        <f>IF(COUNTIF('Claude vs tools'!$K$2:$P$139,A969)&gt;0,"★ Yes","")</f>
        <v>★ Yes</v>
      </c>
    </row>
    <row r="970" spans="1:9" x14ac:dyDescent="0.3">
      <c r="A970" s="18" t="s">
        <v>1346</v>
      </c>
      <c r="B970" s="7" t="s">
        <v>1346</v>
      </c>
      <c r="C970" s="7"/>
      <c r="D970" s="7"/>
      <c r="E970" s="6">
        <f t="shared" si="30"/>
        <v>1</v>
      </c>
      <c r="F970" s="6" t="str">
        <f t="shared" si="31"/>
        <v>Only Gemini</v>
      </c>
      <c r="G970" s="7" t="s">
        <v>1830</v>
      </c>
      <c r="H970" s="7"/>
      <c r="I970" s="19" t="str">
        <f>IF(COUNTIF('Claude vs tools'!$K$2:$P$139,A970)&gt;0,"★ Yes","")</f>
        <v/>
      </c>
    </row>
    <row r="971" spans="1:9" x14ac:dyDescent="0.3">
      <c r="A971" s="18" t="s">
        <v>1347</v>
      </c>
      <c r="B971" s="7"/>
      <c r="C971" s="7" t="s">
        <v>1347</v>
      </c>
      <c r="D971" s="7"/>
      <c r="E971" s="6">
        <f t="shared" si="30"/>
        <v>1</v>
      </c>
      <c r="F971" s="6" t="str">
        <f t="shared" si="31"/>
        <v>Only RAKE</v>
      </c>
      <c r="G971" s="7" t="s">
        <v>795</v>
      </c>
      <c r="H971" s="7"/>
      <c r="I971" s="19" t="str">
        <f>IF(COUNTIF('Claude vs tools'!$K$2:$P$139,A971)&gt;0,"★ Yes","")</f>
        <v/>
      </c>
    </row>
    <row r="972" spans="1:9" x14ac:dyDescent="0.3">
      <c r="A972" s="18" t="s">
        <v>1348</v>
      </c>
      <c r="B972" s="7"/>
      <c r="C972" s="7" t="s">
        <v>1348</v>
      </c>
      <c r="D972" s="7"/>
      <c r="E972" s="6">
        <f t="shared" si="30"/>
        <v>1</v>
      </c>
      <c r="F972" s="6" t="str">
        <f t="shared" si="31"/>
        <v>Only RAKE</v>
      </c>
      <c r="G972" s="7" t="s">
        <v>2246</v>
      </c>
      <c r="H972" s="7"/>
      <c r="I972" s="19" t="str">
        <f>IF(COUNTIF('Claude vs tools'!$K$2:$P$139,A972)&gt;0,"★ Yes","")</f>
        <v/>
      </c>
    </row>
    <row r="973" spans="1:9" x14ac:dyDescent="0.3">
      <c r="A973" s="18" t="s">
        <v>1349</v>
      </c>
      <c r="B973" s="7"/>
      <c r="C973" s="7" t="s">
        <v>1349</v>
      </c>
      <c r="D973" s="7"/>
      <c r="E973" s="6">
        <f t="shared" si="30"/>
        <v>1</v>
      </c>
      <c r="F973" s="6" t="str">
        <f t="shared" si="31"/>
        <v>Only RAKE</v>
      </c>
      <c r="G973" s="7" t="s">
        <v>795</v>
      </c>
      <c r="H973" s="7"/>
      <c r="I973" s="19" t="str">
        <f>IF(COUNTIF('Claude vs tools'!$K$2:$P$139,A973)&gt;0,"★ Yes","")</f>
        <v/>
      </c>
    </row>
    <row r="974" spans="1:9" x14ac:dyDescent="0.3">
      <c r="A974" s="18" t="s">
        <v>1350</v>
      </c>
      <c r="B974" s="7"/>
      <c r="C974" s="7" t="s">
        <v>1350</v>
      </c>
      <c r="D974" s="7"/>
      <c r="E974" s="6">
        <f t="shared" si="30"/>
        <v>1</v>
      </c>
      <c r="F974" s="6" t="str">
        <f t="shared" si="31"/>
        <v>Only RAKE</v>
      </c>
      <c r="G974" s="7" t="s">
        <v>1622</v>
      </c>
      <c r="H974" s="7"/>
      <c r="I974" s="19" t="str">
        <f>IF(COUNTIF('Claude vs tools'!$K$2:$P$139,A974)&gt;0,"★ Yes","")</f>
        <v/>
      </c>
    </row>
    <row r="975" spans="1:9" x14ac:dyDescent="0.3">
      <c r="A975" s="18" t="s">
        <v>1351</v>
      </c>
      <c r="B975" s="7"/>
      <c r="C975" s="7" t="s">
        <v>1351</v>
      </c>
      <c r="D975" s="7"/>
      <c r="E975" s="6">
        <f t="shared" si="30"/>
        <v>1</v>
      </c>
      <c r="F975" s="6" t="str">
        <f t="shared" si="31"/>
        <v>Only RAKE</v>
      </c>
      <c r="G975" s="7" t="s">
        <v>795</v>
      </c>
      <c r="H975" s="7"/>
      <c r="I975" s="19" t="str">
        <f>IF(COUNTIF('Claude vs tools'!$K$2:$P$139,A975)&gt;0,"★ Yes","")</f>
        <v/>
      </c>
    </row>
    <row r="976" spans="1:9" x14ac:dyDescent="0.3">
      <c r="A976" s="18" t="s">
        <v>1352</v>
      </c>
      <c r="B976" s="7"/>
      <c r="C976" s="7"/>
      <c r="D976" s="7" t="s">
        <v>1352</v>
      </c>
      <c r="E976" s="6">
        <f t="shared" si="30"/>
        <v>1</v>
      </c>
      <c r="F976" s="6" t="str">
        <f t="shared" si="31"/>
        <v>Only YAKE</v>
      </c>
      <c r="G976" s="7" t="s">
        <v>2247</v>
      </c>
      <c r="H976" s="7"/>
      <c r="I976" s="19" t="str">
        <f>IF(COUNTIF('Claude vs tools'!$K$2:$P$139,A976)&gt;0,"★ Yes","")</f>
        <v/>
      </c>
    </row>
    <row r="977" spans="1:9" x14ac:dyDescent="0.3">
      <c r="A977" s="18" t="s">
        <v>1353</v>
      </c>
      <c r="B977" s="7"/>
      <c r="C977" s="7"/>
      <c r="D977" s="7" t="s">
        <v>1353</v>
      </c>
      <c r="E977" s="6">
        <f t="shared" si="30"/>
        <v>1</v>
      </c>
      <c r="F977" s="6" t="str">
        <f t="shared" si="31"/>
        <v>Only YAKE</v>
      </c>
      <c r="G977" s="7" t="s">
        <v>2248</v>
      </c>
      <c r="H977" s="7"/>
      <c r="I977" s="19" t="str">
        <f>IF(COUNTIF('Claude vs tools'!$K$2:$P$139,A977)&gt;0,"★ Yes","")</f>
        <v/>
      </c>
    </row>
    <row r="978" spans="1:9" x14ac:dyDescent="0.3">
      <c r="A978" s="18" t="s">
        <v>1354</v>
      </c>
      <c r="B978" s="7"/>
      <c r="C978" s="7" t="s">
        <v>1354</v>
      </c>
      <c r="D978" s="7"/>
      <c r="E978" s="6">
        <f t="shared" si="30"/>
        <v>1</v>
      </c>
      <c r="F978" s="6" t="str">
        <f t="shared" si="31"/>
        <v>Only RAKE</v>
      </c>
      <c r="G978" s="7" t="s">
        <v>1858</v>
      </c>
      <c r="H978" s="7"/>
      <c r="I978" s="19" t="str">
        <f>IF(COUNTIF('Claude vs tools'!$K$2:$P$139,A978)&gt;0,"★ Yes","")</f>
        <v/>
      </c>
    </row>
    <row r="979" spans="1:9" x14ac:dyDescent="0.3">
      <c r="A979" s="18" t="s">
        <v>1355</v>
      </c>
      <c r="B979" s="7"/>
      <c r="C979" s="7"/>
      <c r="D979" s="7" t="s">
        <v>1355</v>
      </c>
      <c r="E979" s="6">
        <f t="shared" si="30"/>
        <v>1</v>
      </c>
      <c r="F979" s="6" t="str">
        <f t="shared" si="31"/>
        <v>Only YAKE</v>
      </c>
      <c r="G979" s="7" t="s">
        <v>795</v>
      </c>
      <c r="H979" s="7"/>
      <c r="I979" s="19" t="str">
        <f>IF(COUNTIF('Claude vs tools'!$K$2:$P$139,A979)&gt;0,"★ Yes","")</f>
        <v/>
      </c>
    </row>
    <row r="980" spans="1:9" x14ac:dyDescent="0.3">
      <c r="A980" s="18" t="s">
        <v>1356</v>
      </c>
      <c r="B980" s="7"/>
      <c r="C980" s="7" t="s">
        <v>1356</v>
      </c>
      <c r="D980" s="7"/>
      <c r="E980" s="6">
        <f t="shared" si="30"/>
        <v>1</v>
      </c>
      <c r="F980" s="6" t="str">
        <f t="shared" si="31"/>
        <v>Only RAKE</v>
      </c>
      <c r="G980" s="7" t="s">
        <v>795</v>
      </c>
      <c r="H980" s="7"/>
      <c r="I980" s="19" t="str">
        <f>IF(COUNTIF('Claude vs tools'!$K$2:$P$139,A980)&gt;0,"★ Yes","")</f>
        <v/>
      </c>
    </row>
    <row r="981" spans="1:9" x14ac:dyDescent="0.3">
      <c r="A981" s="18" t="s">
        <v>1357</v>
      </c>
      <c r="B981" s="7"/>
      <c r="C981" s="7"/>
      <c r="D981" s="7" t="s">
        <v>1357</v>
      </c>
      <c r="E981" s="6">
        <f t="shared" si="30"/>
        <v>1</v>
      </c>
      <c r="F981" s="6" t="str">
        <f t="shared" si="31"/>
        <v>Only YAKE</v>
      </c>
      <c r="G981" s="7" t="s">
        <v>2249</v>
      </c>
      <c r="H981" s="7"/>
      <c r="I981" s="19" t="str">
        <f>IF(COUNTIF('Claude vs tools'!$K$2:$P$139,A981)&gt;0,"★ Yes","")</f>
        <v/>
      </c>
    </row>
    <row r="982" spans="1:9" x14ac:dyDescent="0.3">
      <c r="A982" s="18" t="s">
        <v>1358</v>
      </c>
      <c r="B982" s="7"/>
      <c r="C982" s="7"/>
      <c r="D982" s="7" t="s">
        <v>1358</v>
      </c>
      <c r="E982" s="6">
        <f t="shared" si="30"/>
        <v>1</v>
      </c>
      <c r="F982" s="6" t="str">
        <f t="shared" si="31"/>
        <v>Only YAKE</v>
      </c>
      <c r="G982" s="7" t="s">
        <v>2250</v>
      </c>
      <c r="H982" s="7"/>
      <c r="I982" s="19" t="str">
        <f>IF(COUNTIF('Claude vs tools'!$K$2:$P$139,A982)&gt;0,"★ Yes","")</f>
        <v/>
      </c>
    </row>
    <row r="983" spans="1:9" x14ac:dyDescent="0.3">
      <c r="A983" s="18" t="s">
        <v>1359</v>
      </c>
      <c r="B983" s="7"/>
      <c r="C983" s="7" t="s">
        <v>1359</v>
      </c>
      <c r="D983" s="7"/>
      <c r="E983" s="6">
        <f t="shared" si="30"/>
        <v>1</v>
      </c>
      <c r="F983" s="6" t="str">
        <f t="shared" si="31"/>
        <v>Only RAKE</v>
      </c>
      <c r="G983" s="7" t="s">
        <v>2251</v>
      </c>
      <c r="H983" s="7"/>
      <c r="I983" s="19" t="str">
        <f>IF(COUNTIF('Claude vs tools'!$K$2:$P$139,A983)&gt;0,"★ Yes","")</f>
        <v/>
      </c>
    </row>
    <row r="984" spans="1:9" x14ac:dyDescent="0.3">
      <c r="A984" s="18" t="s">
        <v>1360</v>
      </c>
      <c r="B984" s="7"/>
      <c r="C984" s="7" t="s">
        <v>1360</v>
      </c>
      <c r="D984" s="7"/>
      <c r="E984" s="6">
        <f t="shared" si="30"/>
        <v>1</v>
      </c>
      <c r="F984" s="6" t="str">
        <f t="shared" si="31"/>
        <v>Only RAKE</v>
      </c>
      <c r="G984" s="7" t="s">
        <v>2252</v>
      </c>
      <c r="H984" s="7"/>
      <c r="I984" s="19" t="str">
        <f>IF(COUNTIF('Claude vs tools'!$K$2:$P$139,A984)&gt;0,"★ Yes","")</f>
        <v/>
      </c>
    </row>
    <row r="985" spans="1:9" x14ac:dyDescent="0.3">
      <c r="A985" s="18" t="s">
        <v>1361</v>
      </c>
      <c r="B985" s="7"/>
      <c r="C985" s="7" t="s">
        <v>1361</v>
      </c>
      <c r="D985" s="7"/>
      <c r="E985" s="6">
        <f t="shared" si="30"/>
        <v>1</v>
      </c>
      <c r="F985" s="6" t="str">
        <f t="shared" si="31"/>
        <v>Only RAKE</v>
      </c>
      <c r="G985" s="7" t="s">
        <v>2253</v>
      </c>
      <c r="H985" s="7"/>
      <c r="I985" s="19" t="str">
        <f>IF(COUNTIF('Claude vs tools'!$K$2:$P$139,A985)&gt;0,"★ Yes","")</f>
        <v/>
      </c>
    </row>
    <row r="986" spans="1:9" x14ac:dyDescent="0.3">
      <c r="A986" s="18" t="s">
        <v>1362</v>
      </c>
      <c r="B986" s="7"/>
      <c r="C986" s="7" t="s">
        <v>1362</v>
      </c>
      <c r="D986" s="7"/>
      <c r="E986" s="6">
        <f t="shared" si="30"/>
        <v>1</v>
      </c>
      <c r="F986" s="6" t="str">
        <f t="shared" si="31"/>
        <v>Only RAKE</v>
      </c>
      <c r="G986" s="7" t="s">
        <v>2254</v>
      </c>
      <c r="H986" s="7"/>
      <c r="I986" s="19" t="str">
        <f>IF(COUNTIF('Claude vs tools'!$K$2:$P$139,A986)&gt;0,"★ Yes","")</f>
        <v/>
      </c>
    </row>
    <row r="987" spans="1:9" ht="26.4" x14ac:dyDescent="0.3">
      <c r="A987" s="18" t="s">
        <v>1363</v>
      </c>
      <c r="B987" s="7"/>
      <c r="C987" s="7" t="s">
        <v>1363</v>
      </c>
      <c r="D987" s="7"/>
      <c r="E987" s="6">
        <f t="shared" si="30"/>
        <v>1</v>
      </c>
      <c r="F987" s="6" t="str">
        <f t="shared" si="31"/>
        <v>Only RAKE</v>
      </c>
      <c r="G987" s="7" t="s">
        <v>2255</v>
      </c>
      <c r="H987" s="7"/>
      <c r="I987" s="19" t="str">
        <f>IF(COUNTIF('Claude vs tools'!$K$2:$P$139,A987)&gt;0,"★ Yes","")</f>
        <v/>
      </c>
    </row>
    <row r="988" spans="1:9" x14ac:dyDescent="0.3">
      <c r="A988" s="18" t="s">
        <v>1364</v>
      </c>
      <c r="B988" s="7"/>
      <c r="C988" s="7" t="s">
        <v>1364</v>
      </c>
      <c r="D988" s="7"/>
      <c r="E988" s="6">
        <f t="shared" si="30"/>
        <v>1</v>
      </c>
      <c r="F988" s="6" t="str">
        <f t="shared" si="31"/>
        <v>Only RAKE</v>
      </c>
      <c r="G988" s="7" t="s">
        <v>2256</v>
      </c>
      <c r="H988" s="7"/>
      <c r="I988" s="19" t="str">
        <f>IF(COUNTIF('Claude vs tools'!$K$2:$P$139,A988)&gt;0,"★ Yes","")</f>
        <v/>
      </c>
    </row>
    <row r="989" spans="1:9" x14ac:dyDescent="0.3">
      <c r="A989" s="18" t="s">
        <v>1365</v>
      </c>
      <c r="B989" s="7"/>
      <c r="C989" s="7" t="s">
        <v>1365</v>
      </c>
      <c r="D989" s="7"/>
      <c r="E989" s="6">
        <f t="shared" si="30"/>
        <v>1</v>
      </c>
      <c r="F989" s="6" t="str">
        <f t="shared" si="31"/>
        <v>Only RAKE</v>
      </c>
      <c r="G989" s="7" t="s">
        <v>2257</v>
      </c>
      <c r="H989" s="7"/>
      <c r="I989" s="19" t="str">
        <f>IF(COUNTIF('Claude vs tools'!$K$2:$P$139,A989)&gt;0,"★ Yes","")</f>
        <v/>
      </c>
    </row>
    <row r="990" spans="1:9" ht="26.4" x14ac:dyDescent="0.3">
      <c r="A990" s="18" t="s">
        <v>1366</v>
      </c>
      <c r="B990" s="7"/>
      <c r="C990" s="7" t="s">
        <v>1366</v>
      </c>
      <c r="D990" s="7"/>
      <c r="E990" s="6">
        <f t="shared" si="30"/>
        <v>1</v>
      </c>
      <c r="F990" s="6" t="str">
        <f t="shared" si="31"/>
        <v>Only RAKE</v>
      </c>
      <c r="G990" s="7" t="s">
        <v>2258</v>
      </c>
      <c r="H990" s="7"/>
      <c r="I990" s="19" t="str">
        <f>IF(COUNTIF('Claude vs tools'!$K$2:$P$139,A990)&gt;0,"★ Yes","")</f>
        <v/>
      </c>
    </row>
    <row r="991" spans="1:9" x14ac:dyDescent="0.3">
      <c r="A991" s="18" t="s">
        <v>1367</v>
      </c>
      <c r="B991" s="7"/>
      <c r="C991" s="7" t="s">
        <v>1367</v>
      </c>
      <c r="D991" s="7"/>
      <c r="E991" s="6">
        <f t="shared" si="30"/>
        <v>1</v>
      </c>
      <c r="F991" s="6" t="str">
        <f t="shared" si="31"/>
        <v>Only RAKE</v>
      </c>
      <c r="G991" s="7" t="s">
        <v>2259</v>
      </c>
      <c r="H991" s="7"/>
      <c r="I991" s="19" t="str">
        <f>IF(COUNTIF('Claude vs tools'!$K$2:$P$139,A991)&gt;0,"★ Yes","")</f>
        <v/>
      </c>
    </row>
    <row r="992" spans="1:9" x14ac:dyDescent="0.3">
      <c r="A992" s="18" t="s">
        <v>1368</v>
      </c>
      <c r="B992" s="7"/>
      <c r="C992" s="7" t="s">
        <v>1368</v>
      </c>
      <c r="D992" s="7"/>
      <c r="E992" s="6">
        <f t="shared" si="30"/>
        <v>1</v>
      </c>
      <c r="F992" s="6" t="str">
        <f t="shared" si="31"/>
        <v>Only RAKE</v>
      </c>
      <c r="G992" s="7" t="s">
        <v>795</v>
      </c>
      <c r="H992" s="7"/>
      <c r="I992" s="19" t="str">
        <f>IF(COUNTIF('Claude vs tools'!$K$2:$P$139,A992)&gt;0,"★ Yes","")</f>
        <v/>
      </c>
    </row>
  </sheetData>
  <autoFilter ref="A1:I992" xr:uid="{00000000-0009-0000-0000-000002000000}"/>
  <conditionalFormatting sqref="A2:H992">
    <cfRule type="expression" dxfId="5" priority="2">
      <formula>$E2=3</formula>
    </cfRule>
    <cfRule type="expression" dxfId="4" priority="3">
      <formula>$E2=2</formula>
    </cfRule>
  </conditionalFormatting>
  <conditionalFormatting sqref="B2:D992">
    <cfRule type="expression" dxfId="3" priority="4">
      <formula>$I2="★ Yes"</formula>
    </cfRule>
  </conditionalFormatting>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627"/>
  <sheetViews>
    <sheetView zoomScaleNormal="100" workbookViewId="0">
      <pane ySplit="1" topLeftCell="A2" activePane="bottomLeft" state="frozen"/>
      <selection pane="bottomLeft"/>
    </sheetView>
  </sheetViews>
  <sheetFormatPr defaultColWidth="8.6640625" defaultRowHeight="14.4" x14ac:dyDescent="0.3"/>
  <cols>
    <col min="1" max="3" width="34" customWidth="1"/>
    <col min="4" max="4" width="3" customWidth="1"/>
    <col min="5" max="7" width="20" customWidth="1"/>
  </cols>
  <sheetData>
    <row r="1" spans="1:9" ht="31.5" customHeight="1" x14ac:dyDescent="0.3">
      <c r="A1" s="22" t="s">
        <v>1380</v>
      </c>
      <c r="B1" s="22" t="s">
        <v>1381</v>
      </c>
      <c r="C1" s="22" t="s">
        <v>1382</v>
      </c>
      <c r="E1" s="23" t="s">
        <v>2260</v>
      </c>
      <c r="F1" s="23" t="s">
        <v>2261</v>
      </c>
      <c r="G1" s="23" t="s">
        <v>2262</v>
      </c>
      <c r="I1" s="11" t="s">
        <v>2263</v>
      </c>
    </row>
    <row r="2" spans="1:9" x14ac:dyDescent="0.3">
      <c r="A2" s="16" t="s">
        <v>179</v>
      </c>
      <c r="B2" s="16" t="s">
        <v>400</v>
      </c>
      <c r="C2" s="16" t="s">
        <v>400</v>
      </c>
      <c r="E2" s="14">
        <f>IF(COUNTIF('Claude vs tools'!$K$2:$P$139,A2)&gt;0,1,0)</f>
        <v>1</v>
      </c>
      <c r="F2" s="14">
        <f>IF(COUNTIF('Claude vs tools'!$K$2:$P$139,B2)&gt;0,1,0)</f>
        <v>1</v>
      </c>
      <c r="G2" s="14">
        <f>IF(COUNTIF('Claude vs tools'!$K$2:$P$139,C2)&gt;0,1,0)</f>
        <v>1</v>
      </c>
    </row>
    <row r="3" spans="1:9" x14ac:dyDescent="0.3">
      <c r="A3" s="16" t="s">
        <v>473</v>
      </c>
      <c r="B3" s="16" t="s">
        <v>421</v>
      </c>
      <c r="C3" s="16" t="s">
        <v>421</v>
      </c>
      <c r="E3" s="14">
        <f>IF(COUNTIF('Claude vs tools'!$K$2:$P$139,A3)&gt;0,1,0)</f>
        <v>1</v>
      </c>
      <c r="F3" s="14">
        <f>IF(COUNTIF('Claude vs tools'!$K$2:$P$139,B3)&gt;0,1,0)</f>
        <v>1</v>
      </c>
      <c r="G3" s="14">
        <f>IF(COUNTIF('Claude vs tools'!$K$2:$P$139,C3)&gt;0,1,0)</f>
        <v>1</v>
      </c>
    </row>
    <row r="4" spans="1:9" x14ac:dyDescent="0.3">
      <c r="A4" s="16" t="s">
        <v>229</v>
      </c>
      <c r="B4" s="16" t="s">
        <v>470</v>
      </c>
      <c r="C4" s="16" t="s">
        <v>179</v>
      </c>
      <c r="E4" s="14">
        <f>IF(COUNTIF('Claude vs tools'!$K$2:$P$139,A4)&gt;0,1,0)</f>
        <v>1</v>
      </c>
      <c r="F4" s="14">
        <f>IF(COUNTIF('Claude vs tools'!$K$2:$P$139,B4)&gt;0,1,0)</f>
        <v>1</v>
      </c>
      <c r="G4" s="14">
        <f>IF(COUNTIF('Claude vs tools'!$K$2:$P$139,C4)&gt;0,1,0)</f>
        <v>1</v>
      </c>
    </row>
    <row r="5" spans="1:9" x14ac:dyDescent="0.3">
      <c r="A5" s="16" t="s">
        <v>397</v>
      </c>
      <c r="B5" s="16" t="s">
        <v>476</v>
      </c>
      <c r="C5" s="16" t="s">
        <v>602</v>
      </c>
      <c r="E5" s="14">
        <f>IF(COUNTIF('Claude vs tools'!$K$2:$P$139,A5)&gt;0,1,0)</f>
        <v>1</v>
      </c>
      <c r="F5" s="14">
        <f>IF(COUNTIF('Claude vs tools'!$K$2:$P$139,B5)&gt;0,1,0)</f>
        <v>1</v>
      </c>
      <c r="G5" s="14">
        <f>IF(COUNTIF('Claude vs tools'!$K$2:$P$139,C5)&gt;0,1,0)</f>
        <v>0</v>
      </c>
    </row>
    <row r="6" spans="1:9" x14ac:dyDescent="0.3">
      <c r="A6" s="16" t="s">
        <v>563</v>
      </c>
      <c r="B6" s="16" t="s">
        <v>809</v>
      </c>
      <c r="C6" s="16" t="s">
        <v>470</v>
      </c>
      <c r="E6" s="14">
        <f>IF(COUNTIF('Claude vs tools'!$K$2:$P$139,A6)&gt;0,1,0)</f>
        <v>1</v>
      </c>
      <c r="F6" s="14">
        <f>IF(COUNTIF('Claude vs tools'!$K$2:$P$139,B6)&gt;0,1,0)</f>
        <v>0</v>
      </c>
      <c r="G6" s="14">
        <f>IF(COUNTIF('Claude vs tools'!$K$2:$P$139,C6)&gt;0,1,0)</f>
        <v>1</v>
      </c>
    </row>
    <row r="7" spans="1:9" x14ac:dyDescent="0.3">
      <c r="A7" s="16" t="s">
        <v>871</v>
      </c>
      <c r="B7" s="16" t="s">
        <v>603</v>
      </c>
      <c r="C7" s="16" t="s">
        <v>476</v>
      </c>
      <c r="E7" s="14">
        <f>IF(COUNTIF('Claude vs tools'!$K$2:$P$139,A7)&gt;0,1,0)</f>
        <v>0</v>
      </c>
      <c r="F7" s="14">
        <f>IF(COUNTIF('Claude vs tools'!$K$2:$P$139,B7)&gt;0,1,0)</f>
        <v>0</v>
      </c>
      <c r="G7" s="14">
        <f>IF(COUNTIF('Claude vs tools'!$K$2:$P$139,C7)&gt;0,1,0)</f>
        <v>1</v>
      </c>
    </row>
    <row r="8" spans="1:9" x14ac:dyDescent="0.3">
      <c r="A8" s="16" t="s">
        <v>75</v>
      </c>
      <c r="B8" s="16" t="s">
        <v>229</v>
      </c>
      <c r="C8" s="16" t="s">
        <v>603</v>
      </c>
      <c r="E8" s="14">
        <f>IF(COUNTIF('Claude vs tools'!$K$2:$P$139,A8)&gt;0,1,0)</f>
        <v>1</v>
      </c>
      <c r="F8" s="14">
        <f>IF(COUNTIF('Claude vs tools'!$K$2:$P$139,B8)&gt;0,1,0)</f>
        <v>1</v>
      </c>
      <c r="G8" s="14">
        <f>IF(COUNTIF('Claude vs tools'!$K$2:$P$139,C8)&gt;0,1,0)</f>
        <v>0</v>
      </c>
    </row>
    <row r="9" spans="1:9" x14ac:dyDescent="0.3">
      <c r="A9" s="16" t="s">
        <v>91</v>
      </c>
      <c r="B9" s="16" t="s">
        <v>625</v>
      </c>
      <c r="C9" s="16" t="s">
        <v>228</v>
      </c>
      <c r="E9" s="14">
        <f>IF(COUNTIF('Claude vs tools'!$K$2:$P$139,A9)&gt;0,1,0)</f>
        <v>1</v>
      </c>
      <c r="F9" s="14">
        <f>IF(COUNTIF('Claude vs tools'!$K$2:$P$139,B9)&gt;0,1,0)</f>
        <v>0</v>
      </c>
      <c r="G9" s="14">
        <f>IF(COUNTIF('Claude vs tools'!$K$2:$P$139,C9)&gt;0,1,0)</f>
        <v>1</v>
      </c>
    </row>
    <row r="10" spans="1:9" x14ac:dyDescent="0.3">
      <c r="A10" s="16" t="s">
        <v>662</v>
      </c>
      <c r="B10" s="16" t="s">
        <v>75</v>
      </c>
      <c r="C10" s="16" t="s">
        <v>229</v>
      </c>
      <c r="E10" s="14">
        <f>IF(COUNTIF('Claude vs tools'!$K$2:$P$139,A10)&gt;0,1,0)</f>
        <v>0</v>
      </c>
      <c r="F10" s="14">
        <f>IF(COUNTIF('Claude vs tools'!$K$2:$P$139,B10)&gt;0,1,0)</f>
        <v>1</v>
      </c>
      <c r="G10" s="14">
        <f>IF(COUNTIF('Claude vs tools'!$K$2:$P$139,C10)&gt;0,1,0)</f>
        <v>1</v>
      </c>
    </row>
    <row r="11" spans="1:9" x14ac:dyDescent="0.3">
      <c r="A11" s="16" t="s">
        <v>257</v>
      </c>
      <c r="B11" s="16" t="s">
        <v>79</v>
      </c>
      <c r="C11" s="16" t="s">
        <v>604</v>
      </c>
      <c r="E11" s="14">
        <f>IF(COUNTIF('Claude vs tools'!$K$2:$P$139,A11)&gt;0,1,0)</f>
        <v>1</v>
      </c>
      <c r="F11" s="14">
        <f>IF(COUNTIF('Claude vs tools'!$K$2:$P$139,B11)&gt;0,1,0)</f>
        <v>1</v>
      </c>
      <c r="G11" s="14">
        <f>IF(COUNTIF('Claude vs tools'!$K$2:$P$139,C11)&gt;0,1,0)</f>
        <v>0</v>
      </c>
    </row>
    <row r="12" spans="1:9" x14ac:dyDescent="0.3">
      <c r="A12" s="16" t="s">
        <v>195</v>
      </c>
      <c r="B12" s="16" t="s">
        <v>576</v>
      </c>
      <c r="C12" s="16" t="s">
        <v>826</v>
      </c>
      <c r="E12" s="14">
        <f>IF(COUNTIF('Claude vs tools'!$K$2:$P$139,A12)&gt;0,1,0)</f>
        <v>1</v>
      </c>
      <c r="F12" s="14">
        <f>IF(COUNTIF('Claude vs tools'!$K$2:$P$139,B12)&gt;0,1,0)</f>
        <v>0</v>
      </c>
      <c r="G12" s="14">
        <f>IF(COUNTIF('Claude vs tools'!$K$2:$P$139,C12)&gt;0,1,0)</f>
        <v>0</v>
      </c>
    </row>
    <row r="13" spans="1:9" x14ac:dyDescent="0.3">
      <c r="A13" s="16" t="s">
        <v>300</v>
      </c>
      <c r="B13" s="16" t="s">
        <v>1572</v>
      </c>
      <c r="C13" s="16" t="s">
        <v>827</v>
      </c>
      <c r="E13" s="14">
        <f>IF(COUNTIF('Claude vs tools'!$K$2:$P$139,A13)&gt;0,1,0)</f>
        <v>1</v>
      </c>
      <c r="F13" s="14">
        <f>IF(COUNTIF('Claude vs tools'!$K$2:$P$139,B13)&gt;0,1,0)</f>
        <v>0</v>
      </c>
      <c r="G13" s="14">
        <f>IF(COUNTIF('Claude vs tools'!$K$2:$P$139,C13)&gt;0,1,0)</f>
        <v>0</v>
      </c>
    </row>
    <row r="14" spans="1:9" x14ac:dyDescent="0.3">
      <c r="A14" s="16" t="s">
        <v>1119</v>
      </c>
      <c r="B14" s="16" t="s">
        <v>2264</v>
      </c>
      <c r="C14" s="16" t="s">
        <v>568</v>
      </c>
      <c r="E14" s="14">
        <f>IF(COUNTIF('Claude vs tools'!$K$2:$P$139,A14)&gt;0,1,0)</f>
        <v>0</v>
      </c>
      <c r="F14" s="14">
        <f>IF(COUNTIF('Claude vs tools'!$K$2:$P$139,B14)&gt;0,1,0)</f>
        <v>0</v>
      </c>
      <c r="G14" s="14">
        <f>IF(COUNTIF('Claude vs tools'!$K$2:$P$139,C14)&gt;0,1,0)</f>
        <v>0</v>
      </c>
    </row>
    <row r="15" spans="1:9" x14ac:dyDescent="0.3">
      <c r="A15" s="16" t="s">
        <v>1120</v>
      </c>
      <c r="B15" s="16" t="s">
        <v>451</v>
      </c>
      <c r="C15" s="16" t="s">
        <v>471</v>
      </c>
      <c r="E15" s="14">
        <f>IF(COUNTIF('Claude vs tools'!$K$2:$P$139,A15)&gt;0,1,0)</f>
        <v>0</v>
      </c>
      <c r="F15" s="14">
        <f>IF(COUNTIF('Claude vs tools'!$K$2:$P$139,B15)&gt;0,1,0)</f>
        <v>1</v>
      </c>
      <c r="G15" s="14">
        <f>IF(COUNTIF('Claude vs tools'!$K$2:$P$139,C15)&gt;0,1,0)</f>
        <v>1</v>
      </c>
    </row>
    <row r="16" spans="1:9" x14ac:dyDescent="0.3">
      <c r="A16" s="16" t="s">
        <v>132</v>
      </c>
      <c r="B16" s="16" t="s">
        <v>670</v>
      </c>
      <c r="C16" s="16" t="s">
        <v>829</v>
      </c>
      <c r="E16" s="14">
        <f>IF(COUNTIF('Claude vs tools'!$K$2:$P$139,A16)&gt;0,1,0)</f>
        <v>1</v>
      </c>
      <c r="F16" s="14">
        <f>IF(COUNTIF('Claude vs tools'!$K$2:$P$139,B16)&gt;0,1,0)</f>
        <v>0</v>
      </c>
      <c r="G16" s="14">
        <f>IF(COUNTIF('Claude vs tools'!$K$2:$P$139,C16)&gt;0,1,0)</f>
        <v>0</v>
      </c>
    </row>
    <row r="17" spans="1:7" x14ac:dyDescent="0.3">
      <c r="A17" s="16" t="s">
        <v>86</v>
      </c>
      <c r="B17" s="16" t="s">
        <v>582</v>
      </c>
      <c r="C17" s="16" t="s">
        <v>831</v>
      </c>
      <c r="E17" s="14">
        <f>IF(COUNTIF('Claude vs tools'!$K$2:$P$139,A17)&gt;0,1,0)</f>
        <v>1</v>
      </c>
      <c r="F17" s="14">
        <f>IF(COUNTIF('Claude vs tools'!$K$2:$P$139,B17)&gt;0,1,0)</f>
        <v>0</v>
      </c>
      <c r="G17" s="14">
        <f>IF(COUNTIF('Claude vs tools'!$K$2:$P$139,C17)&gt;0,1,0)</f>
        <v>0</v>
      </c>
    </row>
    <row r="18" spans="1:7" x14ac:dyDescent="0.3">
      <c r="A18" s="16" t="s">
        <v>32</v>
      </c>
      <c r="B18" s="16" t="s">
        <v>101</v>
      </c>
      <c r="C18" s="16" t="s">
        <v>2265</v>
      </c>
      <c r="E18" s="14">
        <f>IF(COUNTIF('Claude vs tools'!$K$2:$P$139,A18)&gt;0,1,0)</f>
        <v>1</v>
      </c>
      <c r="F18" s="14">
        <f>IF(COUNTIF('Claude vs tools'!$K$2:$P$139,B18)&gt;0,1,0)</f>
        <v>1</v>
      </c>
      <c r="G18" s="14">
        <f>IF(COUNTIF('Claude vs tools'!$K$2:$P$139,C18)&gt;0,1,0)</f>
        <v>0</v>
      </c>
    </row>
    <row r="19" spans="1:7" x14ac:dyDescent="0.3">
      <c r="A19" s="16" t="s">
        <v>34</v>
      </c>
      <c r="B19" s="16" t="s">
        <v>679</v>
      </c>
      <c r="C19" s="16" t="s">
        <v>571</v>
      </c>
      <c r="E19" s="14">
        <f>IF(COUNTIF('Claude vs tools'!$K$2:$P$139,A19)&gt;0,1,0)</f>
        <v>1</v>
      </c>
      <c r="F19" s="14">
        <f>IF(COUNTIF('Claude vs tools'!$K$2:$P$139,B19)&gt;0,1,0)</f>
        <v>0</v>
      </c>
      <c r="G19" s="14">
        <f>IF(COUNTIF('Claude vs tools'!$K$2:$P$139,C19)&gt;0,1,0)</f>
        <v>0</v>
      </c>
    </row>
    <row r="20" spans="1:7" x14ac:dyDescent="0.3">
      <c r="A20" s="16" t="s">
        <v>16</v>
      </c>
      <c r="B20" s="16" t="s">
        <v>327</v>
      </c>
      <c r="C20" s="16" t="s">
        <v>397</v>
      </c>
      <c r="E20" s="14">
        <f>IF(COUNTIF('Claude vs tools'!$K$2:$P$139,A20)&gt;0,1,0)</f>
        <v>1</v>
      </c>
      <c r="F20" s="14">
        <f>IF(COUNTIF('Claude vs tools'!$K$2:$P$139,B20)&gt;0,1,0)</f>
        <v>1</v>
      </c>
      <c r="G20" s="14">
        <f>IF(COUNTIF('Claude vs tools'!$K$2:$P$139,C20)&gt;0,1,0)</f>
        <v>1</v>
      </c>
    </row>
    <row r="21" spans="1:7" x14ac:dyDescent="0.3">
      <c r="A21" s="16" t="s">
        <v>31</v>
      </c>
      <c r="B21" s="16" t="s">
        <v>325</v>
      </c>
      <c r="C21" s="16" t="s">
        <v>606</v>
      </c>
      <c r="E21" s="14">
        <f>IF(COUNTIF('Claude vs tools'!$K$2:$P$139,A21)&gt;0,1,0)</f>
        <v>1</v>
      </c>
      <c r="F21" s="14">
        <f>IF(COUNTIF('Claude vs tools'!$K$2:$P$139,B21)&gt;0,1,0)</f>
        <v>1</v>
      </c>
      <c r="G21" s="14">
        <f>IF(COUNTIF('Claude vs tools'!$K$2:$P$139,C21)&gt;0,1,0)</f>
        <v>0</v>
      </c>
    </row>
    <row r="22" spans="1:7" x14ac:dyDescent="0.3">
      <c r="A22" s="16" t="s">
        <v>189</v>
      </c>
      <c r="B22" s="16" t="s">
        <v>158</v>
      </c>
      <c r="C22" s="16" t="s">
        <v>573</v>
      </c>
      <c r="E22" s="14">
        <f>IF(COUNTIF('Claude vs tools'!$K$2:$P$139,A22)&gt;0,1,0)</f>
        <v>1</v>
      </c>
      <c r="F22" s="14">
        <f>IF(COUNTIF('Claude vs tools'!$K$2:$P$139,B22)&gt;0,1,0)</f>
        <v>1</v>
      </c>
      <c r="G22" s="14">
        <f>IF(COUNTIF('Claude vs tools'!$K$2:$P$139,C22)&gt;0,1,0)</f>
        <v>0</v>
      </c>
    </row>
    <row r="23" spans="1:7" x14ac:dyDescent="0.3">
      <c r="A23" s="16" t="s">
        <v>160</v>
      </c>
      <c r="B23" s="16" t="s">
        <v>159</v>
      </c>
      <c r="C23" s="16" t="s">
        <v>1511</v>
      </c>
      <c r="E23" s="14">
        <f>IF(COUNTIF('Claude vs tools'!$K$2:$P$139,A23)&gt;0,1,0)</f>
        <v>1</v>
      </c>
      <c r="F23" s="14">
        <f>IF(COUNTIF('Claude vs tools'!$K$2:$P$139,B23)&gt;0,1,0)</f>
        <v>1</v>
      </c>
      <c r="G23" s="14">
        <f>IF(COUNTIF('Claude vs tools'!$K$2:$P$139,C23)&gt;0,1,0)</f>
        <v>0</v>
      </c>
    </row>
    <row r="24" spans="1:7" x14ac:dyDescent="0.3">
      <c r="A24" s="16" t="s">
        <v>1207</v>
      </c>
      <c r="B24" s="16" t="s">
        <v>693</v>
      </c>
      <c r="C24" s="16" t="s">
        <v>360</v>
      </c>
      <c r="E24" s="14">
        <f>IF(COUNTIF('Claude vs tools'!$K$2:$P$139,A24)&gt;0,1,0)</f>
        <v>0</v>
      </c>
      <c r="F24" s="14">
        <f>IF(COUNTIF('Claude vs tools'!$K$2:$P$139,B24)&gt;0,1,0)</f>
        <v>0</v>
      </c>
      <c r="G24" s="14">
        <f>IF(COUNTIF('Claude vs tools'!$K$2:$P$139,C24)&gt;0,1,0)</f>
        <v>1</v>
      </c>
    </row>
    <row r="25" spans="1:7" x14ac:dyDescent="0.3">
      <c r="A25" s="16" t="s">
        <v>242</v>
      </c>
      <c r="B25" s="16" t="s">
        <v>195</v>
      </c>
      <c r="C25" s="16" t="s">
        <v>848</v>
      </c>
      <c r="E25" s="14">
        <f>IF(COUNTIF('Claude vs tools'!$K$2:$P$139,A25)&gt;0,1,0)</f>
        <v>1</v>
      </c>
      <c r="F25" s="14">
        <f>IF(COUNTIF('Claude vs tools'!$K$2:$P$139,B25)&gt;0,1,0)</f>
        <v>1</v>
      </c>
      <c r="G25" s="14">
        <f>IF(COUNTIF('Claude vs tools'!$K$2:$P$139,C25)&gt;0,1,0)</f>
        <v>0</v>
      </c>
    </row>
    <row r="26" spans="1:7" x14ac:dyDescent="0.3">
      <c r="A26" s="16" t="s">
        <v>341</v>
      </c>
      <c r="B26" s="16" t="s">
        <v>308</v>
      </c>
      <c r="C26" s="16" t="s">
        <v>613</v>
      </c>
      <c r="E26" s="14">
        <f>IF(COUNTIF('Claude vs tools'!$K$2:$P$139,A26)&gt;0,1,0)</f>
        <v>1</v>
      </c>
      <c r="F26" s="14">
        <f>IF(COUNTIF('Claude vs tools'!$K$2:$P$139,B26)&gt;0,1,0)</f>
        <v>1</v>
      </c>
      <c r="G26" s="14">
        <f>IF(COUNTIF('Claude vs tools'!$K$2:$P$139,C26)&gt;0,1,0)</f>
        <v>0</v>
      </c>
    </row>
    <row r="27" spans="1:7" x14ac:dyDescent="0.3">
      <c r="A27" s="16" t="s">
        <v>183</v>
      </c>
      <c r="B27" s="16" t="s">
        <v>300</v>
      </c>
      <c r="C27" s="16" t="s">
        <v>427</v>
      </c>
      <c r="E27" s="14">
        <f>IF(COUNTIF('Claude vs tools'!$K$2:$P$139,A27)&gt;0,1,0)</f>
        <v>1</v>
      </c>
      <c r="F27" s="14">
        <f>IF(COUNTIF('Claude vs tools'!$K$2:$P$139,B27)&gt;0,1,0)</f>
        <v>1</v>
      </c>
      <c r="G27" s="14">
        <f>IF(COUNTIF('Claude vs tools'!$K$2:$P$139,C27)&gt;0,1,0)</f>
        <v>1</v>
      </c>
    </row>
    <row r="28" spans="1:7" x14ac:dyDescent="0.3">
      <c r="A28" s="16" t="s">
        <v>186</v>
      </c>
      <c r="B28" s="16" t="s">
        <v>266</v>
      </c>
      <c r="C28" s="16" t="s">
        <v>425</v>
      </c>
      <c r="E28" s="14">
        <f>IF(COUNTIF('Claude vs tools'!$K$2:$P$139,A28)&gt;0,1,0)</f>
        <v>1</v>
      </c>
      <c r="F28" s="14">
        <f>IF(COUNTIF('Claude vs tools'!$K$2:$P$139,B28)&gt;0,1,0)</f>
        <v>1</v>
      </c>
      <c r="G28" s="14">
        <f>IF(COUNTIF('Claude vs tools'!$K$2:$P$139,C28)&gt;0,1,0)</f>
        <v>1</v>
      </c>
    </row>
    <row r="29" spans="1:7" x14ac:dyDescent="0.3">
      <c r="A29" s="16" t="s">
        <v>40</v>
      </c>
      <c r="B29" s="16" t="s">
        <v>126</v>
      </c>
      <c r="C29" s="16" t="s">
        <v>851</v>
      </c>
      <c r="E29" s="14">
        <f>IF(COUNTIF('Claude vs tools'!$K$2:$P$139,A29)&gt;0,1,0)</f>
        <v>1</v>
      </c>
      <c r="F29" s="14">
        <f>IF(COUNTIF('Claude vs tools'!$K$2:$P$139,B29)&gt;0,1,0)</f>
        <v>1</v>
      </c>
      <c r="G29" s="14">
        <f>IF(COUNTIF('Claude vs tools'!$K$2:$P$139,C29)&gt;0,1,0)</f>
        <v>0</v>
      </c>
    </row>
    <row r="30" spans="1:7" x14ac:dyDescent="0.3">
      <c r="A30" s="16" t="s">
        <v>800</v>
      </c>
      <c r="B30" s="16" t="s">
        <v>133</v>
      </c>
      <c r="C30" s="16" t="s">
        <v>619</v>
      </c>
      <c r="E30" s="14">
        <f>IF(COUNTIF('Claude vs tools'!$K$2:$P$139,A30)&gt;0,1,0)</f>
        <v>0</v>
      </c>
      <c r="F30" s="14">
        <f>IF(COUNTIF('Claude vs tools'!$K$2:$P$139,B30)&gt;0,1,0)</f>
        <v>1</v>
      </c>
      <c r="G30" s="14">
        <f>IF(COUNTIF('Claude vs tools'!$K$2:$P$139,C30)&gt;0,1,0)</f>
        <v>0</v>
      </c>
    </row>
    <row r="31" spans="1:7" x14ac:dyDescent="0.3">
      <c r="A31" s="16" t="s">
        <v>346</v>
      </c>
      <c r="B31" s="16" t="s">
        <v>132</v>
      </c>
      <c r="C31" s="16" t="s">
        <v>136</v>
      </c>
      <c r="E31" s="14">
        <f>IF(COUNTIF('Claude vs tools'!$K$2:$P$139,A31)&gt;0,1,0)</f>
        <v>1</v>
      </c>
      <c r="F31" s="14">
        <f>IF(COUNTIF('Claude vs tools'!$K$2:$P$139,B31)&gt;0,1,0)</f>
        <v>1</v>
      </c>
      <c r="G31" s="14">
        <f>IF(COUNTIF('Claude vs tools'!$K$2:$P$139,C31)&gt;0,1,0)</f>
        <v>1</v>
      </c>
    </row>
    <row r="32" spans="1:7" x14ac:dyDescent="0.3">
      <c r="A32" s="16" t="s">
        <v>602</v>
      </c>
      <c r="B32" s="16" t="s">
        <v>479</v>
      </c>
      <c r="C32" s="16" t="s">
        <v>138</v>
      </c>
      <c r="E32" s="14">
        <f>IF(COUNTIF('Claude vs tools'!$K$2:$P$139,A32)&gt;0,1,0)</f>
        <v>0</v>
      </c>
      <c r="F32" s="14">
        <f>IF(COUNTIF('Claude vs tools'!$K$2:$P$139,B32)&gt;0,1,0)</f>
        <v>1</v>
      </c>
      <c r="G32" s="14">
        <f>IF(COUNTIF('Claude vs tools'!$K$2:$P$139,C32)&gt;0,1,0)</f>
        <v>1</v>
      </c>
    </row>
    <row r="33" spans="1:7" x14ac:dyDescent="0.3">
      <c r="A33" s="16" t="s">
        <v>470</v>
      </c>
      <c r="B33" s="16" t="s">
        <v>714</v>
      </c>
      <c r="C33" s="16" t="s">
        <v>620</v>
      </c>
      <c r="E33" s="14">
        <f>IF(COUNTIF('Claude vs tools'!$K$2:$P$139,A33)&gt;0,1,0)</f>
        <v>1</v>
      </c>
      <c r="F33" s="14">
        <f>IF(COUNTIF('Claude vs tools'!$K$2:$P$139,B33)&gt;0,1,0)</f>
        <v>0</v>
      </c>
      <c r="G33" s="14">
        <f>IF(COUNTIF('Claude vs tools'!$K$2:$P$139,C33)&gt;0,1,0)</f>
        <v>0</v>
      </c>
    </row>
    <row r="34" spans="1:7" x14ac:dyDescent="0.3">
      <c r="A34" s="16" t="s">
        <v>476</v>
      </c>
      <c r="B34" s="16" t="s">
        <v>447</v>
      </c>
      <c r="C34" s="16" t="s">
        <v>862</v>
      </c>
      <c r="E34" s="14">
        <f>IF(COUNTIF('Claude vs tools'!$K$2:$P$139,A34)&gt;0,1,0)</f>
        <v>1</v>
      </c>
      <c r="F34" s="14">
        <f>IF(COUNTIF('Claude vs tools'!$K$2:$P$139,B34)&gt;0,1,0)</f>
        <v>1</v>
      </c>
      <c r="G34" s="14">
        <f>IF(COUNTIF('Claude vs tools'!$K$2:$P$139,C34)&gt;0,1,0)</f>
        <v>0</v>
      </c>
    </row>
    <row r="35" spans="1:7" x14ac:dyDescent="0.3">
      <c r="A35" s="16" t="s">
        <v>232</v>
      </c>
      <c r="B35" s="16" t="s">
        <v>719</v>
      </c>
      <c r="C35" s="16" t="s">
        <v>864</v>
      </c>
      <c r="E35" s="14">
        <f>IF(COUNTIF('Claude vs tools'!$K$2:$P$139,A35)&gt;0,1,0)</f>
        <v>1</v>
      </c>
      <c r="F35" s="14">
        <f>IF(COUNTIF('Claude vs tools'!$K$2:$P$139,B35)&gt;0,1,0)</f>
        <v>0</v>
      </c>
      <c r="G35" s="14">
        <f>IF(COUNTIF('Claude vs tools'!$K$2:$P$139,C35)&gt;0,1,0)</f>
        <v>0</v>
      </c>
    </row>
    <row r="36" spans="1:7" x14ac:dyDescent="0.3">
      <c r="A36" s="16" t="s">
        <v>228</v>
      </c>
      <c r="B36" s="16" t="s">
        <v>450</v>
      </c>
      <c r="C36" s="16" t="s">
        <v>869</v>
      </c>
      <c r="E36" s="14">
        <f>IF(COUNTIF('Claude vs tools'!$K$2:$P$139,A36)&gt;0,1,0)</f>
        <v>1</v>
      </c>
      <c r="F36" s="14">
        <f>IF(COUNTIF('Claude vs tools'!$K$2:$P$139,B36)&gt;0,1,0)</f>
        <v>1</v>
      </c>
      <c r="G36" s="14">
        <f>IF(COUNTIF('Claude vs tools'!$K$2:$P$139,C36)&gt;0,1,0)</f>
        <v>0</v>
      </c>
    </row>
    <row r="37" spans="1:7" x14ac:dyDescent="0.3">
      <c r="A37" s="16" t="s">
        <v>565</v>
      </c>
      <c r="B37" s="16" t="s">
        <v>448</v>
      </c>
      <c r="C37" s="16" t="s">
        <v>1816</v>
      </c>
      <c r="E37" s="14">
        <f>IF(COUNTIF('Claude vs tools'!$K$2:$P$139,A37)&gt;0,1,0)</f>
        <v>0</v>
      </c>
      <c r="F37" s="14">
        <f>IF(COUNTIF('Claude vs tools'!$K$2:$P$139,B37)&gt;0,1,0)</f>
        <v>1</v>
      </c>
      <c r="G37" s="14">
        <f>IF(COUNTIF('Claude vs tools'!$K$2:$P$139,C37)&gt;0,1,0)</f>
        <v>0</v>
      </c>
    </row>
    <row r="38" spans="1:7" x14ac:dyDescent="0.3">
      <c r="A38" s="16" t="s">
        <v>817</v>
      </c>
      <c r="B38" s="16" t="s">
        <v>16</v>
      </c>
      <c r="C38" s="16" t="s">
        <v>458</v>
      </c>
      <c r="E38" s="14">
        <f>IF(COUNTIF('Claude vs tools'!$K$2:$P$139,A38)&gt;0,1,0)</f>
        <v>0</v>
      </c>
      <c r="F38" s="14">
        <f>IF(COUNTIF('Claude vs tools'!$K$2:$P$139,B38)&gt;0,1,0)</f>
        <v>1</v>
      </c>
      <c r="G38" s="14">
        <f>IF(COUNTIF('Claude vs tools'!$K$2:$P$139,C38)&gt;0,1,0)</f>
        <v>1</v>
      </c>
    </row>
    <row r="39" spans="1:7" x14ac:dyDescent="0.3">
      <c r="A39" s="16" t="s">
        <v>604</v>
      </c>
      <c r="B39" s="16" t="s">
        <v>1176</v>
      </c>
      <c r="C39" s="16" t="s">
        <v>164</v>
      </c>
      <c r="E39" s="14">
        <f>IF(COUNTIF('Claude vs tools'!$K$2:$P$139,A39)&gt;0,1,0)</f>
        <v>0</v>
      </c>
      <c r="F39" s="14">
        <f>IF(COUNTIF('Claude vs tools'!$K$2:$P$139,B39)&gt;0,1,0)</f>
        <v>0</v>
      </c>
      <c r="G39" s="14">
        <f>IF(COUNTIF('Claude vs tools'!$K$2:$P$139,C39)&gt;0,1,0)</f>
        <v>1</v>
      </c>
    </row>
    <row r="40" spans="1:7" x14ac:dyDescent="0.3">
      <c r="A40" s="16" t="s">
        <v>605</v>
      </c>
      <c r="B40" s="16" t="s">
        <v>732</v>
      </c>
      <c r="C40" s="16" t="s">
        <v>546</v>
      </c>
      <c r="E40" s="14">
        <f>IF(COUNTIF('Claude vs tools'!$K$2:$P$139,A40)&gt;0,1,0)</f>
        <v>0</v>
      </c>
      <c r="F40" s="14">
        <f>IF(COUNTIF('Claude vs tools'!$K$2:$P$139,B40)&gt;0,1,0)</f>
        <v>0</v>
      </c>
      <c r="G40" s="14">
        <f>IF(COUNTIF('Claude vs tools'!$K$2:$P$139,C40)&gt;0,1,0)</f>
        <v>1</v>
      </c>
    </row>
    <row r="41" spans="1:7" x14ac:dyDescent="0.3">
      <c r="A41" s="16" t="s">
        <v>568</v>
      </c>
      <c r="B41" s="16" t="s">
        <v>733</v>
      </c>
      <c r="C41" s="16" t="s">
        <v>574</v>
      </c>
      <c r="E41" s="14">
        <f>IF(COUNTIF('Claude vs tools'!$K$2:$P$139,A41)&gt;0,1,0)</f>
        <v>0</v>
      </c>
      <c r="F41" s="14">
        <f>IF(COUNTIF('Claude vs tools'!$K$2:$P$139,B41)&gt;0,1,0)</f>
        <v>0</v>
      </c>
      <c r="G41" s="14">
        <f>IF(COUNTIF('Claude vs tools'!$K$2:$P$139,C41)&gt;0,1,0)</f>
        <v>0</v>
      </c>
    </row>
    <row r="42" spans="1:7" x14ac:dyDescent="0.3">
      <c r="A42" s="16" t="s">
        <v>571</v>
      </c>
      <c r="B42" s="16" t="s">
        <v>1177</v>
      </c>
      <c r="C42" s="16" t="s">
        <v>625</v>
      </c>
      <c r="E42" s="14">
        <f>IF(COUNTIF('Claude vs tools'!$K$2:$P$139,A42)&gt;0,1,0)</f>
        <v>0</v>
      </c>
      <c r="F42" s="14">
        <f>IF(COUNTIF('Claude vs tools'!$K$2:$P$139,B42)&gt;0,1,0)</f>
        <v>0</v>
      </c>
      <c r="G42" s="14">
        <f>IF(COUNTIF('Claude vs tools'!$K$2:$P$139,C42)&gt;0,1,0)</f>
        <v>0</v>
      </c>
    </row>
    <row r="43" spans="1:7" x14ac:dyDescent="0.3">
      <c r="A43" s="16" t="s">
        <v>606</v>
      </c>
      <c r="B43" s="16" t="s">
        <v>1178</v>
      </c>
      <c r="C43" s="16" t="s">
        <v>465</v>
      </c>
      <c r="E43" s="14">
        <f>IF(COUNTIF('Claude vs tools'!$K$2:$P$139,A43)&gt;0,1,0)</f>
        <v>0</v>
      </c>
      <c r="F43" s="14">
        <f>IF(COUNTIF('Claude vs tools'!$K$2:$P$139,B43)&gt;0,1,0)</f>
        <v>0</v>
      </c>
      <c r="G43" s="14">
        <f>IF(COUNTIF('Claude vs tools'!$K$2:$P$139,C43)&gt;0,1,0)</f>
        <v>1</v>
      </c>
    </row>
    <row r="44" spans="1:7" x14ac:dyDescent="0.3">
      <c r="A44" s="16" t="s">
        <v>608</v>
      </c>
      <c r="B44" s="16" t="s">
        <v>31</v>
      </c>
      <c r="C44" s="16" t="s">
        <v>629</v>
      </c>
      <c r="E44" s="14">
        <f>IF(COUNTIF('Claude vs tools'!$K$2:$P$139,A44)&gt;0,1,0)</f>
        <v>0</v>
      </c>
      <c r="F44" s="14">
        <f>IF(COUNTIF('Claude vs tools'!$K$2:$P$139,B44)&gt;0,1,0)</f>
        <v>1</v>
      </c>
      <c r="G44" s="14">
        <f>IF(COUNTIF('Claude vs tools'!$K$2:$P$139,C44)&gt;0,1,0)</f>
        <v>0</v>
      </c>
    </row>
    <row r="45" spans="1:7" x14ac:dyDescent="0.3">
      <c r="A45" s="16" t="s">
        <v>834</v>
      </c>
      <c r="B45" s="16" t="s">
        <v>734</v>
      </c>
      <c r="C45" s="16" t="s">
        <v>141</v>
      </c>
      <c r="E45" s="14">
        <f>IF(COUNTIF('Claude vs tools'!$K$2:$P$139,A45)&gt;0,1,0)</f>
        <v>0</v>
      </c>
      <c r="F45" s="14">
        <f>IF(COUNTIF('Claude vs tools'!$K$2:$P$139,B45)&gt;0,1,0)</f>
        <v>0</v>
      </c>
      <c r="G45" s="14">
        <f>IF(COUNTIF('Claude vs tools'!$K$2:$P$139,C45)&gt;0,1,0)</f>
        <v>1</v>
      </c>
    </row>
    <row r="46" spans="1:7" x14ac:dyDescent="0.3">
      <c r="A46" s="16" t="s">
        <v>835</v>
      </c>
      <c r="B46" s="16" t="s">
        <v>189</v>
      </c>
      <c r="C46" s="16" t="s">
        <v>1540</v>
      </c>
      <c r="E46" s="14">
        <f>IF(COUNTIF('Claude vs tools'!$K$2:$P$139,A46)&gt;0,1,0)</f>
        <v>0</v>
      </c>
      <c r="F46" s="14">
        <f>IF(COUNTIF('Claude vs tools'!$K$2:$P$139,B46)&gt;0,1,0)</f>
        <v>1</v>
      </c>
      <c r="G46" s="14">
        <f>IF(COUNTIF('Claude vs tools'!$K$2:$P$139,C46)&gt;0,1,0)</f>
        <v>0</v>
      </c>
    </row>
    <row r="47" spans="1:7" x14ac:dyDescent="0.3">
      <c r="A47" s="16" t="s">
        <v>836</v>
      </c>
      <c r="B47" s="16" t="s">
        <v>123</v>
      </c>
      <c r="C47" s="16" t="s">
        <v>895</v>
      </c>
      <c r="E47" s="14">
        <f>IF(COUNTIF('Claude vs tools'!$K$2:$P$139,A47)&gt;0,1,0)</f>
        <v>0</v>
      </c>
      <c r="F47" s="14">
        <f>IF(COUNTIF('Claude vs tools'!$K$2:$P$139,B47)&gt;0,1,0)</f>
        <v>1</v>
      </c>
      <c r="G47" s="14">
        <f>IF(COUNTIF('Claude vs tools'!$K$2:$P$139,C47)&gt;0,1,0)</f>
        <v>0</v>
      </c>
    </row>
    <row r="48" spans="1:7" x14ac:dyDescent="0.3">
      <c r="A48" s="16" t="s">
        <v>837</v>
      </c>
      <c r="B48" s="16" t="s">
        <v>736</v>
      </c>
      <c r="C48" s="16" t="s">
        <v>896</v>
      </c>
      <c r="E48" s="14">
        <f>IF(COUNTIF('Claude vs tools'!$K$2:$P$139,A48)&gt;0,1,0)</f>
        <v>0</v>
      </c>
      <c r="F48" s="14">
        <f>IF(COUNTIF('Claude vs tools'!$K$2:$P$139,B48)&gt;0,1,0)</f>
        <v>0</v>
      </c>
      <c r="G48" s="14">
        <f>IF(COUNTIF('Claude vs tools'!$K$2:$P$139,C48)&gt;0,1,0)</f>
        <v>0</v>
      </c>
    </row>
    <row r="49" spans="1:7" x14ac:dyDescent="0.3">
      <c r="A49" s="16" t="s">
        <v>838</v>
      </c>
      <c r="B49" s="16" t="s">
        <v>63</v>
      </c>
      <c r="C49" s="16" t="s">
        <v>897</v>
      </c>
      <c r="E49" s="14">
        <f>IF(COUNTIF('Claude vs tools'!$K$2:$P$139,A49)&gt;0,1,0)</f>
        <v>0</v>
      </c>
      <c r="F49" s="14">
        <f>IF(COUNTIF('Claude vs tools'!$K$2:$P$139,B49)&gt;0,1,0)</f>
        <v>1</v>
      </c>
      <c r="G49" s="14">
        <f>IF(COUNTIF('Claude vs tools'!$K$2:$P$139,C49)&gt;0,1,0)</f>
        <v>0</v>
      </c>
    </row>
    <row r="50" spans="1:7" x14ac:dyDescent="0.3">
      <c r="A50" s="16" t="s">
        <v>573</v>
      </c>
      <c r="B50" s="16" t="s">
        <v>60</v>
      </c>
      <c r="C50" s="16" t="s">
        <v>898</v>
      </c>
      <c r="E50" s="14">
        <f>IF(COUNTIF('Claude vs tools'!$K$2:$P$139,A50)&gt;0,1,0)</f>
        <v>0</v>
      </c>
      <c r="F50" s="14">
        <f>IF(COUNTIF('Claude vs tools'!$K$2:$P$139,B50)&gt;0,1,0)</f>
        <v>1</v>
      </c>
      <c r="G50" s="14">
        <f>IF(COUNTIF('Claude vs tools'!$K$2:$P$139,C50)&gt;0,1,0)</f>
        <v>0</v>
      </c>
    </row>
    <row r="51" spans="1:7" x14ac:dyDescent="0.3">
      <c r="A51" s="16" t="s">
        <v>360</v>
      </c>
      <c r="B51" s="16" t="s">
        <v>588</v>
      </c>
      <c r="C51" s="16" t="s">
        <v>404</v>
      </c>
      <c r="E51" s="14">
        <f>IF(COUNTIF('Claude vs tools'!$K$2:$P$139,A51)&gt;0,1,0)</f>
        <v>1</v>
      </c>
      <c r="F51" s="14">
        <f>IF(COUNTIF('Claude vs tools'!$K$2:$P$139,B51)&gt;0,1,0)</f>
        <v>0</v>
      </c>
      <c r="G51" s="14">
        <f>IF(COUNTIF('Claude vs tools'!$K$2:$P$139,C51)&gt;0,1,0)</f>
        <v>1</v>
      </c>
    </row>
    <row r="52" spans="1:7" x14ac:dyDescent="0.3">
      <c r="A52" s="16" t="s">
        <v>427</v>
      </c>
      <c r="B52" s="16" t="s">
        <v>739</v>
      </c>
      <c r="C52" s="16" t="s">
        <v>903</v>
      </c>
      <c r="E52" s="14">
        <f>IF(COUNTIF('Claude vs tools'!$K$2:$P$139,A52)&gt;0,1,0)</f>
        <v>1</v>
      </c>
      <c r="F52" s="14">
        <f>IF(COUNTIF('Claude vs tools'!$K$2:$P$139,B52)&gt;0,1,0)</f>
        <v>0</v>
      </c>
      <c r="G52" s="14">
        <f>IF(COUNTIF('Claude vs tools'!$K$2:$P$139,C52)&gt;0,1,0)</f>
        <v>0</v>
      </c>
    </row>
    <row r="53" spans="1:7" x14ac:dyDescent="0.3">
      <c r="A53" s="16" t="s">
        <v>425</v>
      </c>
      <c r="B53" s="16" t="s">
        <v>233</v>
      </c>
      <c r="C53" s="16" t="s">
        <v>174</v>
      </c>
      <c r="E53" s="14">
        <f>IF(COUNTIF('Claude vs tools'!$K$2:$P$139,A53)&gt;0,1,0)</f>
        <v>1</v>
      </c>
      <c r="F53" s="14">
        <f>IF(COUNTIF('Claude vs tools'!$K$2:$P$139,B53)&gt;0,1,0)</f>
        <v>1</v>
      </c>
      <c r="G53" s="14">
        <f>IF(COUNTIF('Claude vs tools'!$K$2:$P$139,C53)&gt;0,1,0)</f>
        <v>1</v>
      </c>
    </row>
    <row r="54" spans="1:7" x14ac:dyDescent="0.3">
      <c r="A54" s="16" t="s">
        <v>136</v>
      </c>
      <c r="B54" s="16" t="s">
        <v>237</v>
      </c>
      <c r="C54" s="16" t="s">
        <v>575</v>
      </c>
      <c r="E54" s="14">
        <f>IF(COUNTIF('Claude vs tools'!$K$2:$P$139,A54)&gt;0,1,0)</f>
        <v>1</v>
      </c>
      <c r="F54" s="14">
        <f>IF(COUNTIF('Claude vs tools'!$K$2:$P$139,B54)&gt;0,1,0)</f>
        <v>1</v>
      </c>
      <c r="G54" s="14">
        <f>IF(COUNTIF('Claude vs tools'!$K$2:$P$139,C54)&gt;0,1,0)</f>
        <v>0</v>
      </c>
    </row>
    <row r="55" spans="1:7" x14ac:dyDescent="0.3">
      <c r="A55" s="16" t="s">
        <v>137</v>
      </c>
      <c r="B55" s="16" t="s">
        <v>322</v>
      </c>
      <c r="C55" s="16" t="s">
        <v>911</v>
      </c>
      <c r="E55" s="14">
        <f>IF(COUNTIF('Claude vs tools'!$K$2:$P$139,A55)&gt;0,1,0)</f>
        <v>1</v>
      </c>
      <c r="F55" s="14">
        <f>IF(COUNTIF('Claude vs tools'!$K$2:$P$139,B55)&gt;0,1,0)</f>
        <v>1</v>
      </c>
      <c r="G55" s="14">
        <f>IF(COUNTIF('Claude vs tools'!$K$2:$P$139,C55)&gt;0,1,0)</f>
        <v>0</v>
      </c>
    </row>
    <row r="56" spans="1:7" x14ac:dyDescent="0.3">
      <c r="A56" s="16" t="s">
        <v>620</v>
      </c>
      <c r="B56" s="16" t="s">
        <v>1228</v>
      </c>
      <c r="C56" s="16" t="s">
        <v>343</v>
      </c>
      <c r="E56" s="14">
        <f>IF(COUNTIF('Claude vs tools'!$K$2:$P$139,A56)&gt;0,1,0)</f>
        <v>0</v>
      </c>
      <c r="F56" s="14">
        <f>IF(COUNTIF('Claude vs tools'!$K$2:$P$139,B56)&gt;0,1,0)</f>
        <v>0</v>
      </c>
      <c r="G56" s="14">
        <f>IF(COUNTIF('Claude vs tools'!$K$2:$P$139,C56)&gt;0,1,0)</f>
        <v>1</v>
      </c>
    </row>
    <row r="57" spans="1:7" x14ac:dyDescent="0.3">
      <c r="A57" s="16" t="s">
        <v>439</v>
      </c>
      <c r="B57" s="16" t="s">
        <v>242</v>
      </c>
      <c r="C57" s="16" t="s">
        <v>1861</v>
      </c>
      <c r="E57" s="14">
        <f>IF(COUNTIF('Claude vs tools'!$K$2:$P$139,A57)&gt;0,1,0)</f>
        <v>1</v>
      </c>
      <c r="F57" s="14">
        <f>IF(COUNTIF('Claude vs tools'!$K$2:$P$139,B57)&gt;0,1,0)</f>
        <v>1</v>
      </c>
      <c r="G57" s="14">
        <f>IF(COUNTIF('Claude vs tools'!$K$2:$P$139,C57)&gt;0,1,0)</f>
        <v>0</v>
      </c>
    </row>
    <row r="58" spans="1:7" x14ac:dyDescent="0.3">
      <c r="A58" s="16" t="s">
        <v>546</v>
      </c>
      <c r="B58" s="16" t="s">
        <v>341</v>
      </c>
      <c r="C58" s="16" t="s">
        <v>172</v>
      </c>
      <c r="E58" s="14">
        <f>IF(COUNTIF('Claude vs tools'!$K$2:$P$139,A58)&gt;0,1,0)</f>
        <v>1</v>
      </c>
      <c r="F58" s="14">
        <f>IF(COUNTIF('Claude vs tools'!$K$2:$P$139,B58)&gt;0,1,0)</f>
        <v>1</v>
      </c>
      <c r="G58" s="14">
        <f>IF(COUNTIF('Claude vs tools'!$K$2:$P$139,C58)&gt;0,1,0)</f>
        <v>1</v>
      </c>
    </row>
    <row r="59" spans="1:7" x14ac:dyDescent="0.3">
      <c r="A59" s="16" t="s">
        <v>574</v>
      </c>
      <c r="B59" s="16" t="s">
        <v>1252</v>
      </c>
      <c r="C59" s="16" t="s">
        <v>920</v>
      </c>
      <c r="E59" s="14">
        <f>IF(COUNTIF('Claude vs tools'!$K$2:$P$139,A59)&gt;0,1,0)</f>
        <v>0</v>
      </c>
      <c r="F59" s="14">
        <f>IF(COUNTIF('Claude vs tools'!$K$2:$P$139,B59)&gt;0,1,0)</f>
        <v>0</v>
      </c>
      <c r="G59" s="14">
        <f>IF(COUNTIF('Claude vs tools'!$K$2:$P$139,C59)&gt;0,1,0)</f>
        <v>0</v>
      </c>
    </row>
    <row r="60" spans="1:7" x14ac:dyDescent="0.3">
      <c r="A60" s="16" t="s">
        <v>623</v>
      </c>
      <c r="B60" s="16" t="s">
        <v>760</v>
      </c>
      <c r="C60" s="16" t="s">
        <v>639</v>
      </c>
      <c r="E60" s="14">
        <f>IF(COUNTIF('Claude vs tools'!$K$2:$P$139,A60)&gt;0,1,0)</f>
        <v>0</v>
      </c>
      <c r="F60" s="14">
        <f>IF(COUNTIF('Claude vs tools'!$K$2:$P$139,B60)&gt;0,1,0)</f>
        <v>0</v>
      </c>
      <c r="G60" s="14">
        <f>IF(COUNTIF('Claude vs tools'!$K$2:$P$139,C60)&gt;0,1,0)</f>
        <v>0</v>
      </c>
    </row>
    <row r="61" spans="1:7" x14ac:dyDescent="0.3">
      <c r="A61" s="16" t="s">
        <v>627</v>
      </c>
      <c r="B61" s="16" t="s">
        <v>183</v>
      </c>
      <c r="C61" s="16" t="s">
        <v>923</v>
      </c>
      <c r="E61" s="14">
        <f>IF(COUNTIF('Claude vs tools'!$K$2:$P$139,A61)&gt;0,1,0)</f>
        <v>0</v>
      </c>
      <c r="F61" s="14">
        <f>IF(COUNTIF('Claude vs tools'!$K$2:$P$139,B61)&gt;0,1,0)</f>
        <v>1</v>
      </c>
      <c r="G61" s="14">
        <f>IF(COUNTIF('Claude vs tools'!$K$2:$P$139,C61)&gt;0,1,0)</f>
        <v>0</v>
      </c>
    </row>
    <row r="62" spans="1:7" x14ac:dyDescent="0.3">
      <c r="A62" s="16" t="s">
        <v>141</v>
      </c>
      <c r="B62" s="16" t="s">
        <v>762</v>
      </c>
      <c r="C62" s="16" t="s">
        <v>75</v>
      </c>
      <c r="E62" s="14">
        <f>IF(COUNTIF('Claude vs tools'!$K$2:$P$139,A62)&gt;0,1,0)</f>
        <v>1</v>
      </c>
      <c r="F62" s="14">
        <f>IF(COUNTIF('Claude vs tools'!$K$2:$P$139,B62)&gt;0,1,0)</f>
        <v>0</v>
      </c>
      <c r="G62" s="14">
        <f>IF(COUNTIF('Claude vs tools'!$K$2:$P$139,C62)&gt;0,1,0)</f>
        <v>1</v>
      </c>
    </row>
    <row r="63" spans="1:7" x14ac:dyDescent="0.3">
      <c r="A63" s="16" t="s">
        <v>404</v>
      </c>
      <c r="B63" s="16" t="s">
        <v>596</v>
      </c>
      <c r="C63" s="16" t="s">
        <v>92</v>
      </c>
      <c r="E63" s="14">
        <f>IF(COUNTIF('Claude vs tools'!$K$2:$P$139,A63)&gt;0,1,0)</f>
        <v>1</v>
      </c>
      <c r="F63" s="14">
        <f>IF(COUNTIF('Claude vs tools'!$K$2:$P$139,B63)&gt;0,1,0)</f>
        <v>0</v>
      </c>
      <c r="G63" s="14">
        <f>IF(COUNTIF('Claude vs tools'!$K$2:$P$139,C63)&gt;0,1,0)</f>
        <v>1</v>
      </c>
    </row>
    <row r="64" spans="1:7" x14ac:dyDescent="0.3">
      <c r="A64" s="16" t="s">
        <v>174</v>
      </c>
      <c r="B64" s="16" t="s">
        <v>186</v>
      </c>
      <c r="C64" s="16" t="s">
        <v>643</v>
      </c>
      <c r="E64" s="14">
        <f>IF(COUNTIF('Claude vs tools'!$K$2:$P$139,A64)&gt;0,1,0)</f>
        <v>1</v>
      </c>
      <c r="F64" s="14">
        <f>IF(COUNTIF('Claude vs tools'!$K$2:$P$139,B64)&gt;0,1,0)</f>
        <v>1</v>
      </c>
      <c r="G64" s="14">
        <f>IF(COUNTIF('Claude vs tools'!$K$2:$P$139,C64)&gt;0,1,0)</f>
        <v>0</v>
      </c>
    </row>
    <row r="65" spans="1:7" x14ac:dyDescent="0.3">
      <c r="A65" s="16" t="s">
        <v>575</v>
      </c>
      <c r="B65" s="16" t="s">
        <v>771</v>
      </c>
      <c r="C65" s="16" t="s">
        <v>576</v>
      </c>
      <c r="E65" s="14">
        <f>IF(COUNTIF('Claude vs tools'!$K$2:$P$139,A65)&gt;0,1,0)</f>
        <v>0</v>
      </c>
      <c r="F65" s="14">
        <f>IF(COUNTIF('Claude vs tools'!$K$2:$P$139,B65)&gt;0,1,0)</f>
        <v>0</v>
      </c>
      <c r="G65" s="14">
        <f>IF(COUNTIF('Claude vs tools'!$K$2:$P$139,C65)&gt;0,1,0)</f>
        <v>0</v>
      </c>
    </row>
    <row r="66" spans="1:7" x14ac:dyDescent="0.3">
      <c r="A66" s="16" t="s">
        <v>172</v>
      </c>
      <c r="B66" s="16" t="s">
        <v>1319</v>
      </c>
      <c r="C66" s="16" t="s">
        <v>943</v>
      </c>
      <c r="E66" s="14">
        <f>IF(COUNTIF('Claude vs tools'!$K$2:$P$139,A66)&gt;0,1,0)</f>
        <v>1</v>
      </c>
      <c r="F66" s="14">
        <f>IF(COUNTIF('Claude vs tools'!$K$2:$P$139,B66)&gt;0,1,0)</f>
        <v>0</v>
      </c>
      <c r="G66" s="14">
        <f>IF(COUNTIF('Claude vs tools'!$K$2:$P$139,C66)&gt;0,1,0)</f>
        <v>0</v>
      </c>
    </row>
    <row r="67" spans="1:7" x14ac:dyDescent="0.3">
      <c r="A67" s="16" t="s">
        <v>919</v>
      </c>
      <c r="B67" s="16" t="s">
        <v>598</v>
      </c>
      <c r="C67" s="16" t="s">
        <v>644</v>
      </c>
      <c r="E67" s="14">
        <f>IF(COUNTIF('Claude vs tools'!$K$2:$P$139,A67)&gt;0,1,0)</f>
        <v>0</v>
      </c>
      <c r="F67" s="14">
        <f>IF(COUNTIF('Claude vs tools'!$K$2:$P$139,B67)&gt;0,1,0)</f>
        <v>0</v>
      </c>
      <c r="G67" s="14">
        <f>IF(COUNTIF('Claude vs tools'!$K$2:$P$139,C67)&gt;0,1,0)</f>
        <v>0</v>
      </c>
    </row>
    <row r="68" spans="1:7" x14ac:dyDescent="0.3">
      <c r="A68" s="16" t="s">
        <v>639</v>
      </c>
      <c r="B68" s="16" t="s">
        <v>2266</v>
      </c>
      <c r="C68" s="16" t="s">
        <v>577</v>
      </c>
      <c r="E68" s="14">
        <f>IF(COUNTIF('Claude vs tools'!$K$2:$P$139,A68)&gt;0,1,0)</f>
        <v>0</v>
      </c>
      <c r="F68" s="14">
        <f>IF(COUNTIF('Claude vs tools'!$K$2:$P$139,B68)&gt;0,1,0)</f>
        <v>0</v>
      </c>
      <c r="G68" s="14">
        <f>IF(COUNTIF('Claude vs tools'!$K$2:$P$139,C68)&gt;0,1,0)</f>
        <v>0</v>
      </c>
    </row>
    <row r="69" spans="1:7" x14ac:dyDescent="0.3">
      <c r="A69" s="16" t="s">
        <v>408</v>
      </c>
      <c r="B69" s="16" t="s">
        <v>314</v>
      </c>
      <c r="C69" s="16" t="s">
        <v>219</v>
      </c>
      <c r="E69" s="14">
        <f>IF(COUNTIF('Claude vs tools'!$K$2:$P$139,A69)&gt;0,1,0)</f>
        <v>1</v>
      </c>
      <c r="F69" s="14">
        <f>IF(COUNTIF('Claude vs tools'!$K$2:$P$139,B69)&gt;0,1,0)</f>
        <v>1</v>
      </c>
      <c r="G69" s="14">
        <f>IF(COUNTIF('Claude vs tools'!$K$2:$P$139,C69)&gt;0,1,0)</f>
        <v>1</v>
      </c>
    </row>
    <row r="70" spans="1:7" x14ac:dyDescent="0.3">
      <c r="A70" s="16" t="s">
        <v>643</v>
      </c>
      <c r="B70" s="16" t="s">
        <v>301</v>
      </c>
      <c r="C70" s="16" t="s">
        <v>211</v>
      </c>
      <c r="E70" s="14">
        <f>IF(COUNTIF('Claude vs tools'!$K$2:$P$139,A70)&gt;0,1,0)</f>
        <v>0</v>
      </c>
      <c r="F70" s="14">
        <f>IF(COUNTIF('Claude vs tools'!$K$2:$P$139,B70)&gt;0,1,0)</f>
        <v>1</v>
      </c>
      <c r="G70" s="14">
        <f>IF(COUNTIF('Claude vs tools'!$K$2:$P$139,C70)&gt;0,1,0)</f>
        <v>1</v>
      </c>
    </row>
    <row r="71" spans="1:7" x14ac:dyDescent="0.3">
      <c r="A71" s="16" t="s">
        <v>576</v>
      </c>
      <c r="B71" s="16" t="s">
        <v>793</v>
      </c>
      <c r="C71" s="16" t="s">
        <v>952</v>
      </c>
      <c r="E71" s="14">
        <f>IF(COUNTIF('Claude vs tools'!$K$2:$P$139,A71)&gt;0,1,0)</f>
        <v>0</v>
      </c>
      <c r="F71" s="14">
        <f>IF(COUNTIF('Claude vs tools'!$K$2:$P$139,B71)&gt;0,1,0)</f>
        <v>0</v>
      </c>
      <c r="G71" s="14">
        <f>IF(COUNTIF('Claude vs tools'!$K$2:$P$139,C71)&gt;0,1,0)</f>
        <v>0</v>
      </c>
    </row>
    <row r="72" spans="1:7" x14ac:dyDescent="0.3">
      <c r="A72" s="16" t="s">
        <v>577</v>
      </c>
      <c r="B72" s="16" t="s">
        <v>796</v>
      </c>
      <c r="C72" s="16" t="s">
        <v>649</v>
      </c>
      <c r="E72" s="14">
        <f>IF(COUNTIF('Claude vs tools'!$K$2:$P$139,A72)&gt;0,1,0)</f>
        <v>0</v>
      </c>
      <c r="F72" s="14">
        <f>IF(COUNTIF('Claude vs tools'!$K$2:$P$139,B72)&gt;0,1,0)</f>
        <v>0</v>
      </c>
      <c r="G72" s="14">
        <f>IF(COUNTIF('Claude vs tools'!$K$2:$P$139,C72)&gt;0,1,0)</f>
        <v>0</v>
      </c>
    </row>
    <row r="73" spans="1:7" x14ac:dyDescent="0.3">
      <c r="A73" s="16" t="s">
        <v>219</v>
      </c>
      <c r="B73" s="16" t="s">
        <v>797</v>
      </c>
      <c r="C73" s="16" t="s">
        <v>650</v>
      </c>
      <c r="E73" s="14">
        <f>IF(COUNTIF('Claude vs tools'!$K$2:$P$139,A73)&gt;0,1,0)</f>
        <v>1</v>
      </c>
      <c r="F73" s="14">
        <f>IF(COUNTIF('Claude vs tools'!$K$2:$P$139,B73)&gt;0,1,0)</f>
        <v>0</v>
      </c>
      <c r="G73" s="14">
        <f>IF(COUNTIF('Claude vs tools'!$K$2:$P$139,C73)&gt;0,1,0)</f>
        <v>0</v>
      </c>
    </row>
    <row r="74" spans="1:7" x14ac:dyDescent="0.3">
      <c r="A74" s="16" t="s">
        <v>211</v>
      </c>
      <c r="B74" s="16" t="s">
        <v>798</v>
      </c>
      <c r="C74" s="16" t="s">
        <v>651</v>
      </c>
      <c r="E74" s="14">
        <f>IF(COUNTIF('Claude vs tools'!$K$2:$P$139,A74)&gt;0,1,0)</f>
        <v>1</v>
      </c>
      <c r="F74" s="14">
        <f>IF(COUNTIF('Claude vs tools'!$K$2:$P$139,B74)&gt;0,1,0)</f>
        <v>0</v>
      </c>
      <c r="G74" s="14">
        <f>IF(COUNTIF('Claude vs tools'!$K$2:$P$139,C74)&gt;0,1,0)</f>
        <v>0</v>
      </c>
    </row>
    <row r="75" spans="1:7" x14ac:dyDescent="0.3">
      <c r="A75" s="16" t="s">
        <v>647</v>
      </c>
      <c r="B75" s="16" t="s">
        <v>799</v>
      </c>
      <c r="C75" s="16" t="s">
        <v>205</v>
      </c>
      <c r="E75" s="14">
        <f>IF(COUNTIF('Claude vs tools'!$K$2:$P$139,A75)&gt;0,1,0)</f>
        <v>0</v>
      </c>
      <c r="F75" s="14">
        <f>IF(COUNTIF('Claude vs tools'!$K$2:$P$139,B75)&gt;0,1,0)</f>
        <v>0</v>
      </c>
      <c r="G75" s="14">
        <f>IF(COUNTIF('Claude vs tools'!$K$2:$P$139,C75)&gt;0,1,0)</f>
        <v>1</v>
      </c>
    </row>
    <row r="76" spans="1:7" x14ac:dyDescent="0.3">
      <c r="A76" s="16" t="s">
        <v>649</v>
      </c>
      <c r="B76" s="16" t="s">
        <v>601</v>
      </c>
      <c r="C76" s="16" t="s">
        <v>958</v>
      </c>
      <c r="E76" s="14">
        <f>IF(COUNTIF('Claude vs tools'!$K$2:$P$139,A76)&gt;0,1,0)</f>
        <v>0</v>
      </c>
      <c r="F76" s="14">
        <f>IF(COUNTIF('Claude vs tools'!$K$2:$P$139,B76)&gt;0,1,0)</f>
        <v>0</v>
      </c>
      <c r="G76" s="14">
        <f>IF(COUNTIF('Claude vs tools'!$K$2:$P$139,C76)&gt;0,1,0)</f>
        <v>0</v>
      </c>
    </row>
    <row r="77" spans="1:7" x14ac:dyDescent="0.3">
      <c r="A77" s="16" t="s">
        <v>650</v>
      </c>
      <c r="B77" s="16" t="s">
        <v>802</v>
      </c>
      <c r="C77" s="16" t="s">
        <v>203</v>
      </c>
      <c r="E77" s="14">
        <f>IF(COUNTIF('Claude vs tools'!$K$2:$P$139,A77)&gt;0,1,0)</f>
        <v>0</v>
      </c>
      <c r="F77" s="14">
        <f>IF(COUNTIF('Claude vs tools'!$K$2:$P$139,B77)&gt;0,1,0)</f>
        <v>0</v>
      </c>
      <c r="G77" s="14">
        <f>IF(COUNTIF('Claude vs tools'!$K$2:$P$139,C77)&gt;0,1,0)</f>
        <v>1</v>
      </c>
    </row>
    <row r="78" spans="1:7" x14ac:dyDescent="0.3">
      <c r="A78" s="16" t="s">
        <v>205</v>
      </c>
      <c r="B78" s="16" t="s">
        <v>803</v>
      </c>
      <c r="C78" s="16" t="s">
        <v>962</v>
      </c>
      <c r="E78" s="14">
        <f>IF(COUNTIF('Claude vs tools'!$K$2:$P$139,A78)&gt;0,1,0)</f>
        <v>1</v>
      </c>
      <c r="F78" s="14">
        <f>IF(COUNTIF('Claude vs tools'!$K$2:$P$139,B78)&gt;0,1,0)</f>
        <v>0</v>
      </c>
      <c r="G78" s="14">
        <f>IF(COUNTIF('Claude vs tools'!$K$2:$P$139,C78)&gt;0,1,0)</f>
        <v>0</v>
      </c>
    </row>
    <row r="79" spans="1:7" x14ac:dyDescent="0.3">
      <c r="A79" s="16" t="s">
        <v>203</v>
      </c>
      <c r="B79" s="16" t="s">
        <v>804</v>
      </c>
      <c r="C79" s="16" t="s">
        <v>578</v>
      </c>
      <c r="E79" s="14">
        <f>IF(COUNTIF('Claude vs tools'!$K$2:$P$139,A79)&gt;0,1,0)</f>
        <v>1</v>
      </c>
      <c r="F79" s="14">
        <f>IF(COUNTIF('Claude vs tools'!$K$2:$P$139,B79)&gt;0,1,0)</f>
        <v>0</v>
      </c>
      <c r="G79" s="14">
        <f>IF(COUNTIF('Claude vs tools'!$K$2:$P$139,C79)&gt;0,1,0)</f>
        <v>0</v>
      </c>
    </row>
    <row r="80" spans="1:7" x14ac:dyDescent="0.3">
      <c r="A80" s="16" t="s">
        <v>204</v>
      </c>
      <c r="B80" s="16" t="s">
        <v>806</v>
      </c>
      <c r="C80" s="16" t="s">
        <v>369</v>
      </c>
      <c r="E80" s="14">
        <f>IF(COUNTIF('Claude vs tools'!$K$2:$P$139,A80)&gt;0,1,0)</f>
        <v>1</v>
      </c>
      <c r="F80" s="14">
        <f>IF(COUNTIF('Claude vs tools'!$K$2:$P$139,B80)&gt;0,1,0)</f>
        <v>0</v>
      </c>
      <c r="G80" s="14">
        <f>IF(COUNTIF('Claude vs tools'!$K$2:$P$139,C80)&gt;0,1,0)</f>
        <v>1</v>
      </c>
    </row>
    <row r="81" spans="1:7" x14ac:dyDescent="0.3">
      <c r="A81" s="16" t="s">
        <v>969</v>
      </c>
      <c r="B81" s="16" t="s">
        <v>807</v>
      </c>
      <c r="C81" s="16" t="s">
        <v>655</v>
      </c>
      <c r="E81" s="14">
        <f>IF(COUNTIF('Claude vs tools'!$K$2:$P$139,A81)&gt;0,1,0)</f>
        <v>0</v>
      </c>
      <c r="F81" s="14">
        <f>IF(COUNTIF('Claude vs tools'!$K$2:$P$139,B81)&gt;0,1,0)</f>
        <v>0</v>
      </c>
      <c r="G81" s="14">
        <f>IF(COUNTIF('Claude vs tools'!$K$2:$P$139,C81)&gt;0,1,0)</f>
        <v>0</v>
      </c>
    </row>
    <row r="82" spans="1:7" x14ac:dyDescent="0.3">
      <c r="A82" s="16" t="s">
        <v>578</v>
      </c>
      <c r="B82" s="16" t="s">
        <v>810</v>
      </c>
      <c r="C82" s="16" t="s">
        <v>1572</v>
      </c>
      <c r="E82" s="14">
        <f>IF(COUNTIF('Claude vs tools'!$K$2:$P$139,A82)&gt;0,1,0)</f>
        <v>0</v>
      </c>
      <c r="F82" s="14">
        <f>IF(COUNTIF('Claude vs tools'!$K$2:$P$139,B82)&gt;0,1,0)</f>
        <v>0</v>
      </c>
      <c r="G82" s="14">
        <f>IF(COUNTIF('Claude vs tools'!$K$2:$P$139,C82)&gt;0,1,0)</f>
        <v>0</v>
      </c>
    </row>
    <row r="83" spans="1:7" x14ac:dyDescent="0.3">
      <c r="A83" s="16" t="s">
        <v>451</v>
      </c>
      <c r="B83" s="16" t="s">
        <v>812</v>
      </c>
      <c r="C83" s="16" t="s">
        <v>2264</v>
      </c>
      <c r="E83" s="14">
        <f>IF(COUNTIF('Claude vs tools'!$K$2:$P$139,A83)&gt;0,1,0)</f>
        <v>1</v>
      </c>
      <c r="F83" s="14">
        <f>IF(COUNTIF('Claude vs tools'!$K$2:$P$139,B83)&gt;0,1,0)</f>
        <v>0</v>
      </c>
      <c r="G83" s="14">
        <f>IF(COUNTIF('Claude vs tools'!$K$2:$P$139,C83)&gt;0,1,0)</f>
        <v>0</v>
      </c>
    </row>
    <row r="84" spans="1:7" x14ac:dyDescent="0.3">
      <c r="A84" s="16" t="s">
        <v>658</v>
      </c>
      <c r="B84" s="16" t="s">
        <v>813</v>
      </c>
      <c r="C84" s="16" t="s">
        <v>971</v>
      </c>
      <c r="E84" s="14">
        <f>IF(COUNTIF('Claude vs tools'!$K$2:$P$139,A84)&gt;0,1,0)</f>
        <v>0</v>
      </c>
      <c r="F84" s="14">
        <f>IF(COUNTIF('Claude vs tools'!$K$2:$P$139,B84)&gt;0,1,0)</f>
        <v>0</v>
      </c>
      <c r="G84" s="14">
        <f>IF(COUNTIF('Claude vs tools'!$K$2:$P$139,C84)&gt;0,1,0)</f>
        <v>0</v>
      </c>
    </row>
    <row r="85" spans="1:7" x14ac:dyDescent="0.3">
      <c r="A85" s="16" t="s">
        <v>659</v>
      </c>
      <c r="B85" s="16" t="s">
        <v>814</v>
      </c>
      <c r="C85" s="16" t="s">
        <v>451</v>
      </c>
      <c r="E85" s="14">
        <f>IF(COUNTIF('Claude vs tools'!$K$2:$P$139,A85)&gt;0,1,0)</f>
        <v>0</v>
      </c>
      <c r="F85" s="14">
        <f>IF(COUNTIF('Claude vs tools'!$K$2:$P$139,B85)&gt;0,1,0)</f>
        <v>0</v>
      </c>
      <c r="G85" s="14">
        <f>IF(COUNTIF('Claude vs tools'!$K$2:$P$139,C85)&gt;0,1,0)</f>
        <v>1</v>
      </c>
    </row>
    <row r="86" spans="1:7" x14ac:dyDescent="0.3">
      <c r="A86" s="16" t="s">
        <v>579</v>
      </c>
      <c r="B86" s="16" t="s">
        <v>815</v>
      </c>
      <c r="C86" s="16" t="s">
        <v>658</v>
      </c>
      <c r="E86" s="14">
        <f>IF(COUNTIF('Claude vs tools'!$K$2:$P$139,A86)&gt;0,1,0)</f>
        <v>0</v>
      </c>
      <c r="F86" s="14">
        <f>IF(COUNTIF('Claude vs tools'!$K$2:$P$139,B86)&gt;0,1,0)</f>
        <v>0</v>
      </c>
      <c r="G86" s="14">
        <f>IF(COUNTIF('Claude vs tools'!$K$2:$P$139,C86)&gt;0,1,0)</f>
        <v>0</v>
      </c>
    </row>
    <row r="87" spans="1:7" x14ac:dyDescent="0.3">
      <c r="A87" s="16" t="s">
        <v>665</v>
      </c>
      <c r="B87" s="16" t="s">
        <v>565</v>
      </c>
      <c r="C87" s="16" t="s">
        <v>659</v>
      </c>
      <c r="E87" s="14">
        <f>IF(COUNTIF('Claude vs tools'!$K$2:$P$139,A87)&gt;0,1,0)</f>
        <v>0</v>
      </c>
      <c r="F87" s="14">
        <f>IF(COUNTIF('Claude vs tools'!$K$2:$P$139,B87)&gt;0,1,0)</f>
        <v>0</v>
      </c>
      <c r="G87" s="14">
        <f>IF(COUNTIF('Claude vs tools'!$K$2:$P$139,C87)&gt;0,1,0)</f>
        <v>0</v>
      </c>
    </row>
    <row r="88" spans="1:7" x14ac:dyDescent="0.3">
      <c r="A88" s="16" t="s">
        <v>168</v>
      </c>
      <c r="B88" s="16" t="s">
        <v>818</v>
      </c>
      <c r="C88" s="16" t="s">
        <v>662</v>
      </c>
      <c r="E88" s="14">
        <f>IF(COUNTIF('Claude vs tools'!$K$2:$P$139,A88)&gt;0,1,0)</f>
        <v>1</v>
      </c>
      <c r="F88" s="14">
        <f>IF(COUNTIF('Claude vs tools'!$K$2:$P$139,B88)&gt;0,1,0)</f>
        <v>0</v>
      </c>
      <c r="G88" s="14">
        <f>IF(COUNTIF('Claude vs tools'!$K$2:$P$139,C88)&gt;0,1,0)</f>
        <v>0</v>
      </c>
    </row>
    <row r="89" spans="1:7" x14ac:dyDescent="0.3">
      <c r="A89" s="16" t="s">
        <v>668</v>
      </c>
      <c r="B89" s="16" t="s">
        <v>819</v>
      </c>
      <c r="C89" s="16" t="s">
        <v>353</v>
      </c>
      <c r="E89" s="14">
        <f>IF(COUNTIF('Claude vs tools'!$K$2:$P$139,A89)&gt;0,1,0)</f>
        <v>0</v>
      </c>
      <c r="F89" s="14">
        <f>IF(COUNTIF('Claude vs tools'!$K$2:$P$139,B89)&gt;0,1,0)</f>
        <v>0</v>
      </c>
      <c r="G89" s="14">
        <f>IF(COUNTIF('Claude vs tools'!$K$2:$P$139,C89)&gt;0,1,0)</f>
        <v>1</v>
      </c>
    </row>
    <row r="90" spans="1:7" x14ac:dyDescent="0.3">
      <c r="A90" s="16" t="s">
        <v>1008</v>
      </c>
      <c r="B90" s="16" t="s">
        <v>820</v>
      </c>
      <c r="C90" s="16" t="s">
        <v>354</v>
      </c>
      <c r="E90" s="14">
        <f>IF(COUNTIF('Claude vs tools'!$K$2:$P$139,A90)&gt;0,1,0)</f>
        <v>0</v>
      </c>
      <c r="F90" s="14">
        <f>IF(COUNTIF('Claude vs tools'!$K$2:$P$139,B90)&gt;0,1,0)</f>
        <v>0</v>
      </c>
      <c r="G90" s="14">
        <f>IF(COUNTIF('Claude vs tools'!$K$2:$P$139,C90)&gt;0,1,0)</f>
        <v>1</v>
      </c>
    </row>
    <row r="91" spans="1:7" x14ac:dyDescent="0.3">
      <c r="A91" s="16" t="s">
        <v>669</v>
      </c>
      <c r="B91" s="16" t="s">
        <v>821</v>
      </c>
      <c r="C91" s="16" t="s">
        <v>292</v>
      </c>
      <c r="E91" s="14">
        <f>IF(COUNTIF('Claude vs tools'!$K$2:$P$139,A91)&gt;0,1,0)</f>
        <v>0</v>
      </c>
      <c r="F91" s="14">
        <f>IF(COUNTIF('Claude vs tools'!$K$2:$P$139,B91)&gt;0,1,0)</f>
        <v>0</v>
      </c>
      <c r="G91" s="14">
        <f>IF(COUNTIF('Claude vs tools'!$K$2:$P$139,C91)&gt;0,1,0)</f>
        <v>1</v>
      </c>
    </row>
    <row r="92" spans="1:7" x14ac:dyDescent="0.3">
      <c r="A92" s="16" t="s">
        <v>1010</v>
      </c>
      <c r="B92" s="16" t="s">
        <v>822</v>
      </c>
      <c r="C92" s="16" t="s">
        <v>665</v>
      </c>
      <c r="E92" s="14">
        <f>IF(COUNTIF('Claude vs tools'!$K$2:$P$139,A92)&gt;0,1,0)</f>
        <v>0</v>
      </c>
      <c r="F92" s="14">
        <f>IF(COUNTIF('Claude vs tools'!$K$2:$P$139,B92)&gt;0,1,0)</f>
        <v>0</v>
      </c>
      <c r="G92" s="14">
        <f>IF(COUNTIF('Claude vs tools'!$K$2:$P$139,C92)&gt;0,1,0)</f>
        <v>0</v>
      </c>
    </row>
    <row r="93" spans="1:7" x14ac:dyDescent="0.3">
      <c r="A93" s="16" t="s">
        <v>580</v>
      </c>
      <c r="B93" s="16" t="s">
        <v>823</v>
      </c>
      <c r="C93" s="16" t="s">
        <v>168</v>
      </c>
      <c r="E93" s="14">
        <f>IF(COUNTIF('Claude vs tools'!$K$2:$P$139,A93)&gt;0,1,0)</f>
        <v>0</v>
      </c>
      <c r="F93" s="14">
        <f>IF(COUNTIF('Claude vs tools'!$K$2:$P$139,B93)&gt;0,1,0)</f>
        <v>0</v>
      </c>
      <c r="G93" s="14">
        <f>IF(COUNTIF('Claude vs tools'!$K$2:$P$139,C93)&gt;0,1,0)</f>
        <v>1</v>
      </c>
    </row>
    <row r="94" spans="1:7" x14ac:dyDescent="0.3">
      <c r="A94" s="16" t="s">
        <v>581</v>
      </c>
      <c r="B94" s="16" t="s">
        <v>825</v>
      </c>
      <c r="C94" s="16" t="s">
        <v>994</v>
      </c>
      <c r="E94" s="14">
        <f>IF(COUNTIF('Claude vs tools'!$K$2:$P$139,A94)&gt;0,1,0)</f>
        <v>0</v>
      </c>
      <c r="F94" s="14">
        <f>IF(COUNTIF('Claude vs tools'!$K$2:$P$139,B94)&gt;0,1,0)</f>
        <v>0</v>
      </c>
      <c r="G94" s="14">
        <f>IF(COUNTIF('Claude vs tools'!$K$2:$P$139,C94)&gt;0,1,0)</f>
        <v>0</v>
      </c>
    </row>
    <row r="95" spans="1:7" x14ac:dyDescent="0.3">
      <c r="A95" s="16" t="s">
        <v>582</v>
      </c>
      <c r="B95" s="16" t="s">
        <v>568</v>
      </c>
      <c r="C95" s="16" t="s">
        <v>995</v>
      </c>
      <c r="E95" s="14">
        <f>IF(COUNTIF('Claude vs tools'!$K$2:$P$139,A95)&gt;0,1,0)</f>
        <v>0</v>
      </c>
      <c r="F95" s="14">
        <f>IF(COUNTIF('Claude vs tools'!$K$2:$P$139,B95)&gt;0,1,0)</f>
        <v>0</v>
      </c>
      <c r="G95" s="14">
        <f>IF(COUNTIF('Claude vs tools'!$K$2:$P$139,C95)&gt;0,1,0)</f>
        <v>0</v>
      </c>
    </row>
    <row r="96" spans="1:7" x14ac:dyDescent="0.3">
      <c r="A96" s="16" t="s">
        <v>671</v>
      </c>
      <c r="B96" s="16" t="s">
        <v>828</v>
      </c>
      <c r="C96" s="16" t="s">
        <v>513</v>
      </c>
      <c r="E96" s="14">
        <f>IF(COUNTIF('Claude vs tools'!$K$2:$P$139,A96)&gt;0,1,0)</f>
        <v>0</v>
      </c>
      <c r="F96" s="14">
        <f>IF(COUNTIF('Claude vs tools'!$K$2:$P$139,B96)&gt;0,1,0)</f>
        <v>0</v>
      </c>
      <c r="G96" s="14">
        <f>IF(COUNTIF('Claude vs tools'!$K$2:$P$139,C96)&gt;0,1,0)</f>
        <v>1</v>
      </c>
    </row>
    <row r="97" spans="1:7" x14ac:dyDescent="0.3">
      <c r="A97" s="16" t="s">
        <v>375</v>
      </c>
      <c r="B97" s="16" t="s">
        <v>830</v>
      </c>
      <c r="C97" s="16" t="s">
        <v>512</v>
      </c>
      <c r="E97" s="14">
        <f>IF(COUNTIF('Claude vs tools'!$K$2:$P$139,A97)&gt;0,1,0)</f>
        <v>1</v>
      </c>
      <c r="F97" s="14">
        <f>IF(COUNTIF('Claude vs tools'!$K$2:$P$139,B97)&gt;0,1,0)</f>
        <v>0</v>
      </c>
      <c r="G97" s="14">
        <f>IF(COUNTIF('Claude vs tools'!$K$2:$P$139,C97)&gt;0,1,0)</f>
        <v>1</v>
      </c>
    </row>
    <row r="98" spans="1:7" x14ac:dyDescent="0.3">
      <c r="A98" s="16" t="s">
        <v>673</v>
      </c>
      <c r="B98" s="16" t="s">
        <v>571</v>
      </c>
      <c r="C98" s="16" t="s">
        <v>998</v>
      </c>
      <c r="E98" s="14">
        <f>IF(COUNTIF('Claude vs tools'!$K$2:$P$139,A98)&gt;0,1,0)</f>
        <v>0</v>
      </c>
      <c r="F98" s="14">
        <f>IF(COUNTIF('Claude vs tools'!$K$2:$P$139,B98)&gt;0,1,0)</f>
        <v>0</v>
      </c>
      <c r="G98" s="14">
        <f>IF(COUNTIF('Claude vs tools'!$K$2:$P$139,C98)&gt;0,1,0)</f>
        <v>0</v>
      </c>
    </row>
    <row r="99" spans="1:7" x14ac:dyDescent="0.3">
      <c r="A99" s="16" t="s">
        <v>674</v>
      </c>
      <c r="B99" s="16" t="s">
        <v>832</v>
      </c>
      <c r="C99" s="16" t="s">
        <v>666</v>
      </c>
      <c r="E99" s="14">
        <f>IF(COUNTIF('Claude vs tools'!$K$2:$P$139,A99)&gt;0,1,0)</f>
        <v>0</v>
      </c>
      <c r="F99" s="14">
        <f>IF(COUNTIF('Claude vs tools'!$K$2:$P$139,B99)&gt;0,1,0)</f>
        <v>0</v>
      </c>
      <c r="G99" s="14">
        <f>IF(COUNTIF('Claude vs tools'!$K$2:$P$139,C99)&gt;0,1,0)</f>
        <v>0</v>
      </c>
    </row>
    <row r="100" spans="1:7" x14ac:dyDescent="0.3">
      <c r="A100" s="16" t="s">
        <v>402</v>
      </c>
      <c r="B100" s="16" t="s">
        <v>833</v>
      </c>
      <c r="C100" s="16" t="s">
        <v>668</v>
      </c>
      <c r="E100" s="14">
        <f>IF(COUNTIF('Claude vs tools'!$K$2:$P$139,A100)&gt;0,1,0)</f>
        <v>1</v>
      </c>
      <c r="F100" s="14">
        <f>IF(COUNTIF('Claude vs tools'!$K$2:$P$139,B100)&gt;0,1,0)</f>
        <v>0</v>
      </c>
      <c r="G100" s="14">
        <f>IF(COUNTIF('Claude vs tools'!$K$2:$P$139,C100)&gt;0,1,0)</f>
        <v>0</v>
      </c>
    </row>
    <row r="101" spans="1:7" x14ac:dyDescent="0.3">
      <c r="A101" s="16" t="s">
        <v>401</v>
      </c>
      <c r="B101" s="16" t="s">
        <v>607</v>
      </c>
      <c r="C101" s="16" t="s">
        <v>258</v>
      </c>
      <c r="E101" s="14">
        <f>IF(COUNTIF('Claude vs tools'!$K$2:$P$139,A101)&gt;0,1,0)</f>
        <v>1</v>
      </c>
      <c r="F101" s="14">
        <f>IF(COUNTIF('Claude vs tools'!$K$2:$P$139,B101)&gt;0,1,0)</f>
        <v>0</v>
      </c>
      <c r="G101" s="14">
        <f>IF(COUNTIF('Claude vs tools'!$K$2:$P$139,C101)&gt;0,1,0)</f>
        <v>1</v>
      </c>
    </row>
    <row r="102" spans="1:7" x14ac:dyDescent="0.3">
      <c r="A102" s="16" t="s">
        <v>678</v>
      </c>
      <c r="B102" s="16" t="s">
        <v>2267</v>
      </c>
      <c r="C102" s="16" t="s">
        <v>262</v>
      </c>
      <c r="E102" s="14">
        <f>IF(COUNTIF('Claude vs tools'!$K$2:$P$139,A102)&gt;0,1,0)</f>
        <v>0</v>
      </c>
      <c r="F102" s="14">
        <f>IF(COUNTIF('Claude vs tools'!$K$2:$P$139,B102)&gt;0,1,0)</f>
        <v>0</v>
      </c>
      <c r="G102" s="14">
        <f>IF(COUNTIF('Claude vs tools'!$K$2:$P$139,C102)&gt;0,1,0)</f>
        <v>1</v>
      </c>
    </row>
    <row r="103" spans="1:7" x14ac:dyDescent="0.3">
      <c r="A103" s="16" t="s">
        <v>1047</v>
      </c>
      <c r="B103" s="16" t="s">
        <v>840</v>
      </c>
      <c r="C103" s="16" t="s">
        <v>264</v>
      </c>
      <c r="E103" s="14">
        <f>IF(COUNTIF('Claude vs tools'!$K$2:$P$139,A103)&gt;0,1,0)</f>
        <v>0</v>
      </c>
      <c r="F103" s="14">
        <f>IF(COUNTIF('Claude vs tools'!$K$2:$P$139,B103)&gt;0,1,0)</f>
        <v>0</v>
      </c>
      <c r="G103" s="14">
        <f>IF(COUNTIF('Claude vs tools'!$K$2:$P$139,C103)&gt;0,1,0)</f>
        <v>1</v>
      </c>
    </row>
    <row r="104" spans="1:7" x14ac:dyDescent="0.3">
      <c r="A104" s="16" t="s">
        <v>682</v>
      </c>
      <c r="B104" s="16" t="s">
        <v>573</v>
      </c>
      <c r="C104" s="16" t="s">
        <v>1009</v>
      </c>
      <c r="E104" s="14">
        <f>IF(COUNTIF('Claude vs tools'!$K$2:$P$139,A104)&gt;0,1,0)</f>
        <v>0</v>
      </c>
      <c r="F104" s="14">
        <f>IF(COUNTIF('Claude vs tools'!$K$2:$P$139,B104)&gt;0,1,0)</f>
        <v>0</v>
      </c>
      <c r="G104" s="14">
        <f>IF(COUNTIF('Claude vs tools'!$K$2:$P$139,C104)&gt;0,1,0)</f>
        <v>0</v>
      </c>
    </row>
    <row r="105" spans="1:7" x14ac:dyDescent="0.3">
      <c r="A105" s="16" t="s">
        <v>583</v>
      </c>
      <c r="B105" s="16" t="s">
        <v>1511</v>
      </c>
      <c r="C105" s="16" t="s">
        <v>257</v>
      </c>
      <c r="E105" s="14">
        <f>IF(COUNTIF('Claude vs tools'!$K$2:$P$139,A105)&gt;0,1,0)</f>
        <v>0</v>
      </c>
      <c r="F105" s="14">
        <f>IF(COUNTIF('Claude vs tools'!$K$2:$P$139,B105)&gt;0,1,0)</f>
        <v>0</v>
      </c>
      <c r="G105" s="14">
        <f>IF(COUNTIF('Claude vs tools'!$K$2:$P$139,C105)&gt;0,1,0)</f>
        <v>1</v>
      </c>
    </row>
    <row r="106" spans="1:7" x14ac:dyDescent="0.3">
      <c r="A106" s="16" t="s">
        <v>158</v>
      </c>
      <c r="B106" s="16" t="s">
        <v>844</v>
      </c>
      <c r="C106" s="16" t="s">
        <v>669</v>
      </c>
      <c r="E106" s="14">
        <f>IF(COUNTIF('Claude vs tools'!$K$2:$P$139,A106)&gt;0,1,0)</f>
        <v>1</v>
      </c>
      <c r="F106" s="14">
        <f>IF(COUNTIF('Claude vs tools'!$K$2:$P$139,B106)&gt;0,1,0)</f>
        <v>0</v>
      </c>
      <c r="G106" s="14">
        <f>IF(COUNTIF('Claude vs tools'!$K$2:$P$139,C106)&gt;0,1,0)</f>
        <v>0</v>
      </c>
    </row>
    <row r="107" spans="1:7" x14ac:dyDescent="0.3">
      <c r="A107" s="16" t="s">
        <v>253</v>
      </c>
      <c r="B107" s="16" t="s">
        <v>611</v>
      </c>
      <c r="C107" s="16" t="s">
        <v>580</v>
      </c>
      <c r="E107" s="14">
        <f>IF(COUNTIF('Claude vs tools'!$K$2:$P$139,A107)&gt;0,1,0)</f>
        <v>1</v>
      </c>
      <c r="F107" s="14">
        <f>IF(COUNTIF('Claude vs tools'!$K$2:$P$139,B107)&gt;0,1,0)</f>
        <v>0</v>
      </c>
      <c r="G107" s="14">
        <f>IF(COUNTIF('Claude vs tools'!$K$2:$P$139,C107)&gt;0,1,0)</f>
        <v>0</v>
      </c>
    </row>
    <row r="108" spans="1:7" x14ac:dyDescent="0.3">
      <c r="A108" s="16" t="s">
        <v>687</v>
      </c>
      <c r="B108" s="16" t="s">
        <v>360</v>
      </c>
      <c r="C108" s="16" t="s">
        <v>670</v>
      </c>
      <c r="E108" s="14">
        <f>IF(COUNTIF('Claude vs tools'!$K$2:$P$139,A108)&gt;0,1,0)</f>
        <v>0</v>
      </c>
      <c r="F108" s="14">
        <f>IF(COUNTIF('Claude vs tools'!$K$2:$P$139,B108)&gt;0,1,0)</f>
        <v>1</v>
      </c>
      <c r="G108" s="14">
        <f>IF(COUNTIF('Claude vs tools'!$K$2:$P$139,C108)&gt;0,1,0)</f>
        <v>0</v>
      </c>
    </row>
    <row r="109" spans="1:7" x14ac:dyDescent="0.3">
      <c r="A109" s="16" t="s">
        <v>161</v>
      </c>
      <c r="B109" s="16" t="s">
        <v>849</v>
      </c>
      <c r="C109" s="16" t="s">
        <v>581</v>
      </c>
      <c r="E109" s="14">
        <f>IF(COUNTIF('Claude vs tools'!$K$2:$P$139,A109)&gt;0,1,0)</f>
        <v>1</v>
      </c>
      <c r="F109" s="14">
        <f>IF(COUNTIF('Claude vs tools'!$K$2:$P$139,B109)&gt;0,1,0)</f>
        <v>0</v>
      </c>
      <c r="G109" s="14">
        <f>IF(COUNTIF('Claude vs tools'!$K$2:$P$139,C109)&gt;0,1,0)</f>
        <v>0</v>
      </c>
    </row>
    <row r="110" spans="1:7" x14ac:dyDescent="0.3">
      <c r="A110" s="16" t="s">
        <v>444</v>
      </c>
      <c r="B110" s="16" t="s">
        <v>612</v>
      </c>
      <c r="C110" s="16" t="s">
        <v>582</v>
      </c>
      <c r="E110" s="14">
        <f>IF(COUNTIF('Claude vs tools'!$K$2:$P$139,A110)&gt;0,1,0)</f>
        <v>1</v>
      </c>
      <c r="F110" s="14">
        <f>IF(COUNTIF('Claude vs tools'!$K$2:$P$139,B110)&gt;0,1,0)</f>
        <v>0</v>
      </c>
      <c r="G110" s="14">
        <f>IF(COUNTIF('Claude vs tools'!$K$2:$P$139,C110)&gt;0,1,0)</f>
        <v>0</v>
      </c>
    </row>
    <row r="111" spans="1:7" x14ac:dyDescent="0.3">
      <c r="A111" s="16" t="s">
        <v>689</v>
      </c>
      <c r="B111" s="16" t="s">
        <v>425</v>
      </c>
      <c r="C111" s="16" t="s">
        <v>1016</v>
      </c>
      <c r="E111" s="14">
        <f>IF(COUNTIF('Claude vs tools'!$K$2:$P$139,A111)&gt;0,1,0)</f>
        <v>0</v>
      </c>
      <c r="F111" s="14">
        <f>IF(COUNTIF('Claude vs tools'!$K$2:$P$139,B111)&gt;0,1,0)</f>
        <v>1</v>
      </c>
      <c r="G111" s="14">
        <f>IF(COUNTIF('Claude vs tools'!$K$2:$P$139,C111)&gt;0,1,0)</f>
        <v>0</v>
      </c>
    </row>
    <row r="112" spans="1:7" x14ac:dyDescent="0.3">
      <c r="A112" s="16" t="s">
        <v>691</v>
      </c>
      <c r="B112" s="16" t="s">
        <v>175</v>
      </c>
      <c r="C112" s="16" t="s">
        <v>1017</v>
      </c>
      <c r="E112" s="14">
        <f>IF(COUNTIF('Claude vs tools'!$K$2:$P$139,A112)&gt;0,1,0)</f>
        <v>0</v>
      </c>
      <c r="F112" s="14">
        <f>IF(COUNTIF('Claude vs tools'!$K$2:$P$139,B112)&gt;0,1,0)</f>
        <v>1</v>
      </c>
      <c r="G112" s="14">
        <f>IF(COUNTIF('Claude vs tools'!$K$2:$P$139,C112)&gt;0,1,0)</f>
        <v>0</v>
      </c>
    </row>
    <row r="113" spans="1:7" x14ac:dyDescent="0.3">
      <c r="A113" s="16" t="s">
        <v>692</v>
      </c>
      <c r="B113" s="16" t="s">
        <v>852</v>
      </c>
      <c r="C113" s="16" t="s">
        <v>671</v>
      </c>
      <c r="E113" s="14">
        <f>IF(COUNTIF('Claude vs tools'!$K$2:$P$139,A113)&gt;0,1,0)</f>
        <v>0</v>
      </c>
      <c r="F113" s="14">
        <f>IF(COUNTIF('Claude vs tools'!$K$2:$P$139,B113)&gt;0,1,0)</f>
        <v>0</v>
      </c>
      <c r="G113" s="14">
        <f>IF(COUNTIF('Claude vs tools'!$K$2:$P$139,C113)&gt;0,1,0)</f>
        <v>0</v>
      </c>
    </row>
    <row r="114" spans="1:7" x14ac:dyDescent="0.3">
      <c r="A114" s="16" t="s">
        <v>584</v>
      </c>
      <c r="B114" s="16" t="s">
        <v>853</v>
      </c>
      <c r="C114" s="16" t="s">
        <v>375</v>
      </c>
      <c r="E114" s="14">
        <f>IF(COUNTIF('Claude vs tools'!$K$2:$P$139,A114)&gt;0,1,0)</f>
        <v>0</v>
      </c>
      <c r="F114" s="14">
        <f>IF(COUNTIF('Claude vs tools'!$K$2:$P$139,B114)&gt;0,1,0)</f>
        <v>0</v>
      </c>
      <c r="G114" s="14">
        <f>IF(COUNTIF('Claude vs tools'!$K$2:$P$139,C114)&gt;0,1,0)</f>
        <v>1</v>
      </c>
    </row>
    <row r="115" spans="1:7" x14ac:dyDescent="0.3">
      <c r="A115" s="16" t="s">
        <v>1075</v>
      </c>
      <c r="B115" s="16" t="s">
        <v>71</v>
      </c>
      <c r="C115" s="16" t="s">
        <v>101</v>
      </c>
      <c r="E115" s="14">
        <f>IF(COUNTIF('Claude vs tools'!$K$2:$P$139,A115)&gt;0,1,0)</f>
        <v>0</v>
      </c>
      <c r="F115" s="14">
        <f>IF(COUNTIF('Claude vs tools'!$K$2:$P$139,B115)&gt;0,1,0)</f>
        <v>1</v>
      </c>
      <c r="G115" s="14">
        <f>IF(COUNTIF('Claude vs tools'!$K$2:$P$139,C115)&gt;0,1,0)</f>
        <v>1</v>
      </c>
    </row>
    <row r="116" spans="1:7" x14ac:dyDescent="0.3">
      <c r="A116" s="16" t="s">
        <v>695</v>
      </c>
      <c r="B116" s="16" t="s">
        <v>72</v>
      </c>
      <c r="C116" s="16" t="s">
        <v>1027</v>
      </c>
      <c r="E116" s="14">
        <f>IF(COUNTIF('Claude vs tools'!$K$2:$P$139,A116)&gt;0,1,0)</f>
        <v>0</v>
      </c>
      <c r="F116" s="14">
        <f>IF(COUNTIF('Claude vs tools'!$K$2:$P$139,B116)&gt;0,1,0)</f>
        <v>1</v>
      </c>
      <c r="G116" s="14">
        <f>IF(COUNTIF('Claude vs tools'!$K$2:$P$139,C116)&gt;0,1,0)</f>
        <v>0</v>
      </c>
    </row>
    <row r="117" spans="1:7" x14ac:dyDescent="0.3">
      <c r="A117" s="16" t="s">
        <v>586</v>
      </c>
      <c r="B117" s="16" t="s">
        <v>854</v>
      </c>
      <c r="C117" s="16" t="s">
        <v>102</v>
      </c>
      <c r="E117" s="14">
        <f>IF(COUNTIF('Claude vs tools'!$K$2:$P$139,A117)&gt;0,1,0)</f>
        <v>0</v>
      </c>
      <c r="F117" s="14">
        <f>IF(COUNTIF('Claude vs tools'!$K$2:$P$139,B117)&gt;0,1,0)</f>
        <v>0</v>
      </c>
      <c r="G117" s="14">
        <f>IF(COUNTIF('Claude vs tools'!$K$2:$P$139,C117)&gt;0,1,0)</f>
        <v>1</v>
      </c>
    </row>
    <row r="118" spans="1:7" x14ac:dyDescent="0.3">
      <c r="A118" s="16" t="s">
        <v>703</v>
      </c>
      <c r="B118" s="16" t="s">
        <v>614</v>
      </c>
      <c r="C118" s="16" t="s">
        <v>1028</v>
      </c>
      <c r="E118" s="14">
        <f>IF(COUNTIF('Claude vs tools'!$K$2:$P$139,A118)&gt;0,1,0)</f>
        <v>0</v>
      </c>
      <c r="F118" s="14">
        <f>IF(COUNTIF('Claude vs tools'!$K$2:$P$139,B118)&gt;0,1,0)</f>
        <v>0</v>
      </c>
      <c r="G118" s="14">
        <f>IF(COUNTIF('Claude vs tools'!$K$2:$P$139,C118)&gt;0,1,0)</f>
        <v>0</v>
      </c>
    </row>
    <row r="119" spans="1:7" x14ac:dyDescent="0.3">
      <c r="A119" s="16" t="s">
        <v>213</v>
      </c>
      <c r="B119" s="16" t="s">
        <v>615</v>
      </c>
      <c r="C119" s="16" t="s">
        <v>673</v>
      </c>
      <c r="E119" s="14">
        <f>IF(COUNTIF('Claude vs tools'!$K$2:$P$139,A119)&gt;0,1,0)</f>
        <v>1</v>
      </c>
      <c r="F119" s="14">
        <f>IF(COUNTIF('Claude vs tools'!$K$2:$P$139,B119)&gt;0,1,0)</f>
        <v>0</v>
      </c>
      <c r="G119" s="14">
        <f>IF(COUNTIF('Claude vs tools'!$K$2:$P$139,C119)&gt;0,1,0)</f>
        <v>0</v>
      </c>
    </row>
    <row r="120" spans="1:7" x14ac:dyDescent="0.3">
      <c r="A120" s="16" t="s">
        <v>708</v>
      </c>
      <c r="B120" s="16" t="s">
        <v>856</v>
      </c>
      <c r="C120" s="16" t="s">
        <v>402</v>
      </c>
      <c r="E120" s="14">
        <f>IF(COUNTIF('Claude vs tools'!$K$2:$P$139,A120)&gt;0,1,0)</f>
        <v>0</v>
      </c>
      <c r="F120" s="14">
        <f>IF(COUNTIF('Claude vs tools'!$K$2:$P$139,B120)&gt;0,1,0)</f>
        <v>0</v>
      </c>
      <c r="G120" s="14">
        <f>IF(COUNTIF('Claude vs tools'!$K$2:$P$139,C120)&gt;0,1,0)</f>
        <v>1</v>
      </c>
    </row>
    <row r="121" spans="1:7" x14ac:dyDescent="0.3">
      <c r="A121" s="16" t="s">
        <v>410</v>
      </c>
      <c r="B121" s="16" t="s">
        <v>857</v>
      </c>
      <c r="C121" s="16" t="s">
        <v>1034</v>
      </c>
      <c r="E121" s="14">
        <f>IF(COUNTIF('Claude vs tools'!$K$2:$P$139,A121)&gt;0,1,0)</f>
        <v>1</v>
      </c>
      <c r="F121" s="14">
        <f>IF(COUNTIF('Claude vs tools'!$K$2:$P$139,B121)&gt;0,1,0)</f>
        <v>0</v>
      </c>
      <c r="G121" s="14">
        <f>IF(COUNTIF('Claude vs tools'!$K$2:$P$139,C121)&gt;0,1,0)</f>
        <v>0</v>
      </c>
    </row>
    <row r="122" spans="1:7" x14ac:dyDescent="0.3">
      <c r="A122" s="16" t="s">
        <v>165</v>
      </c>
      <c r="B122" s="16" t="s">
        <v>616</v>
      </c>
      <c r="C122" s="16" t="s">
        <v>1977</v>
      </c>
      <c r="E122" s="14">
        <f>IF(COUNTIF('Claude vs tools'!$K$2:$P$139,A122)&gt;0,1,0)</f>
        <v>1</v>
      </c>
      <c r="F122" s="14">
        <f>IF(COUNTIF('Claude vs tools'!$K$2:$P$139,B122)&gt;0,1,0)</f>
        <v>0</v>
      </c>
      <c r="G122" s="14">
        <f>IF(COUNTIF('Claude vs tools'!$K$2:$P$139,C122)&gt;0,1,0)</f>
        <v>0</v>
      </c>
    </row>
    <row r="123" spans="1:7" x14ac:dyDescent="0.3">
      <c r="A123" s="16" t="s">
        <v>126</v>
      </c>
      <c r="B123" s="16" t="s">
        <v>617</v>
      </c>
      <c r="C123" s="16" t="s">
        <v>1036</v>
      </c>
      <c r="E123" s="14">
        <f>IF(COUNTIF('Claude vs tools'!$K$2:$P$139,A123)&gt;0,1,0)</f>
        <v>1</v>
      </c>
      <c r="F123" s="14">
        <f>IF(COUNTIF('Claude vs tools'!$K$2:$P$139,B123)&gt;0,1,0)</f>
        <v>0</v>
      </c>
      <c r="G123" s="14">
        <f>IF(COUNTIF('Claude vs tools'!$K$2:$P$139,C123)&gt;0,1,0)</f>
        <v>0</v>
      </c>
    </row>
    <row r="124" spans="1:7" x14ac:dyDescent="0.3">
      <c r="A124" s="16" t="s">
        <v>306</v>
      </c>
      <c r="B124" s="16" t="s">
        <v>618</v>
      </c>
      <c r="C124" s="16" t="s">
        <v>1037</v>
      </c>
      <c r="E124" s="14">
        <f>IF(COUNTIF('Claude vs tools'!$K$2:$P$139,A124)&gt;0,1,0)</f>
        <v>1</v>
      </c>
      <c r="F124" s="14">
        <f>IF(COUNTIF('Claude vs tools'!$K$2:$P$139,B124)&gt;0,1,0)</f>
        <v>0</v>
      </c>
      <c r="G124" s="14">
        <f>IF(COUNTIF('Claude vs tools'!$K$2:$P$139,C124)&gt;0,1,0)</f>
        <v>0</v>
      </c>
    </row>
    <row r="125" spans="1:7" x14ac:dyDescent="0.3">
      <c r="A125" s="16" t="s">
        <v>307</v>
      </c>
      <c r="B125" s="16" t="s">
        <v>619</v>
      </c>
      <c r="C125" s="16" t="s">
        <v>1038</v>
      </c>
      <c r="E125" s="14">
        <f>IF(COUNTIF('Claude vs tools'!$K$2:$P$139,A125)&gt;0,1,0)</f>
        <v>1</v>
      </c>
      <c r="F125" s="14">
        <f>IF(COUNTIF('Claude vs tools'!$K$2:$P$139,B125)&gt;0,1,0)</f>
        <v>0</v>
      </c>
      <c r="G125" s="14">
        <f>IF(COUNTIF('Claude vs tools'!$K$2:$P$139,C125)&gt;0,1,0)</f>
        <v>0</v>
      </c>
    </row>
    <row r="126" spans="1:7" x14ac:dyDescent="0.3">
      <c r="A126" s="16" t="s">
        <v>263</v>
      </c>
      <c r="B126" s="16" t="s">
        <v>136</v>
      </c>
      <c r="C126" s="16" t="s">
        <v>401</v>
      </c>
      <c r="E126" s="14">
        <f>IF(COUNTIF('Claude vs tools'!$K$2:$P$139,A126)&gt;0,1,0)</f>
        <v>1</v>
      </c>
      <c r="F126" s="14">
        <f>IF(COUNTIF('Claude vs tools'!$K$2:$P$139,B126)&gt;0,1,0)</f>
        <v>1</v>
      </c>
      <c r="G126" s="14">
        <f>IF(COUNTIF('Claude vs tools'!$K$2:$P$139,C126)&gt;0,1,0)</f>
        <v>1</v>
      </c>
    </row>
    <row r="127" spans="1:7" x14ac:dyDescent="0.3">
      <c r="A127" s="16" t="s">
        <v>1128</v>
      </c>
      <c r="B127" s="16" t="s">
        <v>137</v>
      </c>
      <c r="C127" s="16" t="s">
        <v>1040</v>
      </c>
      <c r="E127" s="14">
        <f>IF(COUNTIF('Claude vs tools'!$K$2:$P$139,A127)&gt;0,1,0)</f>
        <v>0</v>
      </c>
      <c r="F127" s="14">
        <f>IF(COUNTIF('Claude vs tools'!$K$2:$P$139,B127)&gt;0,1,0)</f>
        <v>1</v>
      </c>
      <c r="G127" s="14">
        <f>IF(COUNTIF('Claude vs tools'!$K$2:$P$139,C127)&gt;0,1,0)</f>
        <v>0</v>
      </c>
    </row>
    <row r="128" spans="1:7" x14ac:dyDescent="0.3">
      <c r="A128" s="16" t="s">
        <v>265</v>
      </c>
      <c r="B128" s="16" t="s">
        <v>138</v>
      </c>
      <c r="C128" s="16" t="s">
        <v>1045</v>
      </c>
      <c r="E128" s="14">
        <f>IF(COUNTIF('Claude vs tools'!$K$2:$P$139,A128)&gt;0,1,0)</f>
        <v>1</v>
      </c>
      <c r="F128" s="14">
        <f>IF(COUNTIF('Claude vs tools'!$K$2:$P$139,B128)&gt;0,1,0)</f>
        <v>1</v>
      </c>
      <c r="G128" s="14">
        <f>IF(COUNTIF('Claude vs tools'!$K$2:$P$139,C128)&gt;0,1,0)</f>
        <v>0</v>
      </c>
    </row>
    <row r="129" spans="1:7" x14ac:dyDescent="0.3">
      <c r="A129" s="16" t="s">
        <v>712</v>
      </c>
      <c r="B129" s="16" t="s">
        <v>865</v>
      </c>
      <c r="C129" s="16" t="s">
        <v>679</v>
      </c>
      <c r="E129" s="14">
        <f>IF(COUNTIF('Claude vs tools'!$K$2:$P$139,A129)&gt;0,1,0)</f>
        <v>0</v>
      </c>
      <c r="F129" s="14">
        <f>IF(COUNTIF('Claude vs tools'!$K$2:$P$139,B129)&gt;0,1,0)</f>
        <v>0</v>
      </c>
      <c r="G129" s="14">
        <f>IF(COUNTIF('Claude vs tools'!$K$2:$P$139,C129)&gt;0,1,0)</f>
        <v>0</v>
      </c>
    </row>
    <row r="130" spans="1:7" x14ac:dyDescent="0.3">
      <c r="A130" s="16" t="s">
        <v>713</v>
      </c>
      <c r="B130" s="16" t="s">
        <v>866</v>
      </c>
      <c r="C130" s="16" t="s">
        <v>682</v>
      </c>
      <c r="E130" s="14">
        <f>IF(COUNTIF('Claude vs tools'!$K$2:$P$139,A130)&gt;0,1,0)</f>
        <v>0</v>
      </c>
      <c r="F130" s="14">
        <f>IF(COUNTIF('Claude vs tools'!$K$2:$P$139,B130)&gt;0,1,0)</f>
        <v>0</v>
      </c>
      <c r="G130" s="14">
        <f>IF(COUNTIF('Claude vs tools'!$K$2:$P$139,C130)&gt;0,1,0)</f>
        <v>0</v>
      </c>
    </row>
    <row r="131" spans="1:7" x14ac:dyDescent="0.3">
      <c r="A131" s="16" t="s">
        <v>479</v>
      </c>
      <c r="B131" s="16" t="s">
        <v>867</v>
      </c>
      <c r="C131" s="16" t="s">
        <v>583</v>
      </c>
      <c r="E131" s="14">
        <f>IF(COUNTIF('Claude vs tools'!$K$2:$P$139,A131)&gt;0,1,0)</f>
        <v>1</v>
      </c>
      <c r="F131" s="14">
        <f>IF(COUNTIF('Claude vs tools'!$K$2:$P$139,B131)&gt;0,1,0)</f>
        <v>0</v>
      </c>
      <c r="G131" s="14">
        <f>IF(COUNTIF('Claude vs tools'!$K$2:$P$139,C131)&gt;0,1,0)</f>
        <v>0</v>
      </c>
    </row>
    <row r="132" spans="1:7" x14ac:dyDescent="0.3">
      <c r="A132" s="16" t="s">
        <v>87</v>
      </c>
      <c r="B132" s="16" t="s">
        <v>872</v>
      </c>
      <c r="C132" s="16" t="s">
        <v>1059</v>
      </c>
      <c r="E132" s="14">
        <f>IF(COUNTIF('Claude vs tools'!$K$2:$P$139,A132)&gt;0,1,0)</f>
        <v>1</v>
      </c>
      <c r="F132" s="14">
        <f>IF(COUNTIF('Claude vs tools'!$K$2:$P$139,B132)&gt;0,1,0)</f>
        <v>0</v>
      </c>
      <c r="G132" s="14">
        <f>IF(COUNTIF('Claude vs tools'!$K$2:$P$139,C132)&gt;0,1,0)</f>
        <v>0</v>
      </c>
    </row>
    <row r="133" spans="1:7" x14ac:dyDescent="0.3">
      <c r="A133" s="16" t="s">
        <v>717</v>
      </c>
      <c r="B133" s="16" t="s">
        <v>873</v>
      </c>
      <c r="C133" s="16" t="s">
        <v>158</v>
      </c>
      <c r="E133" s="14">
        <f>IF(COUNTIF('Claude vs tools'!$K$2:$P$139,A133)&gt;0,1,0)</f>
        <v>0</v>
      </c>
      <c r="F133" s="14">
        <f>IF(COUNTIF('Claude vs tools'!$K$2:$P$139,B133)&gt;0,1,0)</f>
        <v>0</v>
      </c>
      <c r="G133" s="14">
        <f>IF(COUNTIF('Claude vs tools'!$K$2:$P$139,C133)&gt;0,1,0)</f>
        <v>1</v>
      </c>
    </row>
    <row r="134" spans="1:7" x14ac:dyDescent="0.3">
      <c r="A134" s="16" t="s">
        <v>1143</v>
      </c>
      <c r="B134" s="16" t="s">
        <v>458</v>
      </c>
      <c r="C134" s="16" t="s">
        <v>253</v>
      </c>
      <c r="E134" s="14">
        <f>IF(COUNTIF('Claude vs tools'!$K$2:$P$139,A134)&gt;0,1,0)</f>
        <v>0</v>
      </c>
      <c r="F134" s="14">
        <f>IF(COUNTIF('Claude vs tools'!$K$2:$P$139,B134)&gt;0,1,0)</f>
        <v>1</v>
      </c>
      <c r="G134" s="14">
        <f>IF(COUNTIF('Claude vs tools'!$K$2:$P$139,C134)&gt;0,1,0)</f>
        <v>1</v>
      </c>
    </row>
    <row r="135" spans="1:7" x14ac:dyDescent="0.3">
      <c r="A135" s="16" t="s">
        <v>447</v>
      </c>
      <c r="B135" s="16" t="s">
        <v>456</v>
      </c>
      <c r="C135" s="16" t="s">
        <v>687</v>
      </c>
      <c r="E135" s="14">
        <f>IF(COUNTIF('Claude vs tools'!$K$2:$P$139,A135)&gt;0,1,0)</f>
        <v>1</v>
      </c>
      <c r="F135" s="14">
        <f>IF(COUNTIF('Claude vs tools'!$K$2:$P$139,B135)&gt;0,1,0)</f>
        <v>1</v>
      </c>
      <c r="G135" s="14">
        <f>IF(COUNTIF('Claude vs tools'!$K$2:$P$139,C135)&gt;0,1,0)</f>
        <v>0</v>
      </c>
    </row>
    <row r="136" spans="1:7" x14ac:dyDescent="0.3">
      <c r="A136" s="16" t="s">
        <v>245</v>
      </c>
      <c r="B136" s="16" t="s">
        <v>467</v>
      </c>
      <c r="C136" s="16" t="s">
        <v>161</v>
      </c>
      <c r="E136" s="14">
        <f>IF(COUNTIF('Claude vs tools'!$K$2:$P$139,A136)&gt;0,1,0)</f>
        <v>1</v>
      </c>
      <c r="F136" s="14">
        <f>IF(COUNTIF('Claude vs tools'!$K$2:$P$139,B136)&gt;0,1,0)</f>
        <v>1</v>
      </c>
      <c r="G136" s="14">
        <f>IF(COUNTIF('Claude vs tools'!$K$2:$P$139,C136)&gt;0,1,0)</f>
        <v>1</v>
      </c>
    </row>
    <row r="137" spans="1:7" x14ac:dyDescent="0.3">
      <c r="A137" s="16" t="s">
        <v>587</v>
      </c>
      <c r="B137" s="16" t="s">
        <v>466</v>
      </c>
      <c r="C137" s="16" t="s">
        <v>691</v>
      </c>
      <c r="E137" s="14">
        <f>IF(COUNTIF('Claude vs tools'!$K$2:$P$139,A137)&gt;0,1,0)</f>
        <v>0</v>
      </c>
      <c r="F137" s="14">
        <f>IF(COUNTIF('Claude vs tools'!$K$2:$P$139,B137)&gt;0,1,0)</f>
        <v>1</v>
      </c>
      <c r="G137" s="14">
        <f>IF(COUNTIF('Claude vs tools'!$K$2:$P$139,C137)&gt;0,1,0)</f>
        <v>0</v>
      </c>
    </row>
    <row r="138" spans="1:7" x14ac:dyDescent="0.3">
      <c r="A138" s="16" t="s">
        <v>1161</v>
      </c>
      <c r="B138" s="16" t="s">
        <v>621</v>
      </c>
      <c r="C138" s="16" t="s">
        <v>159</v>
      </c>
      <c r="E138" s="14">
        <f>IF(COUNTIF('Claude vs tools'!$K$2:$P$139,A138)&gt;0,1,0)</f>
        <v>0</v>
      </c>
      <c r="F138" s="14">
        <f>IF(COUNTIF('Claude vs tools'!$K$2:$P$139,B138)&gt;0,1,0)</f>
        <v>0</v>
      </c>
      <c r="G138" s="14">
        <f>IF(COUNTIF('Claude vs tools'!$K$2:$P$139,C138)&gt;0,1,0)</f>
        <v>1</v>
      </c>
    </row>
    <row r="139" spans="1:7" x14ac:dyDescent="0.3">
      <c r="A139" s="16" t="s">
        <v>726</v>
      </c>
      <c r="B139" s="16" t="s">
        <v>162</v>
      </c>
      <c r="C139" s="16" t="s">
        <v>692</v>
      </c>
      <c r="E139" s="14">
        <f>IF(COUNTIF('Claude vs tools'!$K$2:$P$139,A139)&gt;0,1,0)</f>
        <v>0</v>
      </c>
      <c r="F139" s="14">
        <f>IF(COUNTIF('Claude vs tools'!$K$2:$P$139,B139)&gt;0,1,0)</f>
        <v>1</v>
      </c>
      <c r="G139" s="14">
        <f>IF(COUNTIF('Claude vs tools'!$K$2:$P$139,C139)&gt;0,1,0)</f>
        <v>0</v>
      </c>
    </row>
    <row r="140" spans="1:7" x14ac:dyDescent="0.3">
      <c r="A140" s="16" t="s">
        <v>225</v>
      </c>
      <c r="B140" s="16" t="s">
        <v>876</v>
      </c>
      <c r="C140" s="16" t="s">
        <v>693</v>
      </c>
      <c r="E140" s="14">
        <f>IF(COUNTIF('Claude vs tools'!$K$2:$P$139,A140)&gt;0,1,0)</f>
        <v>1</v>
      </c>
      <c r="F140" s="14">
        <f>IF(COUNTIF('Claude vs tools'!$K$2:$P$139,B140)&gt;0,1,0)</f>
        <v>0</v>
      </c>
      <c r="G140" s="14">
        <f>IF(COUNTIF('Claude vs tools'!$K$2:$P$139,C140)&gt;0,1,0)</f>
        <v>0</v>
      </c>
    </row>
    <row r="141" spans="1:7" x14ac:dyDescent="0.3">
      <c r="A141" s="16" t="s">
        <v>1183</v>
      </c>
      <c r="B141" s="16" t="s">
        <v>877</v>
      </c>
      <c r="C141" s="16" t="s">
        <v>695</v>
      </c>
      <c r="E141" s="14">
        <f>IF(COUNTIF('Claude vs tools'!$K$2:$P$139,A141)&gt;0,1,0)</f>
        <v>0</v>
      </c>
      <c r="F141" s="14">
        <f>IF(COUNTIF('Claude vs tools'!$K$2:$P$139,B141)&gt;0,1,0)</f>
        <v>0</v>
      </c>
      <c r="G141" s="14">
        <f>IF(COUNTIF('Claude vs tools'!$K$2:$P$139,C141)&gt;0,1,0)</f>
        <v>0</v>
      </c>
    </row>
    <row r="142" spans="1:7" x14ac:dyDescent="0.3">
      <c r="A142" s="16" t="s">
        <v>1184</v>
      </c>
      <c r="B142" s="16" t="s">
        <v>622</v>
      </c>
      <c r="C142" s="16" t="s">
        <v>586</v>
      </c>
      <c r="E142" s="14">
        <f>IF(COUNTIF('Claude vs tools'!$K$2:$P$139,A142)&gt;0,1,0)</f>
        <v>0</v>
      </c>
      <c r="F142" s="14">
        <f>IF(COUNTIF('Claude vs tools'!$K$2:$P$139,B142)&gt;0,1,0)</f>
        <v>0</v>
      </c>
      <c r="G142" s="14">
        <f>IF(COUNTIF('Claude vs tools'!$K$2:$P$139,C142)&gt;0,1,0)</f>
        <v>0</v>
      </c>
    </row>
    <row r="143" spans="1:7" x14ac:dyDescent="0.3">
      <c r="A143" s="16" t="s">
        <v>735</v>
      </c>
      <c r="B143" s="16" t="s">
        <v>574</v>
      </c>
      <c r="C143" s="16" t="s">
        <v>1083</v>
      </c>
      <c r="E143" s="14">
        <f>IF(COUNTIF('Claude vs tools'!$K$2:$P$139,A143)&gt;0,1,0)</f>
        <v>0</v>
      </c>
      <c r="F143" s="14">
        <f>IF(COUNTIF('Claude vs tools'!$K$2:$P$139,B143)&gt;0,1,0)</f>
        <v>0</v>
      </c>
      <c r="G143" s="14">
        <f>IF(COUNTIF('Claude vs tools'!$K$2:$P$139,C143)&gt;0,1,0)</f>
        <v>0</v>
      </c>
    </row>
    <row r="144" spans="1:7" x14ac:dyDescent="0.3">
      <c r="A144" s="16" t="s">
        <v>123</v>
      </c>
      <c r="B144" s="16" t="s">
        <v>249</v>
      </c>
      <c r="C144" s="16" t="s">
        <v>1085</v>
      </c>
      <c r="E144" s="14">
        <f>IF(COUNTIF('Claude vs tools'!$K$2:$P$139,A144)&gt;0,1,0)</f>
        <v>1</v>
      </c>
      <c r="F144" s="14">
        <f>IF(COUNTIF('Claude vs tools'!$K$2:$P$139,B144)&gt;0,1,0)</f>
        <v>1</v>
      </c>
      <c r="G144" s="14">
        <f>IF(COUNTIF('Claude vs tools'!$K$2:$P$139,C144)&gt;0,1,0)</f>
        <v>0</v>
      </c>
    </row>
    <row r="145" spans="1:7" x14ac:dyDescent="0.3">
      <c r="A145" s="16" t="s">
        <v>737</v>
      </c>
      <c r="B145" s="16" t="s">
        <v>363</v>
      </c>
      <c r="C145" s="16" t="s">
        <v>702</v>
      </c>
      <c r="E145" s="14">
        <f>IF(COUNTIF('Claude vs tools'!$K$2:$P$139,A145)&gt;0,1,0)</f>
        <v>0</v>
      </c>
      <c r="F145" s="14">
        <f>IF(COUNTIF('Claude vs tools'!$K$2:$P$139,B145)&gt;0,1,0)</f>
        <v>1</v>
      </c>
      <c r="G145" s="14">
        <f>IF(COUNTIF('Claude vs tools'!$K$2:$P$139,C145)&gt;0,1,0)</f>
        <v>0</v>
      </c>
    </row>
    <row r="146" spans="1:7" x14ac:dyDescent="0.3">
      <c r="A146" s="16" t="s">
        <v>65</v>
      </c>
      <c r="B146" s="16" t="s">
        <v>878</v>
      </c>
      <c r="C146" s="16" t="s">
        <v>703</v>
      </c>
      <c r="E146" s="14">
        <f>IF(COUNTIF('Claude vs tools'!$K$2:$P$139,A146)&gt;0,1,0)</f>
        <v>1</v>
      </c>
      <c r="F146" s="14">
        <f>IF(COUNTIF('Claude vs tools'!$K$2:$P$139,B146)&gt;0,1,0)</f>
        <v>0</v>
      </c>
      <c r="G146" s="14">
        <f>IF(COUNTIF('Claude vs tools'!$K$2:$P$139,C146)&gt;0,1,0)</f>
        <v>0</v>
      </c>
    </row>
    <row r="147" spans="1:7" x14ac:dyDescent="0.3">
      <c r="A147" s="16" t="s">
        <v>64</v>
      </c>
      <c r="B147" s="16" t="s">
        <v>879</v>
      </c>
      <c r="C147" s="16" t="s">
        <v>213</v>
      </c>
      <c r="E147" s="14">
        <f>IF(COUNTIF('Claude vs tools'!$K$2:$P$139,A147)&gt;0,1,0)</f>
        <v>1</v>
      </c>
      <c r="F147" s="14">
        <f>IF(COUNTIF('Claude vs tools'!$K$2:$P$139,B147)&gt;0,1,0)</f>
        <v>0</v>
      </c>
      <c r="G147" s="14">
        <f>IF(COUNTIF('Claude vs tools'!$K$2:$P$139,C147)&gt;0,1,0)</f>
        <v>1</v>
      </c>
    </row>
    <row r="148" spans="1:7" x14ac:dyDescent="0.3">
      <c r="A148" s="16" t="s">
        <v>60</v>
      </c>
      <c r="B148" s="16" t="s">
        <v>880</v>
      </c>
      <c r="C148" s="16" t="s">
        <v>1095</v>
      </c>
      <c r="E148" s="14">
        <f>IF(COUNTIF('Claude vs tools'!$K$2:$P$139,A148)&gt;0,1,0)</f>
        <v>1</v>
      </c>
      <c r="F148" s="14">
        <f>IF(COUNTIF('Claude vs tools'!$K$2:$P$139,B148)&gt;0,1,0)</f>
        <v>0</v>
      </c>
      <c r="G148" s="14">
        <f>IF(COUNTIF('Claude vs tools'!$K$2:$P$139,C148)&gt;0,1,0)</f>
        <v>0</v>
      </c>
    </row>
    <row r="149" spans="1:7" x14ac:dyDescent="0.3">
      <c r="A149" s="16" t="s">
        <v>588</v>
      </c>
      <c r="B149" s="16" t="s">
        <v>881</v>
      </c>
      <c r="C149" s="16" t="s">
        <v>1102</v>
      </c>
      <c r="E149" s="14">
        <f>IF(COUNTIF('Claude vs tools'!$K$2:$P$139,A149)&gt;0,1,0)</f>
        <v>0</v>
      </c>
      <c r="F149" s="14">
        <f>IF(COUNTIF('Claude vs tools'!$K$2:$P$139,B149)&gt;0,1,0)</f>
        <v>0</v>
      </c>
      <c r="G149" s="14">
        <f>IF(COUNTIF('Claude vs tools'!$K$2:$P$139,C149)&gt;0,1,0)</f>
        <v>0</v>
      </c>
    </row>
    <row r="150" spans="1:7" x14ac:dyDescent="0.3">
      <c r="A150" s="16" t="s">
        <v>589</v>
      </c>
      <c r="B150" s="16" t="s">
        <v>626</v>
      </c>
      <c r="C150" s="16" t="s">
        <v>422</v>
      </c>
      <c r="E150" s="14">
        <f>IF(COUNTIF('Claude vs tools'!$K$2:$P$139,A150)&gt;0,1,0)</f>
        <v>0</v>
      </c>
      <c r="F150" s="14">
        <f>IF(COUNTIF('Claude vs tools'!$K$2:$P$139,B150)&gt;0,1,0)</f>
        <v>0</v>
      </c>
      <c r="G150" s="14">
        <f>IF(COUNTIF('Claude vs tools'!$K$2:$P$139,C150)&gt;0,1,0)</f>
        <v>1</v>
      </c>
    </row>
    <row r="151" spans="1:7" x14ac:dyDescent="0.3">
      <c r="A151" s="16" t="s">
        <v>742</v>
      </c>
      <c r="B151" s="16" t="s">
        <v>882</v>
      </c>
      <c r="C151" s="16" t="s">
        <v>1103</v>
      </c>
      <c r="E151" s="14">
        <f>IF(COUNTIF('Claude vs tools'!$K$2:$P$139,A151)&gt;0,1,0)</f>
        <v>0</v>
      </c>
      <c r="F151" s="14">
        <f>IF(COUNTIF('Claude vs tools'!$K$2:$P$139,B151)&gt;0,1,0)</f>
        <v>0</v>
      </c>
      <c r="G151" s="14">
        <f>IF(COUNTIF('Claude vs tools'!$K$2:$P$139,C151)&gt;0,1,0)</f>
        <v>0</v>
      </c>
    </row>
    <row r="152" spans="1:7" x14ac:dyDescent="0.3">
      <c r="A152" s="16" t="s">
        <v>1211</v>
      </c>
      <c r="B152" s="16" t="s">
        <v>883</v>
      </c>
      <c r="C152" s="16" t="s">
        <v>708</v>
      </c>
      <c r="E152" s="14">
        <f>IF(COUNTIF('Claude vs tools'!$K$2:$P$139,A152)&gt;0,1,0)</f>
        <v>0</v>
      </c>
      <c r="F152" s="14">
        <f>IF(COUNTIF('Claude vs tools'!$K$2:$P$139,B152)&gt;0,1,0)</f>
        <v>0</v>
      </c>
      <c r="G152" s="14">
        <f>IF(COUNTIF('Claude vs tools'!$K$2:$P$139,C152)&gt;0,1,0)</f>
        <v>0</v>
      </c>
    </row>
    <row r="153" spans="1:7" x14ac:dyDescent="0.3">
      <c r="A153" s="16" t="s">
        <v>237</v>
      </c>
      <c r="B153" s="16" t="s">
        <v>628</v>
      </c>
      <c r="C153" s="16" t="s">
        <v>195</v>
      </c>
      <c r="E153" s="14">
        <f>IF(COUNTIF('Claude vs tools'!$K$2:$P$139,A153)&gt;0,1,0)</f>
        <v>1</v>
      </c>
      <c r="F153" s="14">
        <f>IF(COUNTIF('Claude vs tools'!$K$2:$P$139,B153)&gt;0,1,0)</f>
        <v>0</v>
      </c>
      <c r="G153" s="14">
        <f>IF(COUNTIF('Claude vs tools'!$K$2:$P$139,C153)&gt;0,1,0)</f>
        <v>1</v>
      </c>
    </row>
    <row r="154" spans="1:7" x14ac:dyDescent="0.3">
      <c r="A154" s="16" t="s">
        <v>322</v>
      </c>
      <c r="B154" s="16" t="s">
        <v>886</v>
      </c>
      <c r="C154" s="16" t="s">
        <v>1124</v>
      </c>
      <c r="E154" s="14">
        <f>IF(COUNTIF('Claude vs tools'!$K$2:$P$139,A154)&gt;0,1,0)</f>
        <v>1</v>
      </c>
      <c r="F154" s="14">
        <f>IF(COUNTIF('Claude vs tools'!$K$2:$P$139,B154)&gt;0,1,0)</f>
        <v>0</v>
      </c>
      <c r="G154" s="14">
        <f>IF(COUNTIF('Claude vs tools'!$K$2:$P$139,C154)&gt;0,1,0)</f>
        <v>0</v>
      </c>
    </row>
    <row r="155" spans="1:7" x14ac:dyDescent="0.3">
      <c r="A155" s="16" t="s">
        <v>590</v>
      </c>
      <c r="B155" s="16" t="s">
        <v>17</v>
      </c>
      <c r="C155" s="16" t="s">
        <v>126</v>
      </c>
      <c r="E155" s="14">
        <f>IF(COUNTIF('Claude vs tools'!$K$2:$P$139,A155)&gt;0,1,0)</f>
        <v>0</v>
      </c>
      <c r="F155" s="14">
        <f>IF(COUNTIF('Claude vs tools'!$K$2:$P$139,B155)&gt;0,1,0)</f>
        <v>1</v>
      </c>
      <c r="G155" s="14">
        <f>IF(COUNTIF('Claude vs tools'!$K$2:$P$139,C155)&gt;0,1,0)</f>
        <v>1</v>
      </c>
    </row>
    <row r="156" spans="1:7" x14ac:dyDescent="0.3">
      <c r="A156" s="16" t="s">
        <v>747</v>
      </c>
      <c r="B156" s="16" t="s">
        <v>887</v>
      </c>
      <c r="C156" s="16" t="s">
        <v>1125</v>
      </c>
      <c r="E156" s="14">
        <f>IF(COUNTIF('Claude vs tools'!$K$2:$P$139,A156)&gt;0,1,0)</f>
        <v>0</v>
      </c>
      <c r="F156" s="14">
        <f>IF(COUNTIF('Claude vs tools'!$K$2:$P$139,B156)&gt;0,1,0)</f>
        <v>0</v>
      </c>
      <c r="G156" s="14">
        <f>IF(COUNTIF('Claude vs tools'!$K$2:$P$139,C156)&gt;0,1,0)</f>
        <v>0</v>
      </c>
    </row>
    <row r="157" spans="1:7" x14ac:dyDescent="0.3">
      <c r="A157" s="16" t="s">
        <v>297</v>
      </c>
      <c r="B157" s="16" t="s">
        <v>455</v>
      </c>
      <c r="C157" s="16" t="s">
        <v>306</v>
      </c>
      <c r="E157" s="14">
        <f>IF(COUNTIF('Claude vs tools'!$K$2:$P$139,A157)&gt;0,1,0)</f>
        <v>1</v>
      </c>
      <c r="F157" s="14">
        <f>IF(COUNTIF('Claude vs tools'!$K$2:$P$139,B157)&gt;0,1,0)</f>
        <v>1</v>
      </c>
      <c r="G157" s="14">
        <f>IF(COUNTIF('Claude vs tools'!$K$2:$P$139,C157)&gt;0,1,0)</f>
        <v>1</v>
      </c>
    </row>
    <row r="158" spans="1:7" x14ac:dyDescent="0.3">
      <c r="A158" s="16" t="s">
        <v>342</v>
      </c>
      <c r="B158" s="16" t="s">
        <v>889</v>
      </c>
      <c r="C158" s="16" t="s">
        <v>307</v>
      </c>
      <c r="E158" s="14">
        <f>IF(COUNTIF('Claude vs tools'!$K$2:$P$139,A158)&gt;0,1,0)</f>
        <v>1</v>
      </c>
      <c r="F158" s="14">
        <f>IF(COUNTIF('Claude vs tools'!$K$2:$P$139,B158)&gt;0,1,0)</f>
        <v>0</v>
      </c>
      <c r="G158" s="14">
        <f>IF(COUNTIF('Claude vs tools'!$K$2:$P$139,C158)&gt;0,1,0)</f>
        <v>1</v>
      </c>
    </row>
    <row r="159" spans="1:7" x14ac:dyDescent="0.3">
      <c r="A159" s="16" t="s">
        <v>591</v>
      </c>
      <c r="B159" s="16" t="s">
        <v>890</v>
      </c>
      <c r="C159" s="16" t="s">
        <v>263</v>
      </c>
      <c r="E159" s="14">
        <f>IF(COUNTIF('Claude vs tools'!$K$2:$P$139,A159)&gt;0,1,0)</f>
        <v>0</v>
      </c>
      <c r="F159" s="14">
        <f>IF(COUNTIF('Claude vs tools'!$K$2:$P$139,B159)&gt;0,1,0)</f>
        <v>0</v>
      </c>
      <c r="G159" s="14">
        <f>IF(COUNTIF('Claude vs tools'!$K$2:$P$139,C159)&gt;0,1,0)</f>
        <v>1</v>
      </c>
    </row>
    <row r="160" spans="1:7" x14ac:dyDescent="0.3">
      <c r="A160" s="16" t="s">
        <v>592</v>
      </c>
      <c r="B160" s="16" t="s">
        <v>891</v>
      </c>
      <c r="C160" s="16" t="s">
        <v>265</v>
      </c>
      <c r="E160" s="14">
        <f>IF(COUNTIF('Claude vs tools'!$K$2:$P$139,A160)&gt;0,1,0)</f>
        <v>0</v>
      </c>
      <c r="F160" s="14">
        <f>IF(COUNTIF('Claude vs tools'!$K$2:$P$139,B160)&gt;0,1,0)</f>
        <v>0</v>
      </c>
      <c r="G160" s="14">
        <f>IF(COUNTIF('Claude vs tools'!$K$2:$P$139,C160)&gt;0,1,0)</f>
        <v>1</v>
      </c>
    </row>
    <row r="161" spans="1:7" x14ac:dyDescent="0.3">
      <c r="A161" s="16" t="s">
        <v>1258</v>
      </c>
      <c r="B161" s="16" t="s">
        <v>892</v>
      </c>
      <c r="C161" s="16" t="s">
        <v>712</v>
      </c>
      <c r="E161" s="14">
        <f>IF(COUNTIF('Claude vs tools'!$K$2:$P$139,A161)&gt;0,1,0)</f>
        <v>0</v>
      </c>
      <c r="F161" s="14">
        <f>IF(COUNTIF('Claude vs tools'!$K$2:$P$139,B161)&gt;0,1,0)</f>
        <v>0</v>
      </c>
      <c r="G161" s="14">
        <f>IF(COUNTIF('Claude vs tools'!$K$2:$P$139,C161)&gt;0,1,0)</f>
        <v>0</v>
      </c>
    </row>
    <row r="162" spans="1:7" x14ac:dyDescent="0.3">
      <c r="A162" s="16" t="s">
        <v>1263</v>
      </c>
      <c r="B162" s="16" t="s">
        <v>629</v>
      </c>
      <c r="C162" s="16" t="s">
        <v>133</v>
      </c>
      <c r="E162" s="14">
        <f>IF(COUNTIF('Claude vs tools'!$K$2:$P$139,A162)&gt;0,1,0)</f>
        <v>0</v>
      </c>
      <c r="F162" s="14">
        <f>IF(COUNTIF('Claude vs tools'!$K$2:$P$139,B162)&gt;0,1,0)</f>
        <v>0</v>
      </c>
      <c r="G162" s="14">
        <f>IF(COUNTIF('Claude vs tools'!$K$2:$P$139,C162)&gt;0,1,0)</f>
        <v>1</v>
      </c>
    </row>
    <row r="163" spans="1:7" x14ac:dyDescent="0.3">
      <c r="A163" s="16" t="s">
        <v>594</v>
      </c>
      <c r="B163" s="16" t="s">
        <v>141</v>
      </c>
      <c r="C163" s="16" t="s">
        <v>132</v>
      </c>
      <c r="E163" s="14">
        <f>IF(COUNTIF('Claude vs tools'!$K$2:$P$139,A163)&gt;0,1,0)</f>
        <v>0</v>
      </c>
      <c r="F163" s="14">
        <f>IF(COUNTIF('Claude vs tools'!$K$2:$P$139,B163)&gt;0,1,0)</f>
        <v>1</v>
      </c>
      <c r="G163" s="14">
        <f>IF(COUNTIF('Claude vs tools'!$K$2:$P$139,C163)&gt;0,1,0)</f>
        <v>1</v>
      </c>
    </row>
    <row r="164" spans="1:7" x14ac:dyDescent="0.3">
      <c r="A164" s="16" t="s">
        <v>1485</v>
      </c>
      <c r="B164" s="16" t="s">
        <v>893</v>
      </c>
      <c r="C164" s="16" t="s">
        <v>1130</v>
      </c>
      <c r="E164" s="14">
        <f>IF(COUNTIF('Claude vs tools'!$K$2:$P$139,A164)&gt;0,1,0)</f>
        <v>0</v>
      </c>
      <c r="F164" s="14">
        <f>IF(COUNTIF('Claude vs tools'!$K$2:$P$139,B164)&gt;0,1,0)</f>
        <v>0</v>
      </c>
      <c r="G164" s="14">
        <f>IF(COUNTIF('Claude vs tools'!$K$2:$P$139,C164)&gt;0,1,0)</f>
        <v>0</v>
      </c>
    </row>
    <row r="165" spans="1:7" x14ac:dyDescent="0.3">
      <c r="A165" s="16" t="s">
        <v>2268</v>
      </c>
      <c r="B165" s="16" t="s">
        <v>2269</v>
      </c>
      <c r="C165" s="16" t="s">
        <v>1131</v>
      </c>
      <c r="E165" s="14">
        <f>IF(COUNTIF('Claude vs tools'!$K$2:$P$139,A165)&gt;0,1,0)</f>
        <v>0</v>
      </c>
      <c r="F165" s="14">
        <f>IF(COUNTIF('Claude vs tools'!$K$2:$P$139,B165)&gt;0,1,0)</f>
        <v>0</v>
      </c>
      <c r="G165" s="14">
        <f>IF(COUNTIF('Claude vs tools'!$K$2:$P$139,C165)&gt;0,1,0)</f>
        <v>0</v>
      </c>
    </row>
    <row r="166" spans="1:7" x14ac:dyDescent="0.3">
      <c r="A166" s="16" t="s">
        <v>596</v>
      </c>
      <c r="B166" s="16" t="s">
        <v>1540</v>
      </c>
      <c r="C166" s="16" t="s">
        <v>1133</v>
      </c>
      <c r="E166" s="14">
        <f>IF(COUNTIF('Claude vs tools'!$K$2:$P$139,A166)&gt;0,1,0)</f>
        <v>0</v>
      </c>
      <c r="F166" s="14">
        <f>IF(COUNTIF('Claude vs tools'!$K$2:$P$139,B166)&gt;0,1,0)</f>
        <v>0</v>
      </c>
      <c r="G166" s="14">
        <f>IF(COUNTIF('Claude vs tools'!$K$2:$P$139,C166)&gt;0,1,0)</f>
        <v>0</v>
      </c>
    </row>
    <row r="167" spans="1:7" x14ac:dyDescent="0.3">
      <c r="A167" s="16" t="s">
        <v>1286</v>
      </c>
      <c r="B167" s="16" t="s">
        <v>900</v>
      </c>
      <c r="C167" s="16" t="s">
        <v>1134</v>
      </c>
      <c r="E167" s="14">
        <f>IF(COUNTIF('Claude vs tools'!$K$2:$P$139,A167)&gt;0,1,0)</f>
        <v>0</v>
      </c>
      <c r="F167" s="14">
        <f>IF(COUNTIF('Claude vs tools'!$K$2:$P$139,B167)&gt;0,1,0)</f>
        <v>0</v>
      </c>
      <c r="G167" s="14">
        <f>IF(COUNTIF('Claude vs tools'!$K$2:$P$139,C167)&gt;0,1,0)</f>
        <v>0</v>
      </c>
    </row>
    <row r="168" spans="1:7" x14ac:dyDescent="0.3">
      <c r="A168" s="16" t="s">
        <v>764</v>
      </c>
      <c r="B168" s="16" t="s">
        <v>404</v>
      </c>
      <c r="C168" s="16" t="s">
        <v>531</v>
      </c>
      <c r="E168" s="14">
        <f>IF(COUNTIF('Claude vs tools'!$K$2:$P$139,A168)&gt;0,1,0)</f>
        <v>0</v>
      </c>
      <c r="F168" s="14">
        <f>IF(COUNTIF('Claude vs tools'!$K$2:$P$139,B168)&gt;0,1,0)</f>
        <v>1</v>
      </c>
      <c r="G168" s="14">
        <f>IF(COUNTIF('Claude vs tools'!$K$2:$P$139,C168)&gt;0,1,0)</f>
        <v>1</v>
      </c>
    </row>
    <row r="169" spans="1:7" x14ac:dyDescent="0.3">
      <c r="A169" s="16" t="s">
        <v>597</v>
      </c>
      <c r="B169" s="16" t="s">
        <v>149</v>
      </c>
      <c r="C169" s="16" t="s">
        <v>713</v>
      </c>
      <c r="E169" s="14">
        <f>IF(COUNTIF('Claude vs tools'!$K$2:$P$139,A169)&gt;0,1,0)</f>
        <v>0</v>
      </c>
      <c r="F169" s="14">
        <f>IF(COUNTIF('Claude vs tools'!$K$2:$P$139,B169)&gt;0,1,0)</f>
        <v>1</v>
      </c>
      <c r="G169" s="14">
        <f>IF(COUNTIF('Claude vs tools'!$K$2:$P$139,C169)&gt;0,1,0)</f>
        <v>0</v>
      </c>
    </row>
    <row r="170" spans="1:7" x14ac:dyDescent="0.3">
      <c r="A170" s="16" t="s">
        <v>413</v>
      </c>
      <c r="B170" s="16" t="s">
        <v>906</v>
      </c>
      <c r="C170" s="16" t="s">
        <v>715</v>
      </c>
      <c r="E170" s="14">
        <f>IF(COUNTIF('Claude vs tools'!$K$2:$P$139,A170)&gt;0,1,0)</f>
        <v>1</v>
      </c>
      <c r="F170" s="14">
        <f>IF(COUNTIF('Claude vs tools'!$K$2:$P$139,B170)&gt;0,1,0)</f>
        <v>0</v>
      </c>
      <c r="G170" s="14">
        <f>IF(COUNTIF('Claude vs tools'!$K$2:$P$139,C170)&gt;0,1,0)</f>
        <v>0</v>
      </c>
    </row>
    <row r="171" spans="1:7" x14ac:dyDescent="0.3">
      <c r="A171" s="16" t="s">
        <v>768</v>
      </c>
      <c r="B171" s="16" t="s">
        <v>907</v>
      </c>
      <c r="C171" s="16" t="s">
        <v>479</v>
      </c>
      <c r="E171" s="14">
        <f>IF(COUNTIF('Claude vs tools'!$K$2:$P$139,A171)&gt;0,1,0)</f>
        <v>0</v>
      </c>
      <c r="F171" s="14">
        <f>IF(COUNTIF('Claude vs tools'!$K$2:$P$139,B171)&gt;0,1,0)</f>
        <v>0</v>
      </c>
      <c r="G171" s="14">
        <f>IF(COUNTIF('Claude vs tools'!$K$2:$P$139,C171)&gt;0,1,0)</f>
        <v>1</v>
      </c>
    </row>
    <row r="172" spans="1:7" x14ac:dyDescent="0.3">
      <c r="A172" s="16" t="s">
        <v>769</v>
      </c>
      <c r="B172" s="16" t="s">
        <v>575</v>
      </c>
      <c r="C172" s="16" t="s">
        <v>87</v>
      </c>
      <c r="E172" s="14">
        <f>IF(COUNTIF('Claude vs tools'!$K$2:$P$139,A172)&gt;0,1,0)</f>
        <v>0</v>
      </c>
      <c r="F172" s="14">
        <f>IF(COUNTIF('Claude vs tools'!$K$2:$P$139,B172)&gt;0,1,0)</f>
        <v>0</v>
      </c>
      <c r="G172" s="14">
        <f>IF(COUNTIF('Claude vs tools'!$K$2:$P$139,C172)&gt;0,1,0)</f>
        <v>1</v>
      </c>
    </row>
    <row r="173" spans="1:7" x14ac:dyDescent="0.3">
      <c r="A173" s="16" t="s">
        <v>770</v>
      </c>
      <c r="B173" s="16" t="s">
        <v>908</v>
      </c>
      <c r="C173" s="16" t="s">
        <v>68</v>
      </c>
      <c r="E173" s="14">
        <f>IF(COUNTIF('Claude vs tools'!$K$2:$P$139,A173)&gt;0,1,0)</f>
        <v>0</v>
      </c>
      <c r="F173" s="14">
        <f>IF(COUNTIF('Claude vs tools'!$K$2:$P$139,B173)&gt;0,1,0)</f>
        <v>0</v>
      </c>
      <c r="G173" s="14">
        <f>IF(COUNTIF('Claude vs tools'!$K$2:$P$139,C173)&gt;0,1,0)</f>
        <v>1</v>
      </c>
    </row>
    <row r="174" spans="1:7" x14ac:dyDescent="0.3">
      <c r="A174" s="16" t="s">
        <v>1291</v>
      </c>
      <c r="B174" s="16" t="s">
        <v>909</v>
      </c>
      <c r="C174" s="16" t="s">
        <v>447</v>
      </c>
      <c r="E174" s="14">
        <f>IF(COUNTIF('Claude vs tools'!$K$2:$P$139,A174)&gt;0,1,0)</f>
        <v>0</v>
      </c>
      <c r="F174" s="14">
        <f>IF(COUNTIF('Claude vs tools'!$K$2:$P$139,B174)&gt;0,1,0)</f>
        <v>0</v>
      </c>
      <c r="G174" s="14">
        <f>IF(COUNTIF('Claude vs tools'!$K$2:$P$139,C174)&gt;0,1,0)</f>
        <v>1</v>
      </c>
    </row>
    <row r="175" spans="1:7" x14ac:dyDescent="0.3">
      <c r="A175" s="16" t="s">
        <v>1292</v>
      </c>
      <c r="B175" s="16" t="s">
        <v>632</v>
      </c>
      <c r="C175" s="16" t="s">
        <v>719</v>
      </c>
      <c r="E175" s="14">
        <f>IF(COUNTIF('Claude vs tools'!$K$2:$P$139,A175)&gt;0,1,0)</f>
        <v>0</v>
      </c>
      <c r="F175" s="14">
        <f>IF(COUNTIF('Claude vs tools'!$K$2:$P$139,B175)&gt;0,1,0)</f>
        <v>0</v>
      </c>
      <c r="G175" s="14">
        <f>IF(COUNTIF('Claude vs tools'!$K$2:$P$139,C175)&gt;0,1,0)</f>
        <v>0</v>
      </c>
    </row>
    <row r="176" spans="1:7" x14ac:dyDescent="0.3">
      <c r="A176" s="16" t="s">
        <v>1293</v>
      </c>
      <c r="B176" s="16" t="s">
        <v>912</v>
      </c>
      <c r="C176" s="16" t="s">
        <v>1150</v>
      </c>
      <c r="E176" s="14">
        <f>IF(COUNTIF('Claude vs tools'!$K$2:$P$139,A176)&gt;0,1,0)</f>
        <v>0</v>
      </c>
      <c r="F176" s="14">
        <f>IF(COUNTIF('Claude vs tools'!$K$2:$P$139,B176)&gt;0,1,0)</f>
        <v>0</v>
      </c>
      <c r="G176" s="14">
        <f>IF(COUNTIF('Claude vs tools'!$K$2:$P$139,C176)&gt;0,1,0)</f>
        <v>0</v>
      </c>
    </row>
    <row r="177" spans="1:7" x14ac:dyDescent="0.3">
      <c r="A177" s="16" t="s">
        <v>1294</v>
      </c>
      <c r="B177" s="16" t="s">
        <v>913</v>
      </c>
      <c r="C177" s="16" t="s">
        <v>449</v>
      </c>
      <c r="E177" s="14">
        <f>IF(COUNTIF('Claude vs tools'!$K$2:$P$139,A177)&gt;0,1,0)</f>
        <v>0</v>
      </c>
      <c r="F177" s="14">
        <f>IF(COUNTIF('Claude vs tools'!$K$2:$P$139,B177)&gt;0,1,0)</f>
        <v>0</v>
      </c>
      <c r="G177" s="14">
        <f>IF(COUNTIF('Claude vs tools'!$K$2:$P$139,C177)&gt;0,1,0)</f>
        <v>1</v>
      </c>
    </row>
    <row r="178" spans="1:7" x14ac:dyDescent="0.3">
      <c r="A178" s="16" t="s">
        <v>1295</v>
      </c>
      <c r="B178" s="16" t="s">
        <v>914</v>
      </c>
      <c r="C178" s="16" t="s">
        <v>450</v>
      </c>
      <c r="E178" s="14">
        <f>IF(COUNTIF('Claude vs tools'!$K$2:$P$139,A178)&gt;0,1,0)</f>
        <v>0</v>
      </c>
      <c r="F178" s="14">
        <f>IF(COUNTIF('Claude vs tools'!$K$2:$P$139,B178)&gt;0,1,0)</f>
        <v>0</v>
      </c>
      <c r="G178" s="14">
        <f>IF(COUNTIF('Claude vs tools'!$K$2:$P$139,C178)&gt;0,1,0)</f>
        <v>1</v>
      </c>
    </row>
    <row r="179" spans="1:7" x14ac:dyDescent="0.3">
      <c r="A179" s="16" t="s">
        <v>1298</v>
      </c>
      <c r="B179" s="16" t="s">
        <v>560</v>
      </c>
      <c r="C179" s="16" t="s">
        <v>722</v>
      </c>
      <c r="E179" s="14">
        <f>IF(COUNTIF('Claude vs tools'!$K$2:$P$139,A179)&gt;0,1,0)</f>
        <v>0</v>
      </c>
      <c r="F179" s="14">
        <f>IF(COUNTIF('Claude vs tools'!$K$2:$P$139,B179)&gt;0,1,0)</f>
        <v>1</v>
      </c>
      <c r="G179" s="14">
        <f>IF(COUNTIF('Claude vs tools'!$K$2:$P$139,C179)&gt;0,1,0)</f>
        <v>0</v>
      </c>
    </row>
    <row r="180" spans="1:7" x14ac:dyDescent="0.3">
      <c r="A180" s="16" t="s">
        <v>1299</v>
      </c>
      <c r="B180" s="16" t="s">
        <v>634</v>
      </c>
      <c r="C180" s="16" t="s">
        <v>448</v>
      </c>
      <c r="E180" s="14">
        <f>IF(COUNTIF('Claude vs tools'!$K$2:$P$139,A180)&gt;0,1,0)</f>
        <v>0</v>
      </c>
      <c r="F180" s="14">
        <f>IF(COUNTIF('Claude vs tools'!$K$2:$P$139,B180)&gt;0,1,0)</f>
        <v>0</v>
      </c>
      <c r="G180" s="14">
        <f>IF(COUNTIF('Claude vs tools'!$K$2:$P$139,C180)&gt;0,1,0)</f>
        <v>1</v>
      </c>
    </row>
    <row r="181" spans="1:7" x14ac:dyDescent="0.3">
      <c r="A181" s="16" t="s">
        <v>1300</v>
      </c>
      <c r="B181" s="16" t="s">
        <v>343</v>
      </c>
      <c r="C181" s="16" t="s">
        <v>238</v>
      </c>
      <c r="E181" s="14">
        <f>IF(COUNTIF('Claude vs tools'!$K$2:$P$139,A181)&gt;0,1,0)</f>
        <v>0</v>
      </c>
      <c r="F181" s="14">
        <f>IF(COUNTIF('Claude vs tools'!$K$2:$P$139,B181)&gt;0,1,0)</f>
        <v>1</v>
      </c>
      <c r="G181" s="14">
        <f>IF(COUNTIF('Claude vs tools'!$K$2:$P$139,C181)&gt;0,1,0)</f>
        <v>1</v>
      </c>
    </row>
    <row r="182" spans="1:7" x14ac:dyDescent="0.3">
      <c r="A182" s="16" t="s">
        <v>598</v>
      </c>
      <c r="B182" s="16" t="s">
        <v>1550</v>
      </c>
      <c r="C182" s="16" t="s">
        <v>723</v>
      </c>
      <c r="E182" s="14">
        <f>IF(COUNTIF('Claude vs tools'!$K$2:$P$139,A182)&gt;0,1,0)</f>
        <v>0</v>
      </c>
      <c r="F182" s="14">
        <f>IF(COUNTIF('Claude vs tools'!$K$2:$P$139,B182)&gt;0,1,0)</f>
        <v>0</v>
      </c>
      <c r="G182" s="14">
        <f>IF(COUNTIF('Claude vs tools'!$K$2:$P$139,C182)&gt;0,1,0)</f>
        <v>0</v>
      </c>
    </row>
    <row r="183" spans="1:7" x14ac:dyDescent="0.3">
      <c r="A183" s="16" t="s">
        <v>1328</v>
      </c>
      <c r="B183" s="16" t="s">
        <v>916</v>
      </c>
      <c r="C183" s="16" t="s">
        <v>587</v>
      </c>
      <c r="E183" s="14">
        <f>IF(COUNTIF('Claude vs tools'!$K$2:$P$139,A183)&gt;0,1,0)</f>
        <v>0</v>
      </c>
      <c r="F183" s="14">
        <f>IF(COUNTIF('Claude vs tools'!$K$2:$P$139,B183)&gt;0,1,0)</f>
        <v>0</v>
      </c>
      <c r="G183" s="14">
        <f>IF(COUNTIF('Claude vs tools'!$K$2:$P$139,C183)&gt;0,1,0)</f>
        <v>0</v>
      </c>
    </row>
    <row r="184" spans="1:7" x14ac:dyDescent="0.3">
      <c r="A184" s="16" t="s">
        <v>781</v>
      </c>
      <c r="B184" s="16" t="s">
        <v>172</v>
      </c>
      <c r="C184" s="16" t="s">
        <v>1158</v>
      </c>
      <c r="E184" s="14">
        <f>IF(COUNTIF('Claude vs tools'!$K$2:$P$139,A184)&gt;0,1,0)</f>
        <v>0</v>
      </c>
      <c r="F184" s="14">
        <f>IF(COUNTIF('Claude vs tools'!$K$2:$P$139,B184)&gt;0,1,0)</f>
        <v>1</v>
      </c>
      <c r="G184" s="14">
        <f>IF(COUNTIF('Claude vs tools'!$K$2:$P$139,C184)&gt;0,1,0)</f>
        <v>0</v>
      </c>
    </row>
    <row r="185" spans="1:7" x14ac:dyDescent="0.3">
      <c r="A185" s="16" t="s">
        <v>1346</v>
      </c>
      <c r="B185" s="16" t="s">
        <v>2270</v>
      </c>
      <c r="C185" s="16" t="s">
        <v>726</v>
      </c>
      <c r="E185" s="14">
        <f>IF(COUNTIF('Claude vs tools'!$K$2:$P$139,A185)&gt;0,1,0)</f>
        <v>0</v>
      </c>
      <c r="F185" s="14">
        <f>IF(COUNTIF('Claude vs tools'!$K$2:$P$139,B185)&gt;0,1,0)</f>
        <v>0</v>
      </c>
      <c r="G185" s="14">
        <f>IF(COUNTIF('Claude vs tools'!$K$2:$P$139,C185)&gt;0,1,0)</f>
        <v>0</v>
      </c>
    </row>
    <row r="186" spans="1:7" x14ac:dyDescent="0.3">
      <c r="A186" s="16" t="s">
        <v>406</v>
      </c>
      <c r="B186" s="16" t="s">
        <v>918</v>
      </c>
      <c r="C186" s="16" t="s">
        <v>1165</v>
      </c>
      <c r="E186" s="14">
        <f>IF(COUNTIF('Claude vs tools'!$K$2:$P$139,A186)&gt;0,1,0)</f>
        <v>1</v>
      </c>
      <c r="F186" s="14">
        <f>IF(COUNTIF('Claude vs tools'!$K$2:$P$139,B186)&gt;0,1,0)</f>
        <v>0</v>
      </c>
      <c r="G186" s="14">
        <f>IF(COUNTIF('Claude vs tools'!$K$2:$P$139,C186)&gt;0,1,0)</f>
        <v>0</v>
      </c>
    </row>
    <row r="187" spans="1:7" x14ac:dyDescent="0.3">
      <c r="A187" s="16" t="s">
        <v>790</v>
      </c>
      <c r="B187" s="16" t="s">
        <v>636</v>
      </c>
      <c r="C187" s="16" t="s">
        <v>729</v>
      </c>
      <c r="E187" s="14">
        <f>IF(COUNTIF('Claude vs tools'!$K$2:$P$139,A187)&gt;0,1,0)</f>
        <v>0</v>
      </c>
      <c r="F187" s="14">
        <f>IF(COUNTIF('Claude vs tools'!$K$2:$P$139,B187)&gt;0,1,0)</f>
        <v>0</v>
      </c>
      <c r="G187" s="14">
        <f>IF(COUNTIF('Claude vs tools'!$K$2:$P$139,C187)&gt;0,1,0)</f>
        <v>0</v>
      </c>
    </row>
    <row r="188" spans="1:7" x14ac:dyDescent="0.3">
      <c r="A188" s="16" t="s">
        <v>791</v>
      </c>
      <c r="B188" s="16" t="s">
        <v>637</v>
      </c>
      <c r="C188" s="16" t="s">
        <v>225</v>
      </c>
      <c r="E188" s="14">
        <f>IF(COUNTIF('Claude vs tools'!$K$2:$P$139,A188)&gt;0,1,0)</f>
        <v>0</v>
      </c>
      <c r="F188" s="14">
        <f>IF(COUNTIF('Claude vs tools'!$K$2:$P$139,B188)&gt;0,1,0)</f>
        <v>0</v>
      </c>
      <c r="G188" s="14">
        <f>IF(COUNTIF('Claude vs tools'!$K$2:$P$139,C188)&gt;0,1,0)</f>
        <v>1</v>
      </c>
    </row>
    <row r="189" spans="1:7" x14ac:dyDescent="0.3">
      <c r="A189" s="16" t="s">
        <v>314</v>
      </c>
      <c r="B189" s="16" t="s">
        <v>638</v>
      </c>
      <c r="C189" s="16" t="s">
        <v>730</v>
      </c>
      <c r="E189" s="14">
        <f>IF(COUNTIF('Claude vs tools'!$K$2:$P$139,A189)&gt;0,1,0)</f>
        <v>1</v>
      </c>
      <c r="F189" s="14">
        <f>IF(COUNTIF('Claude vs tools'!$K$2:$P$139,B189)&gt;0,1,0)</f>
        <v>0</v>
      </c>
      <c r="G189" s="14">
        <f>IF(COUNTIF('Claude vs tools'!$K$2:$P$139,C189)&gt;0,1,0)</f>
        <v>0</v>
      </c>
    </row>
    <row r="190" spans="1:7" x14ac:dyDescent="0.3">
      <c r="A190" s="16" t="s">
        <v>301</v>
      </c>
      <c r="B190" s="16" t="s">
        <v>540</v>
      </c>
      <c r="C190" s="16" t="s">
        <v>731</v>
      </c>
      <c r="E190" s="14">
        <f>IF(COUNTIF('Claude vs tools'!$K$2:$P$139,A190)&gt;0,1,0)</f>
        <v>1</v>
      </c>
      <c r="F190" s="14">
        <f>IF(COUNTIF('Claude vs tools'!$K$2:$P$139,B190)&gt;0,1,0)</f>
        <v>1</v>
      </c>
      <c r="G190" s="14">
        <f>IF(COUNTIF('Claude vs tools'!$K$2:$P$139,C190)&gt;0,1,0)</f>
        <v>0</v>
      </c>
    </row>
    <row r="191" spans="1:7" x14ac:dyDescent="0.3">
      <c r="A191" s="16" t="s">
        <v>792</v>
      </c>
      <c r="B191" s="16" t="s">
        <v>922</v>
      </c>
      <c r="C191" s="16" t="s">
        <v>32</v>
      </c>
      <c r="E191" s="14">
        <f>IF(COUNTIF('Claude vs tools'!$K$2:$P$139,A191)&gt;0,1,0)</f>
        <v>0</v>
      </c>
      <c r="F191" s="14">
        <f>IF(COUNTIF('Claude vs tools'!$K$2:$P$139,B191)&gt;0,1,0)</f>
        <v>0</v>
      </c>
      <c r="G191" s="14">
        <f>IF(COUNTIF('Claude vs tools'!$K$2:$P$139,C191)&gt;0,1,0)</f>
        <v>1</v>
      </c>
    </row>
    <row r="192" spans="1:7" x14ac:dyDescent="0.3">
      <c r="A192" s="16" t="s">
        <v>313</v>
      </c>
      <c r="B192" s="16" t="s">
        <v>379</v>
      </c>
      <c r="C192" s="16" t="s">
        <v>1175</v>
      </c>
      <c r="E192" s="14">
        <f>IF(COUNTIF('Claude vs tools'!$K$2:$P$139,A192)&gt;0,1,0)</f>
        <v>1</v>
      </c>
      <c r="F192" s="14">
        <f>IF(COUNTIF('Claude vs tools'!$K$2:$P$139,B192)&gt;0,1,0)</f>
        <v>1</v>
      </c>
      <c r="G192" s="14">
        <f>IF(COUNTIF('Claude vs tools'!$K$2:$P$139,C192)&gt;0,1,0)</f>
        <v>0</v>
      </c>
    </row>
    <row r="193" spans="2:7" x14ac:dyDescent="0.3">
      <c r="B193" s="16" t="s">
        <v>924</v>
      </c>
      <c r="C193" s="16" t="s">
        <v>496</v>
      </c>
      <c r="F193" s="14">
        <f>IF(COUNTIF('Claude vs tools'!$K$2:$P$139,B193)&gt;0,1,0)</f>
        <v>0</v>
      </c>
      <c r="G193" s="14">
        <f>IF(COUNTIF('Claude vs tools'!$K$2:$P$139,C193)&gt;0,1,0)</f>
        <v>1</v>
      </c>
    </row>
    <row r="194" spans="2:7" x14ac:dyDescent="0.3">
      <c r="B194" s="16" t="s">
        <v>925</v>
      </c>
      <c r="C194" s="16" t="s">
        <v>16</v>
      </c>
      <c r="F194" s="14">
        <f>IF(COUNTIF('Claude vs tools'!$K$2:$P$139,B194)&gt;0,1,0)</f>
        <v>0</v>
      </c>
      <c r="G194" s="14">
        <f>IF(COUNTIF('Claude vs tools'!$K$2:$P$139,C194)&gt;0,1,0)</f>
        <v>1</v>
      </c>
    </row>
    <row r="195" spans="2:7" x14ac:dyDescent="0.3">
      <c r="B195" s="16" t="s">
        <v>640</v>
      </c>
      <c r="C195" s="16" t="s">
        <v>732</v>
      </c>
      <c r="F195" s="14">
        <f>IF(COUNTIF('Claude vs tools'!$K$2:$P$139,B195)&gt;0,1,0)</f>
        <v>0</v>
      </c>
      <c r="G195" s="14">
        <f>IF(COUNTIF('Claude vs tools'!$K$2:$P$139,C195)&gt;0,1,0)</f>
        <v>0</v>
      </c>
    </row>
    <row r="196" spans="2:7" x14ac:dyDescent="0.3">
      <c r="B196" s="16" t="s">
        <v>930</v>
      </c>
      <c r="C196" s="16" t="s">
        <v>733</v>
      </c>
      <c r="F196" s="14">
        <f>IF(COUNTIF('Claude vs tools'!$K$2:$P$139,B196)&gt;0,1,0)</f>
        <v>0</v>
      </c>
      <c r="G196" s="14">
        <f>IF(COUNTIF('Claude vs tools'!$K$2:$P$139,C196)&gt;0,1,0)</f>
        <v>0</v>
      </c>
    </row>
    <row r="197" spans="2:7" x14ac:dyDescent="0.3">
      <c r="B197" s="16" t="s">
        <v>931</v>
      </c>
      <c r="C197" s="16" t="s">
        <v>1179</v>
      </c>
      <c r="F197" s="14">
        <f>IF(COUNTIF('Claude vs tools'!$K$2:$P$139,B197)&gt;0,1,0)</f>
        <v>0</v>
      </c>
      <c r="G197" s="14">
        <f>IF(COUNTIF('Claude vs tools'!$K$2:$P$139,C197)&gt;0,1,0)</f>
        <v>0</v>
      </c>
    </row>
    <row r="198" spans="2:7" x14ac:dyDescent="0.3">
      <c r="B198" s="16" t="s">
        <v>49</v>
      </c>
      <c r="C198" s="16" t="s">
        <v>31</v>
      </c>
      <c r="F198" s="14">
        <f>IF(COUNTIF('Claude vs tools'!$K$2:$P$139,B198)&gt;0,1,0)</f>
        <v>1</v>
      </c>
      <c r="G198" s="14">
        <f>IF(COUNTIF('Claude vs tools'!$K$2:$P$139,C198)&gt;0,1,0)</f>
        <v>1</v>
      </c>
    </row>
    <row r="199" spans="2:7" x14ac:dyDescent="0.3">
      <c r="B199" s="16" t="s">
        <v>46</v>
      </c>
      <c r="C199" s="16" t="s">
        <v>734</v>
      </c>
      <c r="F199" s="14">
        <f>IF(COUNTIF('Claude vs tools'!$K$2:$P$139,B199)&gt;0,1,0)</f>
        <v>1</v>
      </c>
      <c r="G199" s="14">
        <f>IF(COUNTIF('Claude vs tools'!$K$2:$P$139,C199)&gt;0,1,0)</f>
        <v>0</v>
      </c>
    </row>
    <row r="200" spans="2:7" x14ac:dyDescent="0.3">
      <c r="B200" s="16" t="s">
        <v>2271</v>
      </c>
      <c r="C200" s="16" t="s">
        <v>189</v>
      </c>
      <c r="F200" s="14">
        <f>IF(COUNTIF('Claude vs tools'!$K$2:$P$139,B200)&gt;0,1,0)</f>
        <v>0</v>
      </c>
      <c r="G200" s="14">
        <f>IF(COUNTIF('Claude vs tools'!$K$2:$P$139,C200)&gt;0,1,0)</f>
        <v>1</v>
      </c>
    </row>
    <row r="201" spans="2:7" x14ac:dyDescent="0.3">
      <c r="B201" s="16" t="s">
        <v>642</v>
      </c>
      <c r="C201" s="16" t="s">
        <v>735</v>
      </c>
      <c r="F201" s="14">
        <f>IF(COUNTIF('Claude vs tools'!$K$2:$P$139,B201)&gt;0,1,0)</f>
        <v>0</v>
      </c>
      <c r="G201" s="14">
        <f>IF(COUNTIF('Claude vs tools'!$K$2:$P$139,C201)&gt;0,1,0)</f>
        <v>0</v>
      </c>
    </row>
    <row r="202" spans="2:7" x14ac:dyDescent="0.3">
      <c r="B202" s="16" t="s">
        <v>933</v>
      </c>
      <c r="C202" s="16" t="s">
        <v>1185</v>
      </c>
      <c r="F202" s="14">
        <f>IF(COUNTIF('Claude vs tools'!$K$2:$P$139,B202)&gt;0,1,0)</f>
        <v>0</v>
      </c>
      <c r="G202" s="14">
        <f>IF(COUNTIF('Claude vs tools'!$K$2:$P$139,C202)&gt;0,1,0)</f>
        <v>0</v>
      </c>
    </row>
    <row r="203" spans="2:7" x14ac:dyDescent="0.3">
      <c r="B203" s="16" t="s">
        <v>934</v>
      </c>
      <c r="C203" s="16" t="s">
        <v>123</v>
      </c>
      <c r="F203" s="14">
        <f>IF(COUNTIF('Claude vs tools'!$K$2:$P$139,B203)&gt;0,1,0)</f>
        <v>0</v>
      </c>
      <c r="G203" s="14">
        <f>IF(COUNTIF('Claude vs tools'!$K$2:$P$139,C203)&gt;0,1,0)</f>
        <v>1</v>
      </c>
    </row>
    <row r="204" spans="2:7" x14ac:dyDescent="0.3">
      <c r="B204" s="16" t="s">
        <v>935</v>
      </c>
      <c r="C204" s="16" t="s">
        <v>1186</v>
      </c>
      <c r="F204" s="14">
        <f>IF(COUNTIF('Claude vs tools'!$K$2:$P$139,B204)&gt;0,1,0)</f>
        <v>0</v>
      </c>
      <c r="G204" s="14">
        <f>IF(COUNTIF('Claude vs tools'!$K$2:$P$139,C204)&gt;0,1,0)</f>
        <v>0</v>
      </c>
    </row>
    <row r="205" spans="2:7" x14ac:dyDescent="0.3">
      <c r="B205" s="16" t="s">
        <v>936</v>
      </c>
      <c r="C205" s="16" t="s">
        <v>736</v>
      </c>
      <c r="F205" s="14">
        <f>IF(COUNTIF('Claude vs tools'!$K$2:$P$139,B205)&gt;0,1,0)</f>
        <v>0</v>
      </c>
      <c r="G205" s="14">
        <f>IF(COUNTIF('Claude vs tools'!$K$2:$P$139,C205)&gt;0,1,0)</f>
        <v>0</v>
      </c>
    </row>
    <row r="206" spans="2:7" x14ac:dyDescent="0.3">
      <c r="B206" s="16" t="s">
        <v>937</v>
      </c>
      <c r="C206" s="16" t="s">
        <v>1192</v>
      </c>
      <c r="F206" s="14">
        <f>IF(COUNTIF('Claude vs tools'!$K$2:$P$139,B206)&gt;0,1,0)</f>
        <v>0</v>
      </c>
      <c r="G206" s="14">
        <f>IF(COUNTIF('Claude vs tools'!$K$2:$P$139,C206)&gt;0,1,0)</f>
        <v>0</v>
      </c>
    </row>
    <row r="207" spans="2:7" x14ac:dyDescent="0.3">
      <c r="B207" s="16" t="s">
        <v>938</v>
      </c>
      <c r="C207" s="16" t="s">
        <v>63</v>
      </c>
      <c r="F207" s="14">
        <f>IF(COUNTIF('Claude vs tools'!$K$2:$P$139,B207)&gt;0,1,0)</f>
        <v>0</v>
      </c>
      <c r="G207" s="14">
        <f>IF(COUNTIF('Claude vs tools'!$K$2:$P$139,C207)&gt;0,1,0)</f>
        <v>1</v>
      </c>
    </row>
    <row r="208" spans="2:7" x14ac:dyDescent="0.3">
      <c r="B208" s="16" t="s">
        <v>330</v>
      </c>
      <c r="C208" s="16" t="s">
        <v>60</v>
      </c>
      <c r="F208" s="14">
        <f>IF(COUNTIF('Claude vs tools'!$K$2:$P$139,B208)&gt;0,1,0)</f>
        <v>1</v>
      </c>
      <c r="G208" s="14">
        <f>IF(COUNTIF('Claude vs tools'!$K$2:$P$139,C208)&gt;0,1,0)</f>
        <v>1</v>
      </c>
    </row>
    <row r="209" spans="2:7" x14ac:dyDescent="0.3">
      <c r="B209" s="16" t="s">
        <v>939</v>
      </c>
      <c r="C209" s="16" t="s">
        <v>738</v>
      </c>
      <c r="F209" s="14">
        <f>IF(COUNTIF('Claude vs tools'!$K$2:$P$139,B209)&gt;0,1,0)</f>
        <v>0</v>
      </c>
      <c r="G209" s="14">
        <f>IF(COUNTIF('Claude vs tools'!$K$2:$P$139,C209)&gt;0,1,0)</f>
        <v>0</v>
      </c>
    </row>
    <row r="210" spans="2:7" x14ac:dyDescent="0.3">
      <c r="B210" s="16" t="s">
        <v>942</v>
      </c>
      <c r="C210" s="16" t="s">
        <v>588</v>
      </c>
      <c r="F210" s="14">
        <f>IF(COUNTIF('Claude vs tools'!$K$2:$P$139,B210)&gt;0,1,0)</f>
        <v>0</v>
      </c>
      <c r="G210" s="14">
        <f>IF(COUNTIF('Claude vs tools'!$K$2:$P$139,C210)&gt;0,1,0)</f>
        <v>0</v>
      </c>
    </row>
    <row r="211" spans="2:7" x14ac:dyDescent="0.3">
      <c r="B211" s="16" t="s">
        <v>644</v>
      </c>
      <c r="C211" s="16" t="s">
        <v>1194</v>
      </c>
      <c r="F211" s="14">
        <f>IF(COUNTIF('Claude vs tools'!$K$2:$P$139,B211)&gt;0,1,0)</f>
        <v>0</v>
      </c>
      <c r="G211" s="14">
        <f>IF(COUNTIF('Claude vs tools'!$K$2:$P$139,C211)&gt;0,1,0)</f>
        <v>0</v>
      </c>
    </row>
    <row r="212" spans="2:7" x14ac:dyDescent="0.3">
      <c r="B212" s="16" t="s">
        <v>645</v>
      </c>
      <c r="C212" s="16" t="s">
        <v>160</v>
      </c>
      <c r="F212" s="14">
        <f>IF(COUNTIF('Claude vs tools'!$K$2:$P$139,B212)&gt;0,1,0)</f>
        <v>0</v>
      </c>
      <c r="G212" s="14">
        <f>IF(COUNTIF('Claude vs tools'!$K$2:$P$139,C212)&gt;0,1,0)</f>
        <v>1</v>
      </c>
    </row>
    <row r="213" spans="2:7" x14ac:dyDescent="0.3">
      <c r="B213" s="16" t="s">
        <v>944</v>
      </c>
      <c r="C213" s="16" t="s">
        <v>1195</v>
      </c>
      <c r="F213" s="14">
        <f>IF(COUNTIF('Claude vs tools'!$K$2:$P$139,B213)&gt;0,1,0)</f>
        <v>0</v>
      </c>
      <c r="G213" s="14">
        <f>IF(COUNTIF('Claude vs tools'!$K$2:$P$139,C213)&gt;0,1,0)</f>
        <v>0</v>
      </c>
    </row>
    <row r="214" spans="2:7" x14ac:dyDescent="0.3">
      <c r="B214" s="16" t="s">
        <v>945</v>
      </c>
      <c r="C214" s="16" t="s">
        <v>739</v>
      </c>
      <c r="F214" s="14">
        <f>IF(COUNTIF('Claude vs tools'!$K$2:$P$139,B214)&gt;0,1,0)</f>
        <v>0</v>
      </c>
      <c r="G214" s="14">
        <f>IF(COUNTIF('Claude vs tools'!$K$2:$P$139,C214)&gt;0,1,0)</f>
        <v>0</v>
      </c>
    </row>
    <row r="215" spans="2:7" x14ac:dyDescent="0.3">
      <c r="B215" s="16" t="s">
        <v>947</v>
      </c>
      <c r="C215" s="16" t="s">
        <v>1198</v>
      </c>
      <c r="F215" s="14">
        <f>IF(COUNTIF('Claude vs tools'!$K$2:$P$139,B215)&gt;0,1,0)</f>
        <v>0</v>
      </c>
      <c r="G215" s="14">
        <f>IF(COUNTIF('Claude vs tools'!$K$2:$P$139,C215)&gt;0,1,0)</f>
        <v>0</v>
      </c>
    </row>
    <row r="216" spans="2:7" x14ac:dyDescent="0.3">
      <c r="B216" s="16" t="s">
        <v>577</v>
      </c>
      <c r="C216" s="16" t="s">
        <v>1199</v>
      </c>
      <c r="F216" s="14">
        <f>IF(COUNTIF('Claude vs tools'!$K$2:$P$139,B216)&gt;0,1,0)</f>
        <v>0</v>
      </c>
      <c r="G216" s="14">
        <f>IF(COUNTIF('Claude vs tools'!$K$2:$P$139,C216)&gt;0,1,0)</f>
        <v>0</v>
      </c>
    </row>
    <row r="217" spans="2:7" x14ac:dyDescent="0.3">
      <c r="B217" s="16" t="s">
        <v>646</v>
      </c>
      <c r="C217" s="16" t="s">
        <v>1200</v>
      </c>
      <c r="F217" s="14">
        <f>IF(COUNTIF('Claude vs tools'!$K$2:$P$139,B217)&gt;0,1,0)</f>
        <v>0</v>
      </c>
      <c r="G217" s="14">
        <f>IF(COUNTIF('Claude vs tools'!$K$2:$P$139,C217)&gt;0,1,0)</f>
        <v>0</v>
      </c>
    </row>
    <row r="218" spans="2:7" x14ac:dyDescent="0.3">
      <c r="B218" s="16" t="s">
        <v>949</v>
      </c>
      <c r="C218" s="16" t="s">
        <v>1201</v>
      </c>
      <c r="F218" s="14">
        <f>IF(COUNTIF('Claude vs tools'!$K$2:$P$139,B218)&gt;0,1,0)</f>
        <v>0</v>
      </c>
      <c r="G218" s="14">
        <f>IF(COUNTIF('Claude vs tools'!$K$2:$P$139,C218)&gt;0,1,0)</f>
        <v>0</v>
      </c>
    </row>
    <row r="219" spans="2:7" x14ac:dyDescent="0.3">
      <c r="B219" s="16" t="s">
        <v>951</v>
      </c>
      <c r="C219" s="16" t="s">
        <v>742</v>
      </c>
      <c r="F219" s="14">
        <f>IF(COUNTIF('Claude vs tools'!$K$2:$P$139,B219)&gt;0,1,0)</f>
        <v>0</v>
      </c>
      <c r="G219" s="14">
        <f>IF(COUNTIF('Claude vs tools'!$K$2:$P$139,C219)&gt;0,1,0)</f>
        <v>0</v>
      </c>
    </row>
    <row r="220" spans="2:7" x14ac:dyDescent="0.3">
      <c r="B220" s="16" t="s">
        <v>219</v>
      </c>
      <c r="C220" s="16" t="s">
        <v>1204</v>
      </c>
      <c r="F220" s="14">
        <f>IF(COUNTIF('Claude vs tools'!$K$2:$P$139,B220)&gt;0,1,0)</f>
        <v>1</v>
      </c>
      <c r="G220" s="14">
        <f>IF(COUNTIF('Claude vs tools'!$K$2:$P$139,C220)&gt;0,1,0)</f>
        <v>0</v>
      </c>
    </row>
    <row r="221" spans="2:7" x14ac:dyDescent="0.3">
      <c r="B221" s="16" t="s">
        <v>211</v>
      </c>
      <c r="C221" s="16" t="s">
        <v>743</v>
      </c>
      <c r="F221" s="14">
        <f>IF(COUNTIF('Claude vs tools'!$K$2:$P$139,B221)&gt;0,1,0)</f>
        <v>1</v>
      </c>
      <c r="G221" s="14">
        <f>IF(COUNTIF('Claude vs tools'!$K$2:$P$139,C221)&gt;0,1,0)</f>
        <v>0</v>
      </c>
    </row>
    <row r="222" spans="2:7" x14ac:dyDescent="0.3">
      <c r="B222" s="16" t="s">
        <v>270</v>
      </c>
      <c r="C222" s="16" t="s">
        <v>233</v>
      </c>
      <c r="F222" s="14">
        <f>IF(COUNTIF('Claude vs tools'!$K$2:$P$139,B222)&gt;0,1,0)</f>
        <v>1</v>
      </c>
      <c r="G222" s="14">
        <f>IF(COUNTIF('Claude vs tools'!$K$2:$P$139,C222)&gt;0,1,0)</f>
        <v>1</v>
      </c>
    </row>
    <row r="223" spans="2:7" x14ac:dyDescent="0.3">
      <c r="B223" s="16" t="s">
        <v>403</v>
      </c>
      <c r="C223" s="16" t="s">
        <v>322</v>
      </c>
      <c r="F223" s="14">
        <f>IF(COUNTIF('Claude vs tools'!$K$2:$P$139,B223)&gt;0,1,0)</f>
        <v>1</v>
      </c>
      <c r="G223" s="14">
        <f>IF(COUNTIF('Claude vs tools'!$K$2:$P$139,C223)&gt;0,1,0)</f>
        <v>1</v>
      </c>
    </row>
    <row r="224" spans="2:7" x14ac:dyDescent="0.3">
      <c r="B224" s="16" t="s">
        <v>651</v>
      </c>
      <c r="C224" s="16" t="s">
        <v>590</v>
      </c>
      <c r="F224" s="14">
        <f>IF(COUNTIF('Claude vs tools'!$K$2:$P$139,B224)&gt;0,1,0)</f>
        <v>0</v>
      </c>
      <c r="G224" s="14">
        <f>IF(COUNTIF('Claude vs tools'!$K$2:$P$139,C224)&gt;0,1,0)</f>
        <v>0</v>
      </c>
    </row>
    <row r="225" spans="2:7" x14ac:dyDescent="0.3">
      <c r="B225" s="16" t="s">
        <v>955</v>
      </c>
      <c r="C225" s="16" t="s">
        <v>747</v>
      </c>
      <c r="F225" s="14">
        <f>IF(COUNTIF('Claude vs tools'!$K$2:$P$139,B225)&gt;0,1,0)</f>
        <v>0</v>
      </c>
      <c r="G225" s="14">
        <f>IF(COUNTIF('Claude vs tools'!$K$2:$P$139,C225)&gt;0,1,0)</f>
        <v>0</v>
      </c>
    </row>
    <row r="226" spans="2:7" x14ac:dyDescent="0.3">
      <c r="B226" s="16" t="s">
        <v>956</v>
      </c>
      <c r="C226" s="16" t="s">
        <v>750</v>
      </c>
      <c r="F226" s="14">
        <f>IF(COUNTIF('Claude vs tools'!$K$2:$P$139,B226)&gt;0,1,0)</f>
        <v>0</v>
      </c>
      <c r="G226" s="14">
        <f>IF(COUNTIF('Claude vs tools'!$K$2:$P$139,C226)&gt;0,1,0)</f>
        <v>0</v>
      </c>
    </row>
    <row r="227" spans="2:7" x14ac:dyDescent="0.3">
      <c r="B227" s="16" t="s">
        <v>652</v>
      </c>
      <c r="C227" s="16" t="s">
        <v>1225</v>
      </c>
      <c r="F227" s="14">
        <f>IF(COUNTIF('Claude vs tools'!$K$2:$P$139,B227)&gt;0,1,0)</f>
        <v>0</v>
      </c>
      <c r="G227" s="14">
        <f>IF(COUNTIF('Claude vs tools'!$K$2:$P$139,C227)&gt;0,1,0)</f>
        <v>0</v>
      </c>
    </row>
    <row r="228" spans="2:7" x14ac:dyDescent="0.3">
      <c r="B228" s="16" t="s">
        <v>653</v>
      </c>
      <c r="C228" s="16" t="s">
        <v>120</v>
      </c>
      <c r="F228" s="14">
        <f>IF(COUNTIF('Claude vs tools'!$K$2:$P$139,B228)&gt;0,1,0)</f>
        <v>0</v>
      </c>
      <c r="G228" s="14">
        <f>IF(COUNTIF('Claude vs tools'!$K$2:$P$139,C228)&gt;0,1,0)</f>
        <v>1</v>
      </c>
    </row>
    <row r="229" spans="2:7" x14ac:dyDescent="0.3">
      <c r="B229" s="16" t="s">
        <v>205</v>
      </c>
      <c r="C229" s="16" t="s">
        <v>1230</v>
      </c>
      <c r="F229" s="14">
        <f>IF(COUNTIF('Claude vs tools'!$K$2:$P$139,B229)&gt;0,1,0)</f>
        <v>1</v>
      </c>
      <c r="G229" s="14">
        <f>IF(COUNTIF('Claude vs tools'!$K$2:$P$139,C229)&gt;0,1,0)</f>
        <v>0</v>
      </c>
    </row>
    <row r="230" spans="2:7" x14ac:dyDescent="0.3">
      <c r="B230" s="16" t="s">
        <v>959</v>
      </c>
      <c r="C230" s="16" t="s">
        <v>242</v>
      </c>
      <c r="F230" s="14">
        <f>IF(COUNTIF('Claude vs tools'!$K$2:$P$139,B230)&gt;0,1,0)</f>
        <v>0</v>
      </c>
      <c r="G230" s="14">
        <f>IF(COUNTIF('Claude vs tools'!$K$2:$P$139,C230)&gt;0,1,0)</f>
        <v>1</v>
      </c>
    </row>
    <row r="231" spans="2:7" x14ac:dyDescent="0.3">
      <c r="B231" s="16" t="s">
        <v>203</v>
      </c>
      <c r="C231" s="16" t="s">
        <v>1238</v>
      </c>
      <c r="F231" s="14">
        <f>IF(COUNTIF('Claude vs tools'!$K$2:$P$139,B231)&gt;0,1,0)</f>
        <v>1</v>
      </c>
      <c r="G231" s="14">
        <f>IF(COUNTIF('Claude vs tools'!$K$2:$P$139,C231)&gt;0,1,0)</f>
        <v>0</v>
      </c>
    </row>
    <row r="232" spans="2:7" x14ac:dyDescent="0.3">
      <c r="B232" s="16" t="s">
        <v>960</v>
      </c>
      <c r="C232" s="16" t="s">
        <v>1242</v>
      </c>
      <c r="F232" s="14">
        <f>IF(COUNTIF('Claude vs tools'!$K$2:$P$139,B232)&gt;0,1,0)</f>
        <v>0</v>
      </c>
      <c r="G232" s="14">
        <f>IF(COUNTIF('Claude vs tools'!$K$2:$P$139,C232)&gt;0,1,0)</f>
        <v>0</v>
      </c>
    </row>
    <row r="233" spans="2:7" x14ac:dyDescent="0.3">
      <c r="B233" s="16" t="s">
        <v>204</v>
      </c>
      <c r="C233" s="16" t="s">
        <v>1243</v>
      </c>
      <c r="F233" s="14">
        <f>IF(COUNTIF('Claude vs tools'!$K$2:$P$139,B233)&gt;0,1,0)</f>
        <v>1</v>
      </c>
      <c r="G233" s="14">
        <f>IF(COUNTIF('Claude vs tools'!$K$2:$P$139,C233)&gt;0,1,0)</f>
        <v>0</v>
      </c>
    </row>
    <row r="234" spans="2:7" x14ac:dyDescent="0.3">
      <c r="B234" s="16" t="s">
        <v>964</v>
      </c>
      <c r="C234" s="16" t="s">
        <v>342</v>
      </c>
      <c r="F234" s="14">
        <f>IF(COUNTIF('Claude vs tools'!$K$2:$P$139,B234)&gt;0,1,0)</f>
        <v>0</v>
      </c>
      <c r="G234" s="14">
        <f>IF(COUNTIF('Claude vs tools'!$K$2:$P$139,C234)&gt;0,1,0)</f>
        <v>1</v>
      </c>
    </row>
    <row r="235" spans="2:7" x14ac:dyDescent="0.3">
      <c r="B235" s="16" t="s">
        <v>966</v>
      </c>
      <c r="C235" s="16" t="s">
        <v>341</v>
      </c>
      <c r="F235" s="14">
        <f>IF(COUNTIF('Claude vs tools'!$K$2:$P$139,B235)&gt;0,1,0)</f>
        <v>0</v>
      </c>
      <c r="G235" s="14">
        <f>IF(COUNTIF('Claude vs tools'!$K$2:$P$139,C235)&gt;0,1,0)</f>
        <v>1</v>
      </c>
    </row>
    <row r="236" spans="2:7" x14ac:dyDescent="0.3">
      <c r="B236" s="16" t="s">
        <v>967</v>
      </c>
      <c r="C236" s="16" t="s">
        <v>591</v>
      </c>
      <c r="F236" s="14">
        <f>IF(COUNTIF('Claude vs tools'!$K$2:$P$139,B236)&gt;0,1,0)</f>
        <v>0</v>
      </c>
      <c r="G236" s="14">
        <f>IF(COUNTIF('Claude vs tools'!$K$2:$P$139,C236)&gt;0,1,0)</f>
        <v>0</v>
      </c>
    </row>
    <row r="237" spans="2:7" x14ac:dyDescent="0.3">
      <c r="B237" s="16" t="s">
        <v>91</v>
      </c>
      <c r="C237" s="16" t="s">
        <v>1248</v>
      </c>
      <c r="F237" s="14">
        <f>IF(COUNTIF('Claude vs tools'!$K$2:$P$139,B237)&gt;0,1,0)</f>
        <v>1</v>
      </c>
      <c r="G237" s="14">
        <f>IF(COUNTIF('Claude vs tools'!$K$2:$P$139,C237)&gt;0,1,0)</f>
        <v>0</v>
      </c>
    </row>
    <row r="238" spans="2:7" x14ac:dyDescent="0.3">
      <c r="B238" s="16" t="s">
        <v>968</v>
      </c>
      <c r="C238" s="16" t="s">
        <v>592</v>
      </c>
      <c r="F238" s="14">
        <f>IF(COUNTIF('Claude vs tools'!$K$2:$P$139,B238)&gt;0,1,0)</f>
        <v>0</v>
      </c>
      <c r="G238" s="14">
        <f>IF(COUNTIF('Claude vs tools'!$K$2:$P$139,C238)&gt;0,1,0)</f>
        <v>0</v>
      </c>
    </row>
    <row r="239" spans="2:7" x14ac:dyDescent="0.3">
      <c r="B239" s="16" t="s">
        <v>578</v>
      </c>
      <c r="C239" s="16" t="s">
        <v>1255</v>
      </c>
      <c r="F239" s="14">
        <f>IF(COUNTIF('Claude vs tools'!$K$2:$P$139,B239)&gt;0,1,0)</f>
        <v>0</v>
      </c>
      <c r="G239" s="14">
        <f>IF(COUNTIF('Claude vs tools'!$K$2:$P$139,C239)&gt;0,1,0)</f>
        <v>0</v>
      </c>
    </row>
    <row r="240" spans="2:7" x14ac:dyDescent="0.3">
      <c r="B240" s="16" t="s">
        <v>654</v>
      </c>
      <c r="C240" s="16" t="s">
        <v>518</v>
      </c>
      <c r="F240" s="14">
        <f>IF(COUNTIF('Claude vs tools'!$K$2:$P$139,B240)&gt;0,1,0)</f>
        <v>0</v>
      </c>
      <c r="G240" s="14">
        <f>IF(COUNTIF('Claude vs tools'!$K$2:$P$139,C240)&gt;0,1,0)</f>
        <v>1</v>
      </c>
    </row>
    <row r="241" spans="2:7" x14ac:dyDescent="0.3">
      <c r="B241" s="16" t="s">
        <v>655</v>
      </c>
      <c r="C241" s="16" t="s">
        <v>287</v>
      </c>
      <c r="F241" s="14">
        <f>IF(COUNTIF('Claude vs tools'!$K$2:$P$139,B241)&gt;0,1,0)</f>
        <v>0</v>
      </c>
      <c r="G241" s="14">
        <f>IF(COUNTIF('Claude vs tools'!$K$2:$P$139,C241)&gt;0,1,0)</f>
        <v>1</v>
      </c>
    </row>
    <row r="242" spans="2:7" x14ac:dyDescent="0.3">
      <c r="B242" s="16" t="s">
        <v>657</v>
      </c>
      <c r="C242" s="16" t="s">
        <v>183</v>
      </c>
      <c r="F242" s="14">
        <f>IF(COUNTIF('Claude vs tools'!$K$2:$P$139,B242)&gt;0,1,0)</f>
        <v>0</v>
      </c>
      <c r="G242" s="14">
        <f>IF(COUNTIF('Claude vs tools'!$K$2:$P$139,C242)&gt;0,1,0)</f>
        <v>1</v>
      </c>
    </row>
    <row r="243" spans="2:7" x14ac:dyDescent="0.3">
      <c r="B243" s="16" t="s">
        <v>970</v>
      </c>
      <c r="C243" s="16" t="s">
        <v>594</v>
      </c>
      <c r="F243" s="14">
        <f>IF(COUNTIF('Claude vs tools'!$K$2:$P$139,B243)&gt;0,1,0)</f>
        <v>0</v>
      </c>
      <c r="G243" s="14">
        <f>IF(COUNTIF('Claude vs tools'!$K$2:$P$139,C243)&gt;0,1,0)</f>
        <v>0</v>
      </c>
    </row>
    <row r="244" spans="2:7" x14ac:dyDescent="0.3">
      <c r="B244" s="16" t="s">
        <v>972</v>
      </c>
      <c r="C244" s="16" t="s">
        <v>1485</v>
      </c>
      <c r="F244" s="14">
        <f>IF(COUNTIF('Claude vs tools'!$K$2:$P$139,B244)&gt;0,1,0)</f>
        <v>0</v>
      </c>
      <c r="G244" s="14">
        <f>IF(COUNTIF('Claude vs tools'!$K$2:$P$139,C244)&gt;0,1,0)</f>
        <v>0</v>
      </c>
    </row>
    <row r="245" spans="2:7" x14ac:dyDescent="0.3">
      <c r="B245" s="16" t="s">
        <v>979</v>
      </c>
      <c r="C245" s="16" t="s">
        <v>505</v>
      </c>
      <c r="F245" s="14">
        <f>IF(COUNTIF('Claude vs tools'!$K$2:$P$139,B245)&gt;0,1,0)</f>
        <v>0</v>
      </c>
      <c r="G245" s="14">
        <f>IF(COUNTIF('Claude vs tools'!$K$2:$P$139,C245)&gt;0,1,0)</f>
        <v>1</v>
      </c>
    </row>
    <row r="246" spans="2:7" x14ac:dyDescent="0.3">
      <c r="B246" s="16" t="s">
        <v>980</v>
      </c>
      <c r="C246" s="16" t="s">
        <v>1279</v>
      </c>
      <c r="F246" s="14">
        <f>IF(COUNTIF('Claude vs tools'!$K$2:$P$139,B246)&gt;0,1,0)</f>
        <v>0</v>
      </c>
      <c r="G246" s="14">
        <f>IF(COUNTIF('Claude vs tools'!$K$2:$P$139,C246)&gt;0,1,0)</f>
        <v>0</v>
      </c>
    </row>
    <row r="247" spans="2:7" x14ac:dyDescent="0.3">
      <c r="B247" s="16" t="s">
        <v>981</v>
      </c>
      <c r="C247" s="16" t="s">
        <v>506</v>
      </c>
      <c r="F247" s="14">
        <f>IF(COUNTIF('Claude vs tools'!$K$2:$P$139,B247)&gt;0,1,0)</f>
        <v>0</v>
      </c>
      <c r="G247" s="14">
        <f>IF(COUNTIF('Claude vs tools'!$K$2:$P$139,C247)&gt;0,1,0)</f>
        <v>1</v>
      </c>
    </row>
    <row r="248" spans="2:7" x14ac:dyDescent="0.3">
      <c r="B248" s="16" t="s">
        <v>323</v>
      </c>
      <c r="C248" s="16" t="s">
        <v>596</v>
      </c>
      <c r="F248" s="14">
        <f>IF(COUNTIF('Claude vs tools'!$K$2:$P$139,B248)&gt;0,1,0)</f>
        <v>1</v>
      </c>
      <c r="G248" s="14">
        <f>IF(COUNTIF('Claude vs tools'!$K$2:$P$139,C248)&gt;0,1,0)</f>
        <v>0</v>
      </c>
    </row>
    <row r="249" spans="2:7" x14ac:dyDescent="0.3">
      <c r="B249" s="16" t="s">
        <v>982</v>
      </c>
      <c r="C249" s="16" t="s">
        <v>186</v>
      </c>
      <c r="F249" s="14">
        <f>IF(COUNTIF('Claude vs tools'!$K$2:$P$139,B249)&gt;0,1,0)</f>
        <v>0</v>
      </c>
      <c r="G249" s="14">
        <f>IF(COUNTIF('Claude vs tools'!$K$2:$P$139,C249)&gt;0,1,0)</f>
        <v>1</v>
      </c>
    </row>
    <row r="250" spans="2:7" x14ac:dyDescent="0.3">
      <c r="B250" s="16" t="s">
        <v>984</v>
      </c>
      <c r="C250" s="16" t="s">
        <v>1284</v>
      </c>
      <c r="F250" s="14">
        <f>IF(COUNTIF('Claude vs tools'!$K$2:$P$139,B250)&gt;0,1,0)</f>
        <v>0</v>
      </c>
      <c r="G250" s="14">
        <f>IF(COUNTIF('Claude vs tools'!$K$2:$P$139,C250)&gt;0,1,0)</f>
        <v>0</v>
      </c>
    </row>
    <row r="251" spans="2:7" x14ac:dyDescent="0.3">
      <c r="B251" s="16" t="s">
        <v>985</v>
      </c>
      <c r="C251" s="16" t="s">
        <v>764</v>
      </c>
      <c r="F251" s="14">
        <f>IF(COUNTIF('Claude vs tools'!$K$2:$P$139,B251)&gt;0,1,0)</f>
        <v>0</v>
      </c>
      <c r="G251" s="14">
        <f>IF(COUNTIF('Claude vs tools'!$K$2:$P$139,C251)&gt;0,1,0)</f>
        <v>0</v>
      </c>
    </row>
    <row r="252" spans="2:7" x14ac:dyDescent="0.3">
      <c r="B252" s="16" t="s">
        <v>661</v>
      </c>
      <c r="C252" s="16" t="s">
        <v>597</v>
      </c>
      <c r="F252" s="14">
        <f>IF(COUNTIF('Claude vs tools'!$K$2:$P$139,B252)&gt;0,1,0)</f>
        <v>0</v>
      </c>
      <c r="G252" s="14">
        <f>IF(COUNTIF('Claude vs tools'!$K$2:$P$139,C252)&gt;0,1,0)</f>
        <v>0</v>
      </c>
    </row>
    <row r="253" spans="2:7" x14ac:dyDescent="0.3">
      <c r="B253" s="16" t="s">
        <v>579</v>
      </c>
      <c r="C253" s="16" t="s">
        <v>769</v>
      </c>
      <c r="F253" s="14">
        <f>IF(COUNTIF('Claude vs tools'!$K$2:$P$139,B253)&gt;0,1,0)</f>
        <v>0</v>
      </c>
      <c r="G253" s="14">
        <f>IF(COUNTIF('Claude vs tools'!$K$2:$P$139,C253)&gt;0,1,0)</f>
        <v>0</v>
      </c>
    </row>
    <row r="254" spans="2:7" x14ac:dyDescent="0.3">
      <c r="B254" s="16" t="s">
        <v>986</v>
      </c>
      <c r="C254" s="16" t="s">
        <v>770</v>
      </c>
      <c r="F254" s="14">
        <f>IF(COUNTIF('Claude vs tools'!$K$2:$P$139,B254)&gt;0,1,0)</f>
        <v>0</v>
      </c>
      <c r="G254" s="14">
        <f>IF(COUNTIF('Claude vs tools'!$K$2:$P$139,C254)&gt;0,1,0)</f>
        <v>0</v>
      </c>
    </row>
    <row r="255" spans="2:7" x14ac:dyDescent="0.3">
      <c r="B255" s="16" t="s">
        <v>663</v>
      </c>
      <c r="C255" s="16" t="s">
        <v>771</v>
      </c>
      <c r="F255" s="14">
        <f>IF(COUNTIF('Claude vs tools'!$K$2:$P$139,B255)&gt;0,1,0)</f>
        <v>0</v>
      </c>
      <c r="G255" s="14">
        <f>IF(COUNTIF('Claude vs tools'!$K$2:$P$139,C255)&gt;0,1,0)</f>
        <v>0</v>
      </c>
    </row>
    <row r="256" spans="2:7" x14ac:dyDescent="0.3">
      <c r="B256" s="16" t="s">
        <v>353</v>
      </c>
      <c r="C256" s="16" t="s">
        <v>1296</v>
      </c>
      <c r="F256" s="14">
        <f>IF(COUNTIF('Claude vs tools'!$K$2:$P$139,B256)&gt;0,1,0)</f>
        <v>1</v>
      </c>
      <c r="G256" s="14">
        <f>IF(COUNTIF('Claude vs tools'!$K$2:$P$139,C256)&gt;0,1,0)</f>
        <v>0</v>
      </c>
    </row>
    <row r="257" spans="2:7" x14ac:dyDescent="0.3">
      <c r="B257" s="16" t="s">
        <v>664</v>
      </c>
      <c r="C257" s="16" t="s">
        <v>772</v>
      </c>
      <c r="F257" s="14">
        <f>IF(COUNTIF('Claude vs tools'!$K$2:$P$139,B257)&gt;0,1,0)</f>
        <v>0</v>
      </c>
      <c r="G257" s="14">
        <f>IF(COUNTIF('Claude vs tools'!$K$2:$P$139,C257)&gt;0,1,0)</f>
        <v>0</v>
      </c>
    </row>
    <row r="258" spans="2:7" x14ac:dyDescent="0.3">
      <c r="B258" s="16" t="s">
        <v>987</v>
      </c>
      <c r="C258" s="16" t="s">
        <v>1304</v>
      </c>
      <c r="F258" s="14">
        <f>IF(COUNTIF('Claude vs tools'!$K$2:$P$139,B258)&gt;0,1,0)</f>
        <v>0</v>
      </c>
      <c r="G258" s="14">
        <f>IF(COUNTIF('Claude vs tools'!$K$2:$P$139,C258)&gt;0,1,0)</f>
        <v>0</v>
      </c>
    </row>
    <row r="259" spans="2:7" x14ac:dyDescent="0.3">
      <c r="B259" s="16" t="s">
        <v>488</v>
      </c>
      <c r="C259" s="16" t="s">
        <v>144</v>
      </c>
      <c r="F259" s="14">
        <f>IF(COUNTIF('Claude vs tools'!$K$2:$P$139,B259)&gt;0,1,0)</f>
        <v>1</v>
      </c>
      <c r="G259" s="14">
        <f>IF(COUNTIF('Claude vs tools'!$K$2:$P$139,C259)&gt;0,1,0)</f>
        <v>1</v>
      </c>
    </row>
    <row r="260" spans="2:7" x14ac:dyDescent="0.3">
      <c r="B260" s="16" t="s">
        <v>487</v>
      </c>
      <c r="C260" s="16" t="s">
        <v>778</v>
      </c>
      <c r="F260" s="14">
        <f>IF(COUNTIF('Claude vs tools'!$K$2:$P$139,B260)&gt;0,1,0)</f>
        <v>1</v>
      </c>
      <c r="G260" s="14">
        <f>IF(COUNTIF('Claude vs tools'!$K$2:$P$139,C260)&gt;0,1,0)</f>
        <v>0</v>
      </c>
    </row>
    <row r="261" spans="2:7" x14ac:dyDescent="0.3">
      <c r="B261" s="16" t="s">
        <v>989</v>
      </c>
      <c r="C261" s="16" t="s">
        <v>1306</v>
      </c>
      <c r="F261" s="14">
        <f>IF(COUNTIF('Claude vs tools'!$K$2:$P$139,B261)&gt;0,1,0)</f>
        <v>0</v>
      </c>
      <c r="G261" s="14">
        <f>IF(COUNTIF('Claude vs tools'!$K$2:$P$139,C261)&gt;0,1,0)</f>
        <v>0</v>
      </c>
    </row>
    <row r="262" spans="2:7" x14ac:dyDescent="0.3">
      <c r="B262" s="16" t="s">
        <v>168</v>
      </c>
      <c r="C262" s="16" t="s">
        <v>2266</v>
      </c>
      <c r="F262" s="14">
        <f>IF(COUNTIF('Claude vs tools'!$K$2:$P$139,B262)&gt;0,1,0)</f>
        <v>1</v>
      </c>
      <c r="G262" s="14">
        <f>IF(COUNTIF('Claude vs tools'!$K$2:$P$139,C262)&gt;0,1,0)</f>
        <v>0</v>
      </c>
    </row>
    <row r="263" spans="2:7" x14ac:dyDescent="0.3">
      <c r="B263" s="16" t="s">
        <v>250</v>
      </c>
      <c r="C263" s="16" t="s">
        <v>1326</v>
      </c>
      <c r="F263" s="14">
        <f>IF(COUNTIF('Claude vs tools'!$K$2:$P$139,B263)&gt;0,1,0)</f>
        <v>1</v>
      </c>
      <c r="G263" s="14">
        <f>IF(COUNTIF('Claude vs tools'!$K$2:$P$139,C263)&gt;0,1,0)</f>
        <v>0</v>
      </c>
    </row>
    <row r="264" spans="2:7" x14ac:dyDescent="0.3">
      <c r="B264" s="16" t="s">
        <v>394</v>
      </c>
      <c r="C264" s="16" t="s">
        <v>42</v>
      </c>
      <c r="F264" s="14">
        <f>IF(COUNTIF('Claude vs tools'!$K$2:$P$139,B264)&gt;0,1,0)</f>
        <v>1</v>
      </c>
      <c r="G264" s="14">
        <f>IF(COUNTIF('Claude vs tools'!$K$2:$P$139,C264)&gt;0,1,0)</f>
        <v>1</v>
      </c>
    </row>
    <row r="265" spans="2:7" x14ac:dyDescent="0.3">
      <c r="B265" s="16" t="s">
        <v>484</v>
      </c>
      <c r="C265" s="16" t="s">
        <v>41</v>
      </c>
      <c r="F265" s="14">
        <f>IF(COUNTIF('Claude vs tools'!$K$2:$P$139,B265)&gt;0,1,0)</f>
        <v>1</v>
      </c>
      <c r="G265" s="14">
        <f>IF(COUNTIF('Claude vs tools'!$K$2:$P$139,C265)&gt;0,1,0)</f>
        <v>1</v>
      </c>
    </row>
    <row r="266" spans="2:7" x14ac:dyDescent="0.3">
      <c r="B266" s="16" t="s">
        <v>996</v>
      </c>
      <c r="C266" s="16" t="s">
        <v>780</v>
      </c>
      <c r="F266" s="14">
        <f>IF(COUNTIF('Claude vs tools'!$K$2:$P$139,B266)&gt;0,1,0)</f>
        <v>0</v>
      </c>
      <c r="G266" s="14">
        <f>IF(COUNTIF('Claude vs tools'!$K$2:$P$139,C266)&gt;0,1,0)</f>
        <v>0</v>
      </c>
    </row>
    <row r="267" spans="2:7" x14ac:dyDescent="0.3">
      <c r="B267" s="16" t="s">
        <v>500</v>
      </c>
      <c r="C267" s="16" t="s">
        <v>781</v>
      </c>
      <c r="F267" s="14">
        <f>IF(COUNTIF('Claude vs tools'!$K$2:$P$139,B267)&gt;0,1,0)</f>
        <v>1</v>
      </c>
      <c r="G267" s="14">
        <f>IF(COUNTIF('Claude vs tools'!$K$2:$P$139,C267)&gt;0,1,0)</f>
        <v>0</v>
      </c>
    </row>
    <row r="268" spans="2:7" x14ac:dyDescent="0.3">
      <c r="B268" s="16" t="s">
        <v>511</v>
      </c>
      <c r="C268" s="16" t="s">
        <v>789</v>
      </c>
      <c r="F268" s="14">
        <f>IF(COUNTIF('Claude vs tools'!$K$2:$P$139,B268)&gt;0,1,0)</f>
        <v>1</v>
      </c>
      <c r="G268" s="14">
        <f>IF(COUNTIF('Claude vs tools'!$K$2:$P$139,C268)&gt;0,1,0)</f>
        <v>0</v>
      </c>
    </row>
    <row r="269" spans="2:7" x14ac:dyDescent="0.3">
      <c r="B269" s="16" t="s">
        <v>666</v>
      </c>
      <c r="C269" s="16" t="s">
        <v>790</v>
      </c>
      <c r="F269" s="14">
        <f>IF(COUNTIF('Claude vs tools'!$K$2:$P$139,B269)&gt;0,1,0)</f>
        <v>0</v>
      </c>
      <c r="G269" s="14">
        <f>IF(COUNTIF('Claude vs tools'!$K$2:$P$139,C269)&gt;0,1,0)</f>
        <v>0</v>
      </c>
    </row>
    <row r="270" spans="2:7" x14ac:dyDescent="0.3">
      <c r="B270" s="16" t="s">
        <v>1000</v>
      </c>
      <c r="C270" s="16" t="s">
        <v>791</v>
      </c>
      <c r="F270" s="14">
        <f>IF(COUNTIF('Claude vs tools'!$K$2:$P$139,B270)&gt;0,1,0)</f>
        <v>0</v>
      </c>
      <c r="G270" s="14">
        <f>IF(COUNTIF('Claude vs tools'!$K$2:$P$139,C270)&gt;0,1,0)</f>
        <v>0</v>
      </c>
    </row>
    <row r="271" spans="2:7" x14ac:dyDescent="0.3">
      <c r="B271" s="16" t="s">
        <v>1001</v>
      </c>
      <c r="C271" s="16" t="s">
        <v>1355</v>
      </c>
      <c r="F271" s="14">
        <f>IF(COUNTIF('Claude vs tools'!$K$2:$P$139,B271)&gt;0,1,0)</f>
        <v>0</v>
      </c>
      <c r="G271" s="14">
        <f>IF(COUNTIF('Claude vs tools'!$K$2:$P$139,C271)&gt;0,1,0)</f>
        <v>0</v>
      </c>
    </row>
    <row r="272" spans="2:7" x14ac:dyDescent="0.3">
      <c r="B272" s="16" t="s">
        <v>1002</v>
      </c>
      <c r="C272" s="16" t="s">
        <v>314</v>
      </c>
      <c r="F272" s="14">
        <f>IF(COUNTIF('Claude vs tools'!$K$2:$P$139,B272)&gt;0,1,0)</f>
        <v>0</v>
      </c>
      <c r="G272" s="14">
        <f>IF(COUNTIF('Claude vs tools'!$K$2:$P$139,C272)&gt;0,1,0)</f>
        <v>1</v>
      </c>
    </row>
    <row r="273" spans="2:7" x14ac:dyDescent="0.3">
      <c r="B273" s="16" t="s">
        <v>208</v>
      </c>
      <c r="C273" s="16" t="s">
        <v>301</v>
      </c>
      <c r="F273" s="14">
        <f>IF(COUNTIF('Claude vs tools'!$K$2:$P$139,B273)&gt;0,1,0)</f>
        <v>1</v>
      </c>
      <c r="G273" s="14">
        <f>IF(COUNTIF('Claude vs tools'!$K$2:$P$139,C273)&gt;0,1,0)</f>
        <v>1</v>
      </c>
    </row>
    <row r="274" spans="2:7" x14ac:dyDescent="0.3">
      <c r="B274" s="16" t="s">
        <v>667</v>
      </c>
      <c r="C274" s="16" t="s">
        <v>792</v>
      </c>
      <c r="F274" s="14">
        <f>IF(COUNTIF('Claude vs tools'!$K$2:$P$139,B274)&gt;0,1,0)</f>
        <v>0</v>
      </c>
      <c r="G274" s="14">
        <f>IF(COUNTIF('Claude vs tools'!$K$2:$P$139,C274)&gt;0,1,0)</f>
        <v>0</v>
      </c>
    </row>
    <row r="275" spans="2:7" x14ac:dyDescent="0.3">
      <c r="B275" s="16" t="s">
        <v>372</v>
      </c>
      <c r="C275" s="16" t="s">
        <v>793</v>
      </c>
      <c r="F275" s="14">
        <f>IF(COUNTIF('Claude vs tools'!$K$2:$P$139,B275)&gt;0,1,0)</f>
        <v>1</v>
      </c>
      <c r="G275" s="14">
        <f>IF(COUNTIF('Claude vs tools'!$K$2:$P$139,C275)&gt;0,1,0)</f>
        <v>0</v>
      </c>
    </row>
    <row r="276" spans="2:7" x14ac:dyDescent="0.3">
      <c r="B276" s="16" t="s">
        <v>1004</v>
      </c>
      <c r="C276" s="16" t="s">
        <v>313</v>
      </c>
      <c r="F276" s="14">
        <f>IF(COUNTIF('Claude vs tools'!$K$2:$P$139,B276)&gt;0,1,0)</f>
        <v>0</v>
      </c>
      <c r="G276" s="14">
        <f>IF(COUNTIF('Claude vs tools'!$K$2:$P$139,C276)&gt;0,1,0)</f>
        <v>1</v>
      </c>
    </row>
    <row r="277" spans="2:7" x14ac:dyDescent="0.3">
      <c r="B277" s="16" t="s">
        <v>539</v>
      </c>
      <c r="C277" s="16" t="s">
        <v>601</v>
      </c>
      <c r="F277" s="14">
        <f>IF(COUNTIF('Claude vs tools'!$K$2:$P$139,B277)&gt;0,1,0)</f>
        <v>1</v>
      </c>
      <c r="G277" s="14">
        <f>IF(COUNTIF('Claude vs tools'!$K$2:$P$139,C277)&gt;0,1,0)</f>
        <v>0</v>
      </c>
    </row>
    <row r="278" spans="2:7" x14ac:dyDescent="0.3">
      <c r="B278" s="16" t="s">
        <v>1005</v>
      </c>
      <c r="C278" s="16" t="s">
        <v>472</v>
      </c>
      <c r="F278" s="14">
        <f>IF(COUNTIF('Claude vs tools'!$K$2:$P$139,B278)&gt;0,1,0)</f>
        <v>0</v>
      </c>
      <c r="G278" s="14">
        <f>IF(COUNTIF('Claude vs tools'!$K$2:$P$139,C278)&gt;0,1,0)</f>
        <v>1</v>
      </c>
    </row>
    <row r="279" spans="2:7" x14ac:dyDescent="0.3">
      <c r="B279" s="16" t="s">
        <v>1006</v>
      </c>
      <c r="C279" s="16" t="s">
        <v>805</v>
      </c>
      <c r="F279" s="14">
        <f>IF(COUNTIF('Claude vs tools'!$K$2:$P$139,B279)&gt;0,1,0)</f>
        <v>0</v>
      </c>
      <c r="G279" s="14">
        <f>IF(COUNTIF('Claude vs tools'!$K$2:$P$139,C279)&gt;0,1,0)</f>
        <v>0</v>
      </c>
    </row>
    <row r="280" spans="2:7" x14ac:dyDescent="0.3">
      <c r="B280" s="16" t="s">
        <v>1007</v>
      </c>
      <c r="C280" s="16" t="s">
        <v>811</v>
      </c>
      <c r="F280" s="14">
        <f>IF(COUNTIF('Claude vs tools'!$K$2:$P$139,B280)&gt;0,1,0)</f>
        <v>0</v>
      </c>
      <c r="G280" s="14">
        <f>IF(COUNTIF('Claude vs tools'!$K$2:$P$139,C280)&gt;0,1,0)</f>
        <v>0</v>
      </c>
    </row>
    <row r="281" spans="2:7" x14ac:dyDescent="0.3">
      <c r="B281" s="16" t="s">
        <v>580</v>
      </c>
      <c r="C281" s="16" t="s">
        <v>565</v>
      </c>
      <c r="F281" s="14">
        <f>IF(COUNTIF('Claude vs tools'!$K$2:$P$139,B281)&gt;0,1,0)</f>
        <v>0</v>
      </c>
      <c r="G281" s="14">
        <f>IF(COUNTIF('Claude vs tools'!$K$2:$P$139,C281)&gt;0,1,0)</f>
        <v>0</v>
      </c>
    </row>
    <row r="282" spans="2:7" x14ac:dyDescent="0.3">
      <c r="B282" s="16" t="s">
        <v>1011</v>
      </c>
      <c r="C282" s="16" t="s">
        <v>816</v>
      </c>
      <c r="F282" s="14">
        <f>IF(COUNTIF('Claude vs tools'!$K$2:$P$139,B282)&gt;0,1,0)</f>
        <v>0</v>
      </c>
      <c r="G282" s="14">
        <f>IF(COUNTIF('Claude vs tools'!$K$2:$P$139,C282)&gt;0,1,0)</f>
        <v>0</v>
      </c>
    </row>
    <row r="283" spans="2:7" x14ac:dyDescent="0.3">
      <c r="B283" s="16" t="s">
        <v>1013</v>
      </c>
      <c r="C283" s="16" t="s">
        <v>824</v>
      </c>
      <c r="F283" s="14">
        <f>IF(COUNTIF('Claude vs tools'!$K$2:$P$139,B283)&gt;0,1,0)</f>
        <v>0</v>
      </c>
      <c r="G283" s="14">
        <f>IF(COUNTIF('Claude vs tools'!$K$2:$P$139,C283)&gt;0,1,0)</f>
        <v>0</v>
      </c>
    </row>
    <row r="284" spans="2:7" x14ac:dyDescent="0.3">
      <c r="B284" s="16" t="s">
        <v>374</v>
      </c>
      <c r="C284" s="16" t="s">
        <v>605</v>
      </c>
      <c r="F284" s="14">
        <f>IF(COUNTIF('Claude vs tools'!$K$2:$P$139,B284)&gt;0,1,0)</f>
        <v>1</v>
      </c>
      <c r="G284" s="14">
        <f>IF(COUNTIF('Claude vs tools'!$K$2:$P$139,C284)&gt;0,1,0)</f>
        <v>0</v>
      </c>
    </row>
    <row r="285" spans="2:7" x14ac:dyDescent="0.3">
      <c r="B285" s="16" t="s">
        <v>581</v>
      </c>
      <c r="C285" s="16" t="s">
        <v>155</v>
      </c>
      <c r="F285" s="14">
        <f>IF(COUNTIF('Claude vs tools'!$K$2:$P$139,B285)&gt;0,1,0)</f>
        <v>0</v>
      </c>
      <c r="G285" s="14">
        <f>IF(COUNTIF('Claude vs tools'!$K$2:$P$139,C285)&gt;0,1,0)</f>
        <v>1</v>
      </c>
    </row>
    <row r="286" spans="2:7" x14ac:dyDescent="0.3">
      <c r="B286" s="16" t="s">
        <v>1014</v>
      </c>
      <c r="C286" s="16" t="s">
        <v>2272</v>
      </c>
      <c r="F286" s="14">
        <f>IF(COUNTIF('Claude vs tools'!$K$2:$P$139,B286)&gt;0,1,0)</f>
        <v>0</v>
      </c>
      <c r="G286" s="14">
        <f>IF(COUNTIF('Claude vs tools'!$K$2:$P$139,C286)&gt;0,1,0)</f>
        <v>0</v>
      </c>
    </row>
    <row r="287" spans="2:7" x14ac:dyDescent="0.3">
      <c r="B287" s="16" t="s">
        <v>1015</v>
      </c>
      <c r="C287" s="16" t="s">
        <v>83</v>
      </c>
      <c r="F287" s="14">
        <f>IF(COUNTIF('Claude vs tools'!$K$2:$P$139,B287)&gt;0,1,0)</f>
        <v>0</v>
      </c>
      <c r="G287" s="14">
        <f>IF(COUNTIF('Claude vs tools'!$K$2:$P$139,C287)&gt;0,1,0)</f>
        <v>1</v>
      </c>
    </row>
    <row r="288" spans="2:7" x14ac:dyDescent="0.3">
      <c r="B288" s="16" t="s">
        <v>1019</v>
      </c>
      <c r="C288" s="16" t="s">
        <v>607</v>
      </c>
      <c r="F288" s="14">
        <f>IF(COUNTIF('Claude vs tools'!$K$2:$P$139,B288)&gt;0,1,0)</f>
        <v>0</v>
      </c>
      <c r="G288" s="14">
        <f>IF(COUNTIF('Claude vs tools'!$K$2:$P$139,C288)&gt;0,1,0)</f>
        <v>0</v>
      </c>
    </row>
    <row r="289" spans="2:7" x14ac:dyDescent="0.3">
      <c r="B289" s="16" t="s">
        <v>215</v>
      </c>
      <c r="C289" s="16" t="s">
        <v>608</v>
      </c>
      <c r="F289" s="14">
        <f>IF(COUNTIF('Claude vs tools'!$K$2:$P$139,B289)&gt;0,1,0)</f>
        <v>1</v>
      </c>
      <c r="G289" s="14">
        <f>IF(COUNTIF('Claude vs tools'!$K$2:$P$139,C289)&gt;0,1,0)</f>
        <v>0</v>
      </c>
    </row>
    <row r="290" spans="2:7" x14ac:dyDescent="0.3">
      <c r="B290" s="16" t="s">
        <v>672</v>
      </c>
      <c r="C290" s="16" t="s">
        <v>2267</v>
      </c>
      <c r="F290" s="14">
        <f>IF(COUNTIF('Claude vs tools'!$K$2:$P$139,B290)&gt;0,1,0)</f>
        <v>0</v>
      </c>
      <c r="G290" s="14">
        <f>IF(COUNTIF('Claude vs tools'!$K$2:$P$139,C290)&gt;0,1,0)</f>
        <v>0</v>
      </c>
    </row>
    <row r="291" spans="2:7" x14ac:dyDescent="0.3">
      <c r="B291" s="16" t="s">
        <v>1021</v>
      </c>
      <c r="C291" s="16" t="s">
        <v>839</v>
      </c>
      <c r="F291" s="14">
        <f>IF(COUNTIF('Claude vs tools'!$K$2:$P$139,B291)&gt;0,1,0)</f>
        <v>0</v>
      </c>
      <c r="G291" s="14">
        <f>IF(COUNTIF('Claude vs tools'!$K$2:$P$139,C291)&gt;0,1,0)</f>
        <v>0</v>
      </c>
    </row>
    <row r="292" spans="2:7" x14ac:dyDescent="0.3">
      <c r="B292" s="16" t="s">
        <v>1022</v>
      </c>
      <c r="C292" s="16" t="s">
        <v>841</v>
      </c>
      <c r="F292" s="14">
        <f>IF(COUNTIF('Claude vs tools'!$K$2:$P$139,B292)&gt;0,1,0)</f>
        <v>0</v>
      </c>
      <c r="G292" s="14">
        <f>IF(COUNTIF('Claude vs tools'!$K$2:$P$139,C292)&gt;0,1,0)</f>
        <v>0</v>
      </c>
    </row>
    <row r="293" spans="2:7" x14ac:dyDescent="0.3">
      <c r="B293" s="16" t="s">
        <v>376</v>
      </c>
      <c r="C293" s="16" t="s">
        <v>842</v>
      </c>
      <c r="F293" s="14">
        <f>IF(COUNTIF('Claude vs tools'!$K$2:$P$139,B293)&gt;0,1,0)</f>
        <v>1</v>
      </c>
      <c r="G293" s="14">
        <f>IF(COUNTIF('Claude vs tools'!$K$2:$P$139,C293)&gt;0,1,0)</f>
        <v>0</v>
      </c>
    </row>
    <row r="294" spans="2:7" x14ac:dyDescent="0.3">
      <c r="B294" s="16" t="s">
        <v>1023</v>
      </c>
      <c r="C294" s="16" t="s">
        <v>843</v>
      </c>
      <c r="F294" s="14">
        <f>IF(COUNTIF('Claude vs tools'!$K$2:$P$139,B294)&gt;0,1,0)</f>
        <v>0</v>
      </c>
      <c r="G294" s="14">
        <f>IF(COUNTIF('Claude vs tools'!$K$2:$P$139,C294)&gt;0,1,0)</f>
        <v>0</v>
      </c>
    </row>
    <row r="295" spans="2:7" x14ac:dyDescent="0.3">
      <c r="B295" s="16" t="s">
        <v>1025</v>
      </c>
      <c r="C295" s="16" t="s">
        <v>845</v>
      </c>
      <c r="F295" s="14">
        <f>IF(COUNTIF('Claude vs tools'!$K$2:$P$139,B295)&gt;0,1,0)</f>
        <v>0</v>
      </c>
      <c r="G295" s="14">
        <f>IF(COUNTIF('Claude vs tools'!$K$2:$P$139,C295)&gt;0,1,0)</f>
        <v>0</v>
      </c>
    </row>
    <row r="296" spans="2:7" x14ac:dyDescent="0.3">
      <c r="B296" s="16" t="s">
        <v>1026</v>
      </c>
      <c r="C296" s="16" t="s">
        <v>611</v>
      </c>
      <c r="F296" s="14">
        <f>IF(COUNTIF('Claude vs tools'!$K$2:$P$139,B296)&gt;0,1,0)</f>
        <v>0</v>
      </c>
      <c r="G296" s="14">
        <f>IF(COUNTIF('Claude vs tools'!$K$2:$P$139,C296)&gt;0,1,0)</f>
        <v>0</v>
      </c>
    </row>
    <row r="297" spans="2:7" x14ac:dyDescent="0.3">
      <c r="B297" s="16" t="s">
        <v>129</v>
      </c>
      <c r="C297" s="16" t="s">
        <v>846</v>
      </c>
      <c r="F297" s="14">
        <f>IF(COUNTIF('Claude vs tools'!$K$2:$P$139,B297)&gt;0,1,0)</f>
        <v>1</v>
      </c>
      <c r="G297" s="14">
        <f>IF(COUNTIF('Claude vs tools'!$K$2:$P$139,C297)&gt;0,1,0)</f>
        <v>0</v>
      </c>
    </row>
    <row r="298" spans="2:7" x14ac:dyDescent="0.3">
      <c r="B298" s="16" t="s">
        <v>1029</v>
      </c>
      <c r="C298" s="16" t="s">
        <v>847</v>
      </c>
      <c r="F298" s="14">
        <f>IF(COUNTIF('Claude vs tools'!$K$2:$P$139,B298)&gt;0,1,0)</f>
        <v>0</v>
      </c>
      <c r="G298" s="14">
        <f>IF(COUNTIF('Claude vs tools'!$K$2:$P$139,C298)&gt;0,1,0)</f>
        <v>0</v>
      </c>
    </row>
    <row r="299" spans="2:7" x14ac:dyDescent="0.3">
      <c r="B299" s="16" t="s">
        <v>675</v>
      </c>
      <c r="C299" s="16" t="s">
        <v>850</v>
      </c>
      <c r="F299" s="14">
        <f>IF(COUNTIF('Claude vs tools'!$K$2:$P$139,B299)&gt;0,1,0)</f>
        <v>0</v>
      </c>
      <c r="G299" s="14">
        <f>IF(COUNTIF('Claude vs tools'!$K$2:$P$139,C299)&gt;0,1,0)</f>
        <v>0</v>
      </c>
    </row>
    <row r="300" spans="2:7" x14ac:dyDescent="0.3">
      <c r="B300" s="16" t="s">
        <v>1031</v>
      </c>
      <c r="C300" s="16" t="s">
        <v>72</v>
      </c>
      <c r="F300" s="14">
        <f>IF(COUNTIF('Claude vs tools'!$K$2:$P$139,B300)&gt;0,1,0)</f>
        <v>0</v>
      </c>
      <c r="G300" s="14">
        <f>IF(COUNTIF('Claude vs tools'!$K$2:$P$139,C300)&gt;0,1,0)</f>
        <v>1</v>
      </c>
    </row>
    <row r="301" spans="2:7" x14ac:dyDescent="0.3">
      <c r="B301" s="16" t="s">
        <v>676</v>
      </c>
      <c r="C301" s="16" t="s">
        <v>855</v>
      </c>
      <c r="F301" s="14">
        <f>IF(COUNTIF('Claude vs tools'!$K$2:$P$139,B301)&gt;0,1,0)</f>
        <v>0</v>
      </c>
      <c r="G301" s="14">
        <f>IF(COUNTIF('Claude vs tools'!$K$2:$P$139,C301)&gt;0,1,0)</f>
        <v>0</v>
      </c>
    </row>
    <row r="302" spans="2:7" x14ac:dyDescent="0.3">
      <c r="B302" s="16" t="s">
        <v>1032</v>
      </c>
      <c r="C302" s="16" t="s">
        <v>614</v>
      </c>
      <c r="F302" s="14">
        <f>IF(COUNTIF('Claude vs tools'!$K$2:$P$139,B302)&gt;0,1,0)</f>
        <v>0</v>
      </c>
      <c r="G302" s="14">
        <f>IF(COUNTIF('Claude vs tools'!$K$2:$P$139,C302)&gt;0,1,0)</f>
        <v>0</v>
      </c>
    </row>
    <row r="303" spans="2:7" x14ac:dyDescent="0.3">
      <c r="B303" s="16" t="s">
        <v>1033</v>
      </c>
      <c r="C303" s="16" t="s">
        <v>615</v>
      </c>
      <c r="F303" s="14">
        <f>IF(COUNTIF('Claude vs tools'!$K$2:$P$139,B303)&gt;0,1,0)</f>
        <v>0</v>
      </c>
      <c r="G303" s="14">
        <f>IF(COUNTIF('Claude vs tools'!$K$2:$P$139,C303)&gt;0,1,0)</f>
        <v>0</v>
      </c>
    </row>
    <row r="304" spans="2:7" x14ac:dyDescent="0.3">
      <c r="B304" s="16" t="s">
        <v>1039</v>
      </c>
      <c r="C304" s="16" t="s">
        <v>616</v>
      </c>
      <c r="F304" s="14">
        <f>IF(COUNTIF('Claude vs tools'!$K$2:$P$139,B304)&gt;0,1,0)</f>
        <v>0</v>
      </c>
      <c r="G304" s="14">
        <f>IF(COUNTIF('Claude vs tools'!$K$2:$P$139,C304)&gt;0,1,0)</f>
        <v>0</v>
      </c>
    </row>
    <row r="305" spans="2:7" x14ac:dyDescent="0.3">
      <c r="B305" s="16" t="s">
        <v>1041</v>
      </c>
      <c r="C305" s="16" t="s">
        <v>858</v>
      </c>
      <c r="F305" s="14">
        <f>IF(COUNTIF('Claude vs tools'!$K$2:$P$139,B305)&gt;0,1,0)</f>
        <v>0</v>
      </c>
      <c r="G305" s="14">
        <f>IF(COUNTIF('Claude vs tools'!$K$2:$P$139,C305)&gt;0,1,0)</f>
        <v>0</v>
      </c>
    </row>
    <row r="306" spans="2:7" x14ac:dyDescent="0.3">
      <c r="B306" s="16" t="s">
        <v>1042</v>
      </c>
      <c r="C306" s="16" t="s">
        <v>617</v>
      </c>
      <c r="F306" s="14">
        <f>IF(COUNTIF('Claude vs tools'!$K$2:$P$139,B306)&gt;0,1,0)</f>
        <v>0</v>
      </c>
      <c r="G306" s="14">
        <f>IF(COUNTIF('Claude vs tools'!$K$2:$P$139,C306)&gt;0,1,0)</f>
        <v>0</v>
      </c>
    </row>
    <row r="307" spans="2:7" x14ac:dyDescent="0.3">
      <c r="B307" s="16" t="s">
        <v>1043</v>
      </c>
      <c r="C307" s="16" t="s">
        <v>618</v>
      </c>
      <c r="F307" s="14">
        <f>IF(COUNTIF('Claude vs tools'!$K$2:$P$139,B307)&gt;0,1,0)</f>
        <v>0</v>
      </c>
      <c r="G307" s="14">
        <f>IF(COUNTIF('Claude vs tools'!$K$2:$P$139,C307)&gt;0,1,0)</f>
        <v>0</v>
      </c>
    </row>
    <row r="308" spans="2:7" x14ac:dyDescent="0.3">
      <c r="B308" s="16" t="s">
        <v>677</v>
      </c>
      <c r="C308" s="16" t="s">
        <v>859</v>
      </c>
      <c r="F308" s="14">
        <f>IF(COUNTIF('Claude vs tools'!$K$2:$P$139,B308)&gt;0,1,0)</f>
        <v>0</v>
      </c>
      <c r="G308" s="14">
        <f>IF(COUNTIF('Claude vs tools'!$K$2:$P$139,C308)&gt;0,1,0)</f>
        <v>0</v>
      </c>
    </row>
    <row r="309" spans="2:7" x14ac:dyDescent="0.3">
      <c r="B309" s="16" t="s">
        <v>1046</v>
      </c>
      <c r="C309" s="16" t="s">
        <v>860</v>
      </c>
      <c r="F309" s="14">
        <f>IF(COUNTIF('Claude vs tools'!$K$2:$P$139,B309)&gt;0,1,0)</f>
        <v>0</v>
      </c>
      <c r="G309" s="14">
        <f>IF(COUNTIF('Claude vs tools'!$K$2:$P$139,C309)&gt;0,1,0)</f>
        <v>0</v>
      </c>
    </row>
    <row r="310" spans="2:7" x14ac:dyDescent="0.3">
      <c r="B310" s="16" t="s">
        <v>1049</v>
      </c>
      <c r="C310" s="16" t="s">
        <v>861</v>
      </c>
      <c r="F310" s="14">
        <f>IF(COUNTIF('Claude vs tools'!$K$2:$P$139,B310)&gt;0,1,0)</f>
        <v>0</v>
      </c>
      <c r="G310" s="14">
        <f>IF(COUNTIF('Claude vs tools'!$K$2:$P$139,C310)&gt;0,1,0)</f>
        <v>0</v>
      </c>
    </row>
    <row r="311" spans="2:7" x14ac:dyDescent="0.3">
      <c r="B311" s="16" t="s">
        <v>680</v>
      </c>
      <c r="C311" s="16" t="s">
        <v>137</v>
      </c>
      <c r="F311" s="14">
        <f>IF(COUNTIF('Claude vs tools'!$K$2:$P$139,B311)&gt;0,1,0)</f>
        <v>0</v>
      </c>
      <c r="G311" s="14">
        <f>IF(COUNTIF('Claude vs tools'!$K$2:$P$139,C311)&gt;0,1,0)</f>
        <v>1</v>
      </c>
    </row>
    <row r="312" spans="2:7" x14ac:dyDescent="0.3">
      <c r="B312" s="16" t="s">
        <v>681</v>
      </c>
      <c r="C312" s="16" t="s">
        <v>2273</v>
      </c>
      <c r="F312" s="14">
        <f>IF(COUNTIF('Claude vs tools'!$K$2:$P$139,B312)&gt;0,1,0)</f>
        <v>0</v>
      </c>
      <c r="G312" s="14">
        <f>IF(COUNTIF('Claude vs tools'!$K$2:$P$139,C312)&gt;0,1,0)</f>
        <v>0</v>
      </c>
    </row>
    <row r="313" spans="2:7" x14ac:dyDescent="0.3">
      <c r="B313" s="16" t="s">
        <v>326</v>
      </c>
      <c r="C313" s="16" t="s">
        <v>868</v>
      </c>
      <c r="F313" s="14">
        <f>IF(COUNTIF('Claude vs tools'!$K$2:$P$139,B313)&gt;0,1,0)</f>
        <v>1</v>
      </c>
      <c r="G313" s="14">
        <f>IF(COUNTIF('Claude vs tools'!$K$2:$P$139,C313)&gt;0,1,0)</f>
        <v>0</v>
      </c>
    </row>
    <row r="314" spans="2:7" x14ac:dyDescent="0.3">
      <c r="B314" s="16" t="s">
        <v>1056</v>
      </c>
      <c r="C314" s="16" t="s">
        <v>456</v>
      </c>
      <c r="F314" s="14">
        <f>IF(COUNTIF('Claude vs tools'!$K$2:$P$139,B314)&gt;0,1,0)</f>
        <v>0</v>
      </c>
      <c r="G314" s="14">
        <f>IF(COUNTIF('Claude vs tools'!$K$2:$P$139,C314)&gt;0,1,0)</f>
        <v>1</v>
      </c>
    </row>
    <row r="315" spans="2:7" x14ac:dyDescent="0.3">
      <c r="B315" s="16" t="s">
        <v>683</v>
      </c>
      <c r="C315" s="16" t="s">
        <v>621</v>
      </c>
      <c r="F315" s="14">
        <f>IF(COUNTIF('Claude vs tools'!$K$2:$P$139,B315)&gt;0,1,0)</f>
        <v>0</v>
      </c>
      <c r="G315" s="14">
        <f>IF(COUNTIF('Claude vs tools'!$K$2:$P$139,C315)&gt;0,1,0)</f>
        <v>0</v>
      </c>
    </row>
    <row r="316" spans="2:7" x14ac:dyDescent="0.3">
      <c r="B316" s="16" t="s">
        <v>583</v>
      </c>
      <c r="C316" s="16" t="s">
        <v>875</v>
      </c>
      <c r="F316" s="14">
        <f>IF(COUNTIF('Claude vs tools'!$K$2:$P$139,B316)&gt;0,1,0)</f>
        <v>0</v>
      </c>
      <c r="G316" s="14">
        <f>IF(COUNTIF('Claude vs tools'!$K$2:$P$139,C316)&gt;0,1,0)</f>
        <v>0</v>
      </c>
    </row>
    <row r="317" spans="2:7" x14ac:dyDescent="0.3">
      <c r="B317" s="16" t="s">
        <v>1057</v>
      </c>
      <c r="C317" s="16" t="s">
        <v>622</v>
      </c>
      <c r="F317" s="14">
        <f>IF(COUNTIF('Claude vs tools'!$K$2:$P$139,B317)&gt;0,1,0)</f>
        <v>0</v>
      </c>
      <c r="G317" s="14">
        <f>IF(COUNTIF('Claude vs tools'!$K$2:$P$139,C317)&gt;0,1,0)</f>
        <v>0</v>
      </c>
    </row>
    <row r="318" spans="2:7" x14ac:dyDescent="0.3">
      <c r="B318" s="16" t="s">
        <v>1060</v>
      </c>
      <c r="C318" s="16" t="s">
        <v>440</v>
      </c>
      <c r="F318" s="14">
        <f>IF(COUNTIF('Claude vs tools'!$K$2:$P$139,B318)&gt;0,1,0)</f>
        <v>0</v>
      </c>
      <c r="G318" s="14">
        <f>IF(COUNTIF('Claude vs tools'!$K$2:$P$139,C318)&gt;0,1,0)</f>
        <v>1</v>
      </c>
    </row>
    <row r="319" spans="2:7" x14ac:dyDescent="0.3">
      <c r="B319" s="16" t="s">
        <v>253</v>
      </c>
      <c r="C319" s="16" t="s">
        <v>624</v>
      </c>
      <c r="F319" s="14">
        <f>IF(COUNTIF('Claude vs tools'!$K$2:$P$139,B319)&gt;0,1,0)</f>
        <v>1</v>
      </c>
      <c r="G319" s="14">
        <f>IF(COUNTIF('Claude vs tools'!$K$2:$P$139,C319)&gt;0,1,0)</f>
        <v>0</v>
      </c>
    </row>
    <row r="320" spans="2:7" x14ac:dyDescent="0.3">
      <c r="B320" s="16" t="s">
        <v>684</v>
      </c>
      <c r="C320" s="16" t="s">
        <v>363</v>
      </c>
      <c r="F320" s="14">
        <f>IF(COUNTIF('Claude vs tools'!$K$2:$P$139,B320)&gt;0,1,0)</f>
        <v>0</v>
      </c>
      <c r="G320" s="14">
        <f>IF(COUNTIF('Claude vs tools'!$K$2:$P$139,C320)&gt;0,1,0)</f>
        <v>1</v>
      </c>
    </row>
    <row r="321" spans="2:7" x14ac:dyDescent="0.3">
      <c r="B321" s="16" t="s">
        <v>685</v>
      </c>
      <c r="C321" s="16" t="s">
        <v>626</v>
      </c>
      <c r="F321" s="14">
        <f>IF(COUNTIF('Claude vs tools'!$K$2:$P$139,B321)&gt;0,1,0)</f>
        <v>0</v>
      </c>
      <c r="G321" s="14">
        <f>IF(COUNTIF('Claude vs tools'!$K$2:$P$139,C321)&gt;0,1,0)</f>
        <v>0</v>
      </c>
    </row>
    <row r="322" spans="2:7" x14ac:dyDescent="0.3">
      <c r="B322" s="16" t="s">
        <v>686</v>
      </c>
      <c r="C322" s="16" t="s">
        <v>627</v>
      </c>
      <c r="F322" s="14">
        <f>IF(COUNTIF('Claude vs tools'!$K$2:$P$139,B322)&gt;0,1,0)</f>
        <v>0</v>
      </c>
      <c r="G322" s="14">
        <f>IF(COUNTIF('Claude vs tools'!$K$2:$P$139,C322)&gt;0,1,0)</f>
        <v>0</v>
      </c>
    </row>
    <row r="323" spans="2:7" x14ac:dyDescent="0.3">
      <c r="B323" s="16" t="s">
        <v>254</v>
      </c>
      <c r="C323" s="16" t="s">
        <v>884</v>
      </c>
      <c r="F323" s="14">
        <f>IF(COUNTIF('Claude vs tools'!$K$2:$P$139,B323)&gt;0,1,0)</f>
        <v>1</v>
      </c>
      <c r="G323" s="14">
        <f>IF(COUNTIF('Claude vs tools'!$K$2:$P$139,C323)&gt;0,1,0)</f>
        <v>0</v>
      </c>
    </row>
    <row r="324" spans="2:7" x14ac:dyDescent="0.3">
      <c r="B324" s="16" t="s">
        <v>344</v>
      </c>
      <c r="C324" s="16" t="s">
        <v>628</v>
      </c>
      <c r="F324" s="14">
        <f>IF(COUNTIF('Claude vs tools'!$K$2:$P$139,B324)&gt;0,1,0)</f>
        <v>1</v>
      </c>
      <c r="G324" s="14">
        <f>IF(COUNTIF('Claude vs tools'!$K$2:$P$139,C324)&gt;0,1,0)</f>
        <v>0</v>
      </c>
    </row>
    <row r="325" spans="2:7" x14ac:dyDescent="0.3">
      <c r="B325" s="16" t="s">
        <v>688</v>
      </c>
      <c r="C325" s="16" t="s">
        <v>280</v>
      </c>
      <c r="F325" s="14">
        <f>IF(COUNTIF('Claude vs tools'!$K$2:$P$139,B325)&gt;0,1,0)</f>
        <v>0</v>
      </c>
      <c r="G325" s="14">
        <f>IF(COUNTIF('Claude vs tools'!$K$2:$P$139,C325)&gt;0,1,0)</f>
        <v>1</v>
      </c>
    </row>
    <row r="326" spans="2:7" x14ac:dyDescent="0.3">
      <c r="B326" s="16" t="s">
        <v>435</v>
      </c>
      <c r="C326" s="16" t="s">
        <v>17</v>
      </c>
      <c r="F326" s="14">
        <f>IF(COUNTIF('Claude vs tools'!$K$2:$P$139,B326)&gt;0,1,0)</f>
        <v>1</v>
      </c>
      <c r="G326" s="14">
        <f>IF(COUNTIF('Claude vs tools'!$K$2:$P$139,C326)&gt;0,1,0)</f>
        <v>1</v>
      </c>
    </row>
    <row r="327" spans="2:7" x14ac:dyDescent="0.3">
      <c r="B327" s="16" t="s">
        <v>444</v>
      </c>
      <c r="C327" s="16" t="s">
        <v>888</v>
      </c>
      <c r="F327" s="14">
        <f>IF(COUNTIF('Claude vs tools'!$K$2:$P$139,B327)&gt;0,1,0)</f>
        <v>1</v>
      </c>
      <c r="G327" s="14">
        <f>IF(COUNTIF('Claude vs tools'!$K$2:$P$139,C327)&gt;0,1,0)</f>
        <v>0</v>
      </c>
    </row>
    <row r="328" spans="2:7" x14ac:dyDescent="0.3">
      <c r="B328" s="16" t="s">
        <v>417</v>
      </c>
      <c r="C328" s="16" t="s">
        <v>455</v>
      </c>
      <c r="F328" s="14">
        <f>IF(COUNTIF('Claude vs tools'!$K$2:$P$139,B328)&gt;0,1,0)</f>
        <v>1</v>
      </c>
      <c r="G328" s="14">
        <f>IF(COUNTIF('Claude vs tools'!$K$2:$P$139,C328)&gt;0,1,0)</f>
        <v>1</v>
      </c>
    </row>
    <row r="329" spans="2:7" x14ac:dyDescent="0.3">
      <c r="B329" s="16" t="s">
        <v>690</v>
      </c>
      <c r="C329" s="16" t="s">
        <v>2269</v>
      </c>
      <c r="F329" s="14">
        <f>IF(COUNTIF('Claude vs tools'!$K$2:$P$139,B329)&gt;0,1,0)</f>
        <v>0</v>
      </c>
      <c r="G329" s="14">
        <f>IF(COUNTIF('Claude vs tools'!$K$2:$P$139,C329)&gt;0,1,0)</f>
        <v>0</v>
      </c>
    </row>
    <row r="330" spans="2:7" x14ac:dyDescent="0.3">
      <c r="B330" s="16" t="s">
        <v>1064</v>
      </c>
      <c r="C330" s="16" t="s">
        <v>894</v>
      </c>
      <c r="F330" s="14">
        <f>IF(COUNTIF('Claude vs tools'!$K$2:$P$139,B330)&gt;0,1,0)</f>
        <v>0</v>
      </c>
      <c r="G330" s="14">
        <f>IF(COUNTIF('Claude vs tools'!$K$2:$P$139,C330)&gt;0,1,0)</f>
        <v>0</v>
      </c>
    </row>
    <row r="331" spans="2:7" x14ac:dyDescent="0.3">
      <c r="B331" s="16" t="s">
        <v>1065</v>
      </c>
      <c r="C331" s="16" t="s">
        <v>899</v>
      </c>
      <c r="F331" s="14">
        <f>IF(COUNTIF('Claude vs tools'!$K$2:$P$139,B331)&gt;0,1,0)</f>
        <v>0</v>
      </c>
      <c r="G331" s="14">
        <f>IF(COUNTIF('Claude vs tools'!$K$2:$P$139,C331)&gt;0,1,0)</f>
        <v>0</v>
      </c>
    </row>
    <row r="332" spans="2:7" x14ac:dyDescent="0.3">
      <c r="B332" s="16" t="s">
        <v>1066</v>
      </c>
      <c r="C332" s="16" t="s">
        <v>901</v>
      </c>
      <c r="F332" s="14">
        <f>IF(COUNTIF('Claude vs tools'!$K$2:$P$139,B332)&gt;0,1,0)</f>
        <v>0</v>
      </c>
      <c r="G332" s="14">
        <f>IF(COUNTIF('Claude vs tools'!$K$2:$P$139,C332)&gt;0,1,0)</f>
        <v>0</v>
      </c>
    </row>
    <row r="333" spans="2:7" x14ac:dyDescent="0.3">
      <c r="B333" s="16" t="s">
        <v>1067</v>
      </c>
      <c r="C333" s="16" t="s">
        <v>902</v>
      </c>
      <c r="F333" s="14">
        <f>IF(COUNTIF('Claude vs tools'!$K$2:$P$139,B333)&gt;0,1,0)</f>
        <v>0</v>
      </c>
      <c r="G333" s="14">
        <f>IF(COUNTIF('Claude vs tools'!$K$2:$P$139,C333)&gt;0,1,0)</f>
        <v>0</v>
      </c>
    </row>
    <row r="334" spans="2:7" x14ac:dyDescent="0.3">
      <c r="B334" s="16" t="s">
        <v>1068</v>
      </c>
      <c r="C334" s="16" t="s">
        <v>357</v>
      </c>
      <c r="F334" s="14">
        <f>IF(COUNTIF('Claude vs tools'!$K$2:$P$139,B334)&gt;0,1,0)</f>
        <v>0</v>
      </c>
      <c r="G334" s="14">
        <f>IF(COUNTIF('Claude vs tools'!$K$2:$P$139,C334)&gt;0,1,0)</f>
        <v>1</v>
      </c>
    </row>
    <row r="335" spans="2:7" x14ac:dyDescent="0.3">
      <c r="B335" s="16" t="s">
        <v>1069</v>
      </c>
      <c r="C335" s="16" t="s">
        <v>910</v>
      </c>
      <c r="F335" s="14">
        <f>IF(COUNTIF('Claude vs tools'!$K$2:$P$139,B335)&gt;0,1,0)</f>
        <v>0</v>
      </c>
      <c r="G335" s="14">
        <f>IF(COUNTIF('Claude vs tools'!$K$2:$P$139,C335)&gt;0,1,0)</f>
        <v>0</v>
      </c>
    </row>
    <row r="336" spans="2:7" x14ac:dyDescent="0.3">
      <c r="B336" s="16" t="s">
        <v>1070</v>
      </c>
      <c r="C336" s="16" t="s">
        <v>1545</v>
      </c>
      <c r="F336" s="14">
        <f>IF(COUNTIF('Claude vs tools'!$K$2:$P$139,B336)&gt;0,1,0)</f>
        <v>0</v>
      </c>
      <c r="G336" s="14">
        <f>IF(COUNTIF('Claude vs tools'!$K$2:$P$139,C336)&gt;0,1,0)</f>
        <v>0</v>
      </c>
    </row>
    <row r="337" spans="2:7" x14ac:dyDescent="0.3">
      <c r="B337" s="16" t="s">
        <v>1071</v>
      </c>
      <c r="C337" s="16" t="s">
        <v>632</v>
      </c>
      <c r="F337" s="14">
        <f>IF(COUNTIF('Claude vs tools'!$K$2:$P$139,B337)&gt;0,1,0)</f>
        <v>0</v>
      </c>
      <c r="G337" s="14">
        <f>IF(COUNTIF('Claude vs tools'!$K$2:$P$139,C337)&gt;0,1,0)</f>
        <v>0</v>
      </c>
    </row>
    <row r="338" spans="2:7" x14ac:dyDescent="0.3">
      <c r="B338" s="16" t="s">
        <v>1072</v>
      </c>
      <c r="C338" s="16" t="s">
        <v>634</v>
      </c>
      <c r="F338" s="14">
        <f>IF(COUNTIF('Claude vs tools'!$K$2:$P$139,B338)&gt;0,1,0)</f>
        <v>0</v>
      </c>
      <c r="G338" s="14">
        <f>IF(COUNTIF('Claude vs tools'!$K$2:$P$139,C338)&gt;0,1,0)</f>
        <v>0</v>
      </c>
    </row>
    <row r="339" spans="2:7" x14ac:dyDescent="0.3">
      <c r="B339" s="16" t="s">
        <v>2274</v>
      </c>
      <c r="C339" s="16" t="s">
        <v>1550</v>
      </c>
      <c r="F339" s="14">
        <f>IF(COUNTIF('Claude vs tools'!$K$2:$P$139,B339)&gt;0,1,0)</f>
        <v>0</v>
      </c>
      <c r="G339" s="14">
        <f>IF(COUNTIF('Claude vs tools'!$K$2:$P$139,C339)&gt;0,1,0)</f>
        <v>0</v>
      </c>
    </row>
    <row r="340" spans="2:7" x14ac:dyDescent="0.3">
      <c r="B340" s="16" t="s">
        <v>1074</v>
      </c>
      <c r="C340" s="16" t="s">
        <v>2270</v>
      </c>
      <c r="F340" s="14">
        <f>IF(COUNTIF('Claude vs tools'!$K$2:$P$139,B340)&gt;0,1,0)</f>
        <v>0</v>
      </c>
      <c r="G340" s="14">
        <f>IF(COUNTIF('Claude vs tools'!$K$2:$P$139,C340)&gt;0,1,0)</f>
        <v>0</v>
      </c>
    </row>
    <row r="341" spans="2:7" x14ac:dyDescent="0.3">
      <c r="B341" s="16" t="s">
        <v>584</v>
      </c>
      <c r="C341" s="16" t="s">
        <v>2275</v>
      </c>
      <c r="F341" s="14">
        <f>IF(COUNTIF('Claude vs tools'!$K$2:$P$139,B341)&gt;0,1,0)</f>
        <v>0</v>
      </c>
      <c r="G341" s="14">
        <f>IF(COUNTIF('Claude vs tools'!$K$2:$P$139,C341)&gt;0,1,0)</f>
        <v>0</v>
      </c>
    </row>
    <row r="342" spans="2:7" x14ac:dyDescent="0.3">
      <c r="B342" s="16" t="s">
        <v>694</v>
      </c>
      <c r="C342" s="16" t="s">
        <v>917</v>
      </c>
      <c r="F342" s="14">
        <f>IF(COUNTIF('Claude vs tools'!$K$2:$P$139,B342)&gt;0,1,0)</f>
        <v>0</v>
      </c>
      <c r="G342" s="14">
        <f>IF(COUNTIF('Claude vs tools'!$K$2:$P$139,C342)&gt;0,1,0)</f>
        <v>0</v>
      </c>
    </row>
    <row r="343" spans="2:7" x14ac:dyDescent="0.3">
      <c r="B343" s="16" t="s">
        <v>1078</v>
      </c>
      <c r="C343" s="16" t="s">
        <v>638</v>
      </c>
      <c r="F343" s="14">
        <f>IF(COUNTIF('Claude vs tools'!$K$2:$P$139,B343)&gt;0,1,0)</f>
        <v>0</v>
      </c>
      <c r="G343" s="14">
        <f>IF(COUNTIF('Claude vs tools'!$K$2:$P$139,C343)&gt;0,1,0)</f>
        <v>0</v>
      </c>
    </row>
    <row r="344" spans="2:7" x14ac:dyDescent="0.3">
      <c r="B344" s="16" t="s">
        <v>482</v>
      </c>
      <c r="C344" s="16" t="s">
        <v>921</v>
      </c>
      <c r="F344" s="14">
        <f>IF(COUNTIF('Claude vs tools'!$K$2:$P$139,B344)&gt;0,1,0)</f>
        <v>1</v>
      </c>
      <c r="G344" s="14">
        <f>IF(COUNTIF('Claude vs tools'!$K$2:$P$139,C344)&gt;0,1,0)</f>
        <v>0</v>
      </c>
    </row>
    <row r="345" spans="2:7" x14ac:dyDescent="0.3">
      <c r="B345" s="16" t="s">
        <v>1080</v>
      </c>
      <c r="C345" s="16" t="s">
        <v>926</v>
      </c>
      <c r="F345" s="14">
        <f>IF(COUNTIF('Claude vs tools'!$K$2:$P$139,B345)&gt;0,1,0)</f>
        <v>0</v>
      </c>
      <c r="G345" s="14">
        <f>IF(COUNTIF('Claude vs tools'!$K$2:$P$139,C345)&gt;0,1,0)</f>
        <v>0</v>
      </c>
    </row>
    <row r="346" spans="2:7" x14ac:dyDescent="0.3">
      <c r="B346" s="16" t="s">
        <v>1081</v>
      </c>
      <c r="C346" s="16" t="s">
        <v>408</v>
      </c>
      <c r="F346" s="14">
        <f>IF(COUNTIF('Claude vs tools'!$K$2:$P$139,B346)&gt;0,1,0)</f>
        <v>0</v>
      </c>
      <c r="G346" s="14">
        <f>IF(COUNTIF('Claude vs tools'!$K$2:$P$139,C346)&gt;0,1,0)</f>
        <v>1</v>
      </c>
    </row>
    <row r="347" spans="2:7" x14ac:dyDescent="0.3">
      <c r="B347" s="16" t="s">
        <v>696</v>
      </c>
      <c r="C347" s="16" t="s">
        <v>640</v>
      </c>
      <c r="F347" s="14">
        <f>IF(COUNTIF('Claude vs tools'!$K$2:$P$139,B347)&gt;0,1,0)</f>
        <v>0</v>
      </c>
      <c r="G347" s="14">
        <f>IF(COUNTIF('Claude vs tools'!$K$2:$P$139,C347)&gt;0,1,0)</f>
        <v>0</v>
      </c>
    </row>
    <row r="348" spans="2:7" x14ac:dyDescent="0.3">
      <c r="B348" s="16" t="s">
        <v>698</v>
      </c>
      <c r="C348" s="16" t="s">
        <v>927</v>
      </c>
      <c r="F348" s="14">
        <f>IF(COUNTIF('Claude vs tools'!$K$2:$P$139,B348)&gt;0,1,0)</f>
        <v>0</v>
      </c>
      <c r="G348" s="14">
        <f>IF(COUNTIF('Claude vs tools'!$K$2:$P$139,C348)&gt;0,1,0)</f>
        <v>0</v>
      </c>
    </row>
    <row r="349" spans="2:7" x14ac:dyDescent="0.3">
      <c r="B349" s="16" t="s">
        <v>586</v>
      </c>
      <c r="C349" s="16" t="s">
        <v>928</v>
      </c>
      <c r="F349" s="14">
        <f>IF(COUNTIF('Claude vs tools'!$K$2:$P$139,B349)&gt;0,1,0)</f>
        <v>0</v>
      </c>
      <c r="G349" s="14">
        <f>IF(COUNTIF('Claude vs tools'!$K$2:$P$139,C349)&gt;0,1,0)</f>
        <v>0</v>
      </c>
    </row>
    <row r="350" spans="2:7" x14ac:dyDescent="0.3">
      <c r="B350" s="16" t="s">
        <v>699</v>
      </c>
      <c r="C350" s="16" t="s">
        <v>929</v>
      </c>
      <c r="F350" s="14">
        <f>IF(COUNTIF('Claude vs tools'!$K$2:$P$139,B350)&gt;0,1,0)</f>
        <v>0</v>
      </c>
      <c r="G350" s="14">
        <f>IF(COUNTIF('Claude vs tools'!$K$2:$P$139,C350)&gt;0,1,0)</f>
        <v>0</v>
      </c>
    </row>
    <row r="351" spans="2:7" x14ac:dyDescent="0.3">
      <c r="B351" s="16" t="s">
        <v>700</v>
      </c>
      <c r="C351" s="16" t="s">
        <v>932</v>
      </c>
      <c r="F351" s="14">
        <f>IF(COUNTIF('Claude vs tools'!$K$2:$P$139,B351)&gt;0,1,0)</f>
        <v>0</v>
      </c>
      <c r="G351" s="14">
        <f>IF(COUNTIF('Claude vs tools'!$K$2:$P$139,C351)&gt;0,1,0)</f>
        <v>0</v>
      </c>
    </row>
    <row r="352" spans="2:7" x14ac:dyDescent="0.3">
      <c r="B352" s="16" t="s">
        <v>1084</v>
      </c>
      <c r="C352" s="16" t="s">
        <v>382</v>
      </c>
      <c r="F352" s="14">
        <f>IF(COUNTIF('Claude vs tools'!$K$2:$P$139,B352)&gt;0,1,0)</f>
        <v>0</v>
      </c>
      <c r="G352" s="14">
        <f>IF(COUNTIF('Claude vs tools'!$K$2:$P$139,C352)&gt;0,1,0)</f>
        <v>1</v>
      </c>
    </row>
    <row r="353" spans="2:7" x14ac:dyDescent="0.3">
      <c r="B353" s="16" t="s">
        <v>701</v>
      </c>
      <c r="C353" s="16" t="s">
        <v>642</v>
      </c>
      <c r="F353" s="14">
        <f>IF(COUNTIF('Claude vs tools'!$K$2:$P$139,B353)&gt;0,1,0)</f>
        <v>0</v>
      </c>
      <c r="G353" s="14">
        <f>IF(COUNTIF('Claude vs tools'!$K$2:$P$139,C353)&gt;0,1,0)</f>
        <v>0</v>
      </c>
    </row>
    <row r="354" spans="2:7" x14ac:dyDescent="0.3">
      <c r="B354" s="16" t="s">
        <v>171</v>
      </c>
      <c r="C354" s="16" t="s">
        <v>940</v>
      </c>
      <c r="F354" s="14">
        <f>IF(COUNTIF('Claude vs tools'!$K$2:$P$139,B354)&gt;0,1,0)</f>
        <v>1</v>
      </c>
      <c r="G354" s="14">
        <f>IF(COUNTIF('Claude vs tools'!$K$2:$P$139,C354)&gt;0,1,0)</f>
        <v>0</v>
      </c>
    </row>
    <row r="355" spans="2:7" x14ac:dyDescent="0.3">
      <c r="B355" s="16" t="s">
        <v>36</v>
      </c>
      <c r="C355" s="16" t="s">
        <v>941</v>
      </c>
      <c r="F355" s="14">
        <f>IF(COUNTIF('Claude vs tools'!$K$2:$P$139,B355)&gt;0,1,0)</f>
        <v>1</v>
      </c>
      <c r="G355" s="14">
        <f>IF(COUNTIF('Claude vs tools'!$K$2:$P$139,C355)&gt;0,1,0)</f>
        <v>0</v>
      </c>
    </row>
    <row r="356" spans="2:7" x14ac:dyDescent="0.3">
      <c r="B356" s="16" t="s">
        <v>1087</v>
      </c>
      <c r="C356" s="16" t="s">
        <v>645</v>
      </c>
      <c r="F356" s="14">
        <f>IF(COUNTIF('Claude vs tools'!$K$2:$P$139,B356)&gt;0,1,0)</f>
        <v>0</v>
      </c>
      <c r="G356" s="14">
        <f>IF(COUNTIF('Claude vs tools'!$K$2:$P$139,C356)&gt;0,1,0)</f>
        <v>0</v>
      </c>
    </row>
    <row r="357" spans="2:7" x14ac:dyDescent="0.3">
      <c r="B357" s="16" t="s">
        <v>26</v>
      </c>
      <c r="C357" s="16" t="s">
        <v>946</v>
      </c>
      <c r="F357" s="14">
        <f>IF(COUNTIF('Claude vs tools'!$K$2:$P$139,B357)&gt;0,1,0)</f>
        <v>1</v>
      </c>
      <c r="G357" s="14">
        <f>IF(COUNTIF('Claude vs tools'!$K$2:$P$139,C357)&gt;0,1,0)</f>
        <v>0</v>
      </c>
    </row>
    <row r="358" spans="2:7" x14ac:dyDescent="0.3">
      <c r="B358" s="16" t="s">
        <v>702</v>
      </c>
      <c r="C358" s="16" t="s">
        <v>646</v>
      </c>
      <c r="F358" s="14">
        <f>IF(COUNTIF('Claude vs tools'!$K$2:$P$139,B358)&gt;0,1,0)</f>
        <v>0</v>
      </c>
      <c r="G358" s="14">
        <f>IF(COUNTIF('Claude vs tools'!$K$2:$P$139,C358)&gt;0,1,0)</f>
        <v>0</v>
      </c>
    </row>
    <row r="359" spans="2:7" x14ac:dyDescent="0.3">
      <c r="B359" s="16" t="s">
        <v>1091</v>
      </c>
      <c r="C359" s="16" t="s">
        <v>948</v>
      </c>
      <c r="F359" s="14">
        <f>IF(COUNTIF('Claude vs tools'!$K$2:$P$139,B359)&gt;0,1,0)</f>
        <v>0</v>
      </c>
      <c r="G359" s="14">
        <f>IF(COUNTIF('Claude vs tools'!$K$2:$P$139,C359)&gt;0,1,0)</f>
        <v>0</v>
      </c>
    </row>
    <row r="360" spans="2:7" x14ac:dyDescent="0.3">
      <c r="B360" s="16" t="s">
        <v>213</v>
      </c>
      <c r="C360" s="16" t="s">
        <v>950</v>
      </c>
      <c r="F360" s="14">
        <f>IF(COUNTIF('Claude vs tools'!$K$2:$P$139,B360)&gt;0,1,0)</f>
        <v>1</v>
      </c>
      <c r="G360" s="14">
        <f>IF(COUNTIF('Claude vs tools'!$K$2:$P$139,C360)&gt;0,1,0)</f>
        <v>0</v>
      </c>
    </row>
    <row r="361" spans="2:7" x14ac:dyDescent="0.3">
      <c r="B361" s="16" t="s">
        <v>214</v>
      </c>
      <c r="C361" s="16" t="s">
        <v>212</v>
      </c>
      <c r="F361" s="14">
        <f>IF(COUNTIF('Claude vs tools'!$K$2:$P$139,B361)&gt;0,1,0)</f>
        <v>1</v>
      </c>
      <c r="G361" s="14">
        <f>IF(COUNTIF('Claude vs tools'!$K$2:$P$139,C361)&gt;0,1,0)</f>
        <v>1</v>
      </c>
    </row>
    <row r="362" spans="2:7" x14ac:dyDescent="0.3">
      <c r="B362" s="16" t="s">
        <v>704</v>
      </c>
      <c r="C362" s="16" t="s">
        <v>647</v>
      </c>
      <c r="F362" s="14">
        <f>IF(COUNTIF('Claude vs tools'!$K$2:$P$139,B362)&gt;0,1,0)</f>
        <v>0</v>
      </c>
      <c r="G362" s="14">
        <f>IF(COUNTIF('Claude vs tools'!$K$2:$P$139,C362)&gt;0,1,0)</f>
        <v>0</v>
      </c>
    </row>
    <row r="363" spans="2:7" x14ac:dyDescent="0.3">
      <c r="B363" s="16" t="s">
        <v>1092</v>
      </c>
      <c r="C363" s="16" t="s">
        <v>2276</v>
      </c>
      <c r="F363" s="14">
        <f>IF(COUNTIF('Claude vs tools'!$K$2:$P$139,B363)&gt;0,1,0)</f>
        <v>0</v>
      </c>
      <c r="G363" s="14">
        <f>IF(COUNTIF('Claude vs tools'!$K$2:$P$139,C363)&gt;0,1,0)</f>
        <v>0</v>
      </c>
    </row>
    <row r="364" spans="2:7" x14ac:dyDescent="0.3">
      <c r="B364" s="16" t="s">
        <v>1093</v>
      </c>
      <c r="C364" s="16" t="s">
        <v>954</v>
      </c>
      <c r="F364" s="14">
        <f>IF(COUNTIF('Claude vs tools'!$K$2:$P$139,B364)&gt;0,1,0)</f>
        <v>0</v>
      </c>
      <c r="G364" s="14">
        <f>IF(COUNTIF('Claude vs tools'!$K$2:$P$139,C364)&gt;0,1,0)</f>
        <v>0</v>
      </c>
    </row>
    <row r="365" spans="2:7" x14ac:dyDescent="0.3">
      <c r="B365" s="16" t="s">
        <v>51</v>
      </c>
      <c r="C365" s="16" t="s">
        <v>652</v>
      </c>
      <c r="F365" s="14">
        <f>IF(COUNTIF('Claude vs tools'!$K$2:$P$139,B365)&gt;0,1,0)</f>
        <v>1</v>
      </c>
      <c r="G365" s="14">
        <f>IF(COUNTIF('Claude vs tools'!$K$2:$P$139,C365)&gt;0,1,0)</f>
        <v>0</v>
      </c>
    </row>
    <row r="366" spans="2:7" x14ac:dyDescent="0.3">
      <c r="B366" s="16" t="s">
        <v>50</v>
      </c>
      <c r="C366" s="16" t="s">
        <v>653</v>
      </c>
      <c r="F366" s="14">
        <f>IF(COUNTIF('Claude vs tools'!$K$2:$P$139,B366)&gt;0,1,0)</f>
        <v>1</v>
      </c>
      <c r="G366" s="14">
        <f>IF(COUNTIF('Claude vs tools'!$K$2:$P$139,C366)&gt;0,1,0)</f>
        <v>0</v>
      </c>
    </row>
    <row r="367" spans="2:7" x14ac:dyDescent="0.3">
      <c r="B367" s="16" t="s">
        <v>1096</v>
      </c>
      <c r="C367" s="16" t="s">
        <v>957</v>
      </c>
      <c r="F367" s="14">
        <f>IF(COUNTIF('Claude vs tools'!$K$2:$P$139,B367)&gt;0,1,0)</f>
        <v>0</v>
      </c>
      <c r="G367" s="14">
        <f>IF(COUNTIF('Claude vs tools'!$K$2:$P$139,C367)&gt;0,1,0)</f>
        <v>0</v>
      </c>
    </row>
    <row r="368" spans="2:7" x14ac:dyDescent="0.3">
      <c r="B368" s="16" t="s">
        <v>1097</v>
      </c>
      <c r="C368" s="16" t="s">
        <v>204</v>
      </c>
      <c r="F368" s="14">
        <f>IF(COUNTIF('Claude vs tools'!$K$2:$P$139,B368)&gt;0,1,0)</f>
        <v>0</v>
      </c>
      <c r="G368" s="14">
        <f>IF(COUNTIF('Claude vs tools'!$K$2:$P$139,C368)&gt;0,1,0)</f>
        <v>1</v>
      </c>
    </row>
    <row r="369" spans="2:7" x14ac:dyDescent="0.3">
      <c r="B369" s="16" t="s">
        <v>1098</v>
      </c>
      <c r="C369" s="16" t="s">
        <v>961</v>
      </c>
      <c r="F369" s="14">
        <f>IF(COUNTIF('Claude vs tools'!$K$2:$P$139,B369)&gt;0,1,0)</f>
        <v>0</v>
      </c>
      <c r="G369" s="14">
        <f>IF(COUNTIF('Claude vs tools'!$K$2:$P$139,C369)&gt;0,1,0)</f>
        <v>0</v>
      </c>
    </row>
    <row r="370" spans="2:7" x14ac:dyDescent="0.3">
      <c r="B370" s="16" t="s">
        <v>705</v>
      </c>
      <c r="C370" s="16" t="s">
        <v>963</v>
      </c>
      <c r="F370" s="14">
        <f>IF(COUNTIF('Claude vs tools'!$K$2:$P$139,B370)&gt;0,1,0)</f>
        <v>0</v>
      </c>
      <c r="G370" s="14">
        <f>IF(COUNTIF('Claude vs tools'!$K$2:$P$139,C370)&gt;0,1,0)</f>
        <v>0</v>
      </c>
    </row>
    <row r="371" spans="2:7" x14ac:dyDescent="0.3">
      <c r="B371" s="16" t="s">
        <v>1100</v>
      </c>
      <c r="C371" s="16" t="s">
        <v>965</v>
      </c>
      <c r="F371" s="14">
        <f>IF(COUNTIF('Claude vs tools'!$K$2:$P$139,B371)&gt;0,1,0)</f>
        <v>0</v>
      </c>
      <c r="G371" s="14">
        <f>IF(COUNTIF('Claude vs tools'!$K$2:$P$139,C371)&gt;0,1,0)</f>
        <v>0</v>
      </c>
    </row>
    <row r="372" spans="2:7" x14ac:dyDescent="0.3">
      <c r="B372" s="16" t="s">
        <v>706</v>
      </c>
      <c r="C372" s="16" t="s">
        <v>91</v>
      </c>
      <c r="F372" s="14">
        <f>IF(COUNTIF('Claude vs tools'!$K$2:$P$139,B372)&gt;0,1,0)</f>
        <v>0</v>
      </c>
      <c r="G372" s="14">
        <f>IF(COUNTIF('Claude vs tools'!$K$2:$P$139,C372)&gt;0,1,0)</f>
        <v>1</v>
      </c>
    </row>
    <row r="373" spans="2:7" x14ac:dyDescent="0.3">
      <c r="B373" s="16" t="s">
        <v>535</v>
      </c>
      <c r="C373" s="16" t="s">
        <v>654</v>
      </c>
      <c r="F373" s="14">
        <f>IF(COUNTIF('Claude vs tools'!$K$2:$P$139,B373)&gt;0,1,0)</f>
        <v>1</v>
      </c>
      <c r="G373" s="14">
        <f>IF(COUNTIF('Claude vs tools'!$K$2:$P$139,C373)&gt;0,1,0)</f>
        <v>0</v>
      </c>
    </row>
    <row r="374" spans="2:7" x14ac:dyDescent="0.3">
      <c r="B374" s="16" t="s">
        <v>197</v>
      </c>
      <c r="C374" s="16" t="s">
        <v>657</v>
      </c>
      <c r="F374" s="14">
        <f>IF(COUNTIF('Claude vs tools'!$K$2:$P$139,B374)&gt;0,1,0)</f>
        <v>1</v>
      </c>
      <c r="G374" s="14">
        <f>IF(COUNTIF('Claude vs tools'!$K$2:$P$139,C374)&gt;0,1,0)</f>
        <v>0</v>
      </c>
    </row>
    <row r="375" spans="2:7" x14ac:dyDescent="0.3">
      <c r="B375" s="16" t="s">
        <v>707</v>
      </c>
      <c r="C375" s="16" t="s">
        <v>973</v>
      </c>
      <c r="F375" s="14">
        <f>IF(COUNTIF('Claude vs tools'!$K$2:$P$139,B375)&gt;0,1,0)</f>
        <v>0</v>
      </c>
      <c r="G375" s="14">
        <f>IF(COUNTIF('Claude vs tools'!$K$2:$P$139,C375)&gt;0,1,0)</f>
        <v>0</v>
      </c>
    </row>
    <row r="376" spans="2:7" x14ac:dyDescent="0.3">
      <c r="B376" s="16" t="s">
        <v>709</v>
      </c>
      <c r="C376" s="16" t="s">
        <v>974</v>
      </c>
      <c r="F376" s="14">
        <f>IF(COUNTIF('Claude vs tools'!$K$2:$P$139,B376)&gt;0,1,0)</f>
        <v>0</v>
      </c>
      <c r="G376" s="14">
        <f>IF(COUNTIF('Claude vs tools'!$K$2:$P$139,C376)&gt;0,1,0)</f>
        <v>0</v>
      </c>
    </row>
    <row r="377" spans="2:7" x14ac:dyDescent="0.3">
      <c r="B377" s="16" t="s">
        <v>196</v>
      </c>
      <c r="C377" s="16" t="s">
        <v>976</v>
      </c>
      <c r="F377" s="14">
        <f>IF(COUNTIF('Claude vs tools'!$K$2:$P$139,B377)&gt;0,1,0)</f>
        <v>1</v>
      </c>
      <c r="G377" s="14">
        <f>IF(COUNTIF('Claude vs tools'!$K$2:$P$139,C377)&gt;0,1,0)</f>
        <v>0</v>
      </c>
    </row>
    <row r="378" spans="2:7" x14ac:dyDescent="0.3">
      <c r="B378" s="16" t="s">
        <v>1105</v>
      </c>
      <c r="C378" s="16" t="s">
        <v>977</v>
      </c>
      <c r="F378" s="14">
        <f>IF(COUNTIF('Claude vs tools'!$K$2:$P$139,B378)&gt;0,1,0)</f>
        <v>0</v>
      </c>
      <c r="G378" s="14">
        <f>IF(COUNTIF('Claude vs tools'!$K$2:$P$139,C378)&gt;0,1,0)</f>
        <v>0</v>
      </c>
    </row>
    <row r="379" spans="2:7" x14ac:dyDescent="0.3">
      <c r="B379" s="16" t="s">
        <v>1106</v>
      </c>
      <c r="C379" s="16" t="s">
        <v>983</v>
      </c>
      <c r="F379" s="14">
        <f>IF(COUNTIF('Claude vs tools'!$K$2:$P$139,B379)&gt;0,1,0)</f>
        <v>0</v>
      </c>
      <c r="G379" s="14">
        <f>IF(COUNTIF('Claude vs tools'!$K$2:$P$139,C379)&gt;0,1,0)</f>
        <v>0</v>
      </c>
    </row>
    <row r="380" spans="2:7" x14ac:dyDescent="0.3">
      <c r="B380" s="16" t="s">
        <v>1107</v>
      </c>
      <c r="C380" s="16" t="s">
        <v>661</v>
      </c>
      <c r="F380" s="14">
        <f>IF(COUNTIF('Claude vs tools'!$K$2:$P$139,B380)&gt;0,1,0)</f>
        <v>0</v>
      </c>
      <c r="G380" s="14">
        <f>IF(COUNTIF('Claude vs tools'!$K$2:$P$139,C380)&gt;0,1,0)</f>
        <v>0</v>
      </c>
    </row>
    <row r="381" spans="2:7" x14ac:dyDescent="0.3">
      <c r="B381" s="16" t="s">
        <v>1108</v>
      </c>
      <c r="C381" s="16" t="s">
        <v>579</v>
      </c>
      <c r="F381" s="14">
        <f>IF(COUNTIF('Claude vs tools'!$K$2:$P$139,B381)&gt;0,1,0)</f>
        <v>0</v>
      </c>
      <c r="G381" s="14">
        <f>IF(COUNTIF('Claude vs tools'!$K$2:$P$139,C381)&gt;0,1,0)</f>
        <v>0</v>
      </c>
    </row>
    <row r="382" spans="2:7" x14ac:dyDescent="0.3">
      <c r="B382" s="16" t="s">
        <v>710</v>
      </c>
      <c r="C382" s="16" t="s">
        <v>663</v>
      </c>
      <c r="F382" s="14">
        <f>IF(COUNTIF('Claude vs tools'!$K$2:$P$139,B382)&gt;0,1,0)</f>
        <v>0</v>
      </c>
      <c r="G382" s="14">
        <f>IF(COUNTIF('Claude vs tools'!$K$2:$P$139,C382)&gt;0,1,0)</f>
        <v>0</v>
      </c>
    </row>
    <row r="383" spans="2:7" x14ac:dyDescent="0.3">
      <c r="B383" s="16" t="s">
        <v>532</v>
      </c>
      <c r="C383" s="16" t="s">
        <v>664</v>
      </c>
      <c r="F383" s="14">
        <f>IF(COUNTIF('Claude vs tools'!$K$2:$P$139,B383)&gt;0,1,0)</f>
        <v>1</v>
      </c>
      <c r="G383" s="14">
        <f>IF(COUNTIF('Claude vs tools'!$K$2:$P$139,C383)&gt;0,1,0)</f>
        <v>0</v>
      </c>
    </row>
    <row r="384" spans="2:7" x14ac:dyDescent="0.3">
      <c r="B384" s="16" t="s">
        <v>167</v>
      </c>
      <c r="C384" s="16" t="s">
        <v>988</v>
      </c>
      <c r="F384" s="14">
        <f>IF(COUNTIF('Claude vs tools'!$K$2:$P$139,B384)&gt;0,1,0)</f>
        <v>1</v>
      </c>
      <c r="G384" s="14">
        <f>IF(COUNTIF('Claude vs tools'!$K$2:$P$139,C384)&gt;0,1,0)</f>
        <v>0</v>
      </c>
    </row>
    <row r="385" spans="2:7" x14ac:dyDescent="0.3">
      <c r="B385" s="16" t="s">
        <v>1110</v>
      </c>
      <c r="C385" s="16" t="s">
        <v>393</v>
      </c>
      <c r="F385" s="14">
        <f>IF(COUNTIF('Claude vs tools'!$K$2:$P$139,B385)&gt;0,1,0)</f>
        <v>0</v>
      </c>
      <c r="G385" s="14">
        <f>IF(COUNTIF('Claude vs tools'!$K$2:$P$139,C385)&gt;0,1,0)</f>
        <v>1</v>
      </c>
    </row>
    <row r="386" spans="2:7" x14ac:dyDescent="0.3">
      <c r="B386" s="16" t="s">
        <v>1111</v>
      </c>
      <c r="C386" s="16" t="s">
        <v>394</v>
      </c>
      <c r="F386" s="14">
        <f>IF(COUNTIF('Claude vs tools'!$K$2:$P$139,B386)&gt;0,1,0)</f>
        <v>0</v>
      </c>
      <c r="G386" s="14">
        <f>IF(COUNTIF('Claude vs tools'!$K$2:$P$139,C386)&gt;0,1,0)</f>
        <v>1</v>
      </c>
    </row>
    <row r="387" spans="2:7" x14ac:dyDescent="0.3">
      <c r="B387" s="16" t="s">
        <v>526</v>
      </c>
      <c r="C387" s="16" t="s">
        <v>992</v>
      </c>
      <c r="F387" s="14">
        <f>IF(COUNTIF('Claude vs tools'!$K$2:$P$139,B387)&gt;0,1,0)</f>
        <v>1</v>
      </c>
      <c r="G387" s="14">
        <f>IF(COUNTIF('Claude vs tools'!$K$2:$P$139,C387)&gt;0,1,0)</f>
        <v>0</v>
      </c>
    </row>
    <row r="388" spans="2:7" x14ac:dyDescent="0.3">
      <c r="B388" s="16" t="s">
        <v>1112</v>
      </c>
      <c r="C388" s="16" t="s">
        <v>993</v>
      </c>
      <c r="F388" s="14">
        <f>IF(COUNTIF('Claude vs tools'!$K$2:$P$139,B388)&gt;0,1,0)</f>
        <v>0</v>
      </c>
      <c r="G388" s="14">
        <f>IF(COUNTIF('Claude vs tools'!$K$2:$P$139,C388)&gt;0,1,0)</f>
        <v>0</v>
      </c>
    </row>
    <row r="389" spans="2:7" x14ac:dyDescent="0.3">
      <c r="B389" s="16" t="s">
        <v>1113</v>
      </c>
      <c r="C389" s="16" t="s">
        <v>500</v>
      </c>
      <c r="F389" s="14">
        <f>IF(COUNTIF('Claude vs tools'!$K$2:$P$139,B389)&gt;0,1,0)</f>
        <v>0</v>
      </c>
      <c r="G389" s="14">
        <f>IF(COUNTIF('Claude vs tools'!$K$2:$P$139,C389)&gt;0,1,0)</f>
        <v>1</v>
      </c>
    </row>
    <row r="390" spans="2:7" x14ac:dyDescent="0.3">
      <c r="B390" s="16" t="s">
        <v>1114</v>
      </c>
      <c r="C390" s="16" t="s">
        <v>997</v>
      </c>
      <c r="F390" s="14">
        <f>IF(COUNTIF('Claude vs tools'!$K$2:$P$139,B390)&gt;0,1,0)</f>
        <v>0</v>
      </c>
      <c r="G390" s="14">
        <f>IF(COUNTIF('Claude vs tools'!$K$2:$P$139,C390)&gt;0,1,0)</f>
        <v>0</v>
      </c>
    </row>
    <row r="391" spans="2:7" x14ac:dyDescent="0.3">
      <c r="B391" s="16" t="s">
        <v>1115</v>
      </c>
      <c r="C391" s="16" t="s">
        <v>511</v>
      </c>
      <c r="F391" s="14">
        <f>IF(COUNTIF('Claude vs tools'!$K$2:$P$139,B391)&gt;0,1,0)</f>
        <v>0</v>
      </c>
      <c r="G391" s="14">
        <f>IF(COUNTIF('Claude vs tools'!$K$2:$P$139,C391)&gt;0,1,0)</f>
        <v>1</v>
      </c>
    </row>
    <row r="392" spans="2:7" x14ac:dyDescent="0.3">
      <c r="B392" s="16" t="s">
        <v>1116</v>
      </c>
      <c r="C392" s="16" t="s">
        <v>999</v>
      </c>
      <c r="F392" s="14">
        <f>IF(COUNTIF('Claude vs tools'!$K$2:$P$139,B392)&gt;0,1,0)</f>
        <v>0</v>
      </c>
      <c r="G392" s="14">
        <f>IF(COUNTIF('Claude vs tools'!$K$2:$P$139,C392)&gt;0,1,0)</f>
        <v>0</v>
      </c>
    </row>
    <row r="393" spans="2:7" x14ac:dyDescent="0.3">
      <c r="B393" s="16" t="s">
        <v>1117</v>
      </c>
      <c r="C393" s="16" t="s">
        <v>208</v>
      </c>
      <c r="F393" s="14">
        <f>IF(COUNTIF('Claude vs tools'!$K$2:$P$139,B393)&gt;0,1,0)</f>
        <v>0</v>
      </c>
      <c r="G393" s="14">
        <f>IF(COUNTIF('Claude vs tools'!$K$2:$P$139,C393)&gt;0,1,0)</f>
        <v>1</v>
      </c>
    </row>
    <row r="394" spans="2:7" x14ac:dyDescent="0.3">
      <c r="B394" s="16" t="s">
        <v>1118</v>
      </c>
      <c r="C394" s="16" t="s">
        <v>667</v>
      </c>
      <c r="F394" s="14">
        <f>IF(COUNTIF('Claude vs tools'!$K$2:$P$139,B394)&gt;0,1,0)</f>
        <v>0</v>
      </c>
      <c r="G394" s="14">
        <f>IF(COUNTIF('Claude vs tools'!$K$2:$P$139,C394)&gt;0,1,0)</f>
        <v>0</v>
      </c>
    </row>
    <row r="395" spans="2:7" x14ac:dyDescent="0.3">
      <c r="B395" s="16" t="s">
        <v>310</v>
      </c>
      <c r="C395" s="16" t="s">
        <v>1012</v>
      </c>
      <c r="F395" s="14">
        <f>IF(COUNTIF('Claude vs tools'!$K$2:$P$139,B395)&gt;0,1,0)</f>
        <v>1</v>
      </c>
      <c r="G395" s="14">
        <f>IF(COUNTIF('Claude vs tools'!$K$2:$P$139,C395)&gt;0,1,0)</f>
        <v>0</v>
      </c>
    </row>
    <row r="396" spans="2:7" x14ac:dyDescent="0.3">
      <c r="B396" s="16" t="s">
        <v>309</v>
      </c>
      <c r="C396" s="16" t="s">
        <v>1018</v>
      </c>
      <c r="F396" s="14">
        <f>IF(COUNTIF('Claude vs tools'!$K$2:$P$139,B396)&gt;0,1,0)</f>
        <v>1</v>
      </c>
      <c r="G396" s="14">
        <f>IF(COUNTIF('Claude vs tools'!$K$2:$P$139,C396)&gt;0,1,0)</f>
        <v>0</v>
      </c>
    </row>
    <row r="397" spans="2:7" x14ac:dyDescent="0.3">
      <c r="B397" s="16" t="s">
        <v>1121</v>
      </c>
      <c r="C397" s="16" t="s">
        <v>215</v>
      </c>
      <c r="F397" s="14">
        <f>IF(COUNTIF('Claude vs tools'!$K$2:$P$139,B397)&gt;0,1,0)</f>
        <v>0</v>
      </c>
      <c r="G397" s="14">
        <f>IF(COUNTIF('Claude vs tools'!$K$2:$P$139,C397)&gt;0,1,0)</f>
        <v>1</v>
      </c>
    </row>
    <row r="398" spans="2:7" x14ac:dyDescent="0.3">
      <c r="B398" s="16" t="s">
        <v>1122</v>
      </c>
      <c r="C398" s="16" t="s">
        <v>672</v>
      </c>
      <c r="F398" s="14">
        <f>IF(COUNTIF('Claude vs tools'!$K$2:$P$139,B398)&gt;0,1,0)</f>
        <v>0</v>
      </c>
      <c r="G398" s="14">
        <f>IF(COUNTIF('Claude vs tools'!$K$2:$P$139,C398)&gt;0,1,0)</f>
        <v>0</v>
      </c>
    </row>
    <row r="399" spans="2:7" x14ac:dyDescent="0.3">
      <c r="B399" s="16" t="s">
        <v>1123</v>
      </c>
      <c r="C399" s="16" t="s">
        <v>1020</v>
      </c>
      <c r="F399" s="14">
        <f>IF(COUNTIF('Claude vs tools'!$K$2:$P$139,B399)&gt;0,1,0)</f>
        <v>0</v>
      </c>
      <c r="G399" s="14">
        <f>IF(COUNTIF('Claude vs tools'!$K$2:$P$139,C399)&gt;0,1,0)</f>
        <v>0</v>
      </c>
    </row>
    <row r="400" spans="2:7" x14ac:dyDescent="0.3">
      <c r="B400" s="16" t="s">
        <v>1126</v>
      </c>
      <c r="C400" s="16" t="s">
        <v>1024</v>
      </c>
      <c r="F400" s="14">
        <f>IF(COUNTIF('Claude vs tools'!$K$2:$P$139,B400)&gt;0,1,0)</f>
        <v>0</v>
      </c>
      <c r="G400" s="14">
        <f>IF(COUNTIF('Claude vs tools'!$K$2:$P$139,C400)&gt;0,1,0)</f>
        <v>0</v>
      </c>
    </row>
    <row r="401" spans="2:7" x14ac:dyDescent="0.3">
      <c r="B401" s="16" t="s">
        <v>306</v>
      </c>
      <c r="C401" s="16" t="s">
        <v>1030</v>
      </c>
      <c r="F401" s="14">
        <f>IF(COUNTIF('Claude vs tools'!$K$2:$P$139,B401)&gt;0,1,0)</f>
        <v>1</v>
      </c>
      <c r="G401" s="14">
        <f>IF(COUNTIF('Claude vs tools'!$K$2:$P$139,C401)&gt;0,1,0)</f>
        <v>0</v>
      </c>
    </row>
    <row r="402" spans="2:7" x14ac:dyDescent="0.3">
      <c r="B402" s="16" t="s">
        <v>1129</v>
      </c>
      <c r="C402" s="16" t="s">
        <v>674</v>
      </c>
      <c r="F402" s="14">
        <f>IF(COUNTIF('Claude vs tools'!$K$2:$P$139,B402)&gt;0,1,0)</f>
        <v>0</v>
      </c>
      <c r="G402" s="14">
        <f>IF(COUNTIF('Claude vs tools'!$K$2:$P$139,C402)&gt;0,1,0)</f>
        <v>0</v>
      </c>
    </row>
    <row r="403" spans="2:7" x14ac:dyDescent="0.3">
      <c r="B403" s="16" t="s">
        <v>1132</v>
      </c>
      <c r="C403" s="16" t="s">
        <v>675</v>
      </c>
      <c r="F403" s="14">
        <f>IF(COUNTIF('Claude vs tools'!$K$2:$P$139,B403)&gt;0,1,0)</f>
        <v>0</v>
      </c>
      <c r="G403" s="14">
        <f>IF(COUNTIF('Claude vs tools'!$K$2:$P$139,C403)&gt;0,1,0)</f>
        <v>0</v>
      </c>
    </row>
    <row r="404" spans="2:7" x14ac:dyDescent="0.3">
      <c r="B404" s="16" t="s">
        <v>1140</v>
      </c>
      <c r="C404" s="16" t="s">
        <v>676</v>
      </c>
      <c r="F404" s="14">
        <f>IF(COUNTIF('Claude vs tools'!$K$2:$P$139,B404)&gt;0,1,0)</f>
        <v>0</v>
      </c>
      <c r="G404" s="14">
        <f>IF(COUNTIF('Claude vs tools'!$K$2:$P$139,C404)&gt;0,1,0)</f>
        <v>0</v>
      </c>
    </row>
    <row r="405" spans="2:7" x14ac:dyDescent="0.3">
      <c r="B405" s="16" t="s">
        <v>1142</v>
      </c>
      <c r="C405" s="16" t="s">
        <v>2277</v>
      </c>
      <c r="F405" s="14">
        <f>IF(COUNTIF('Claude vs tools'!$K$2:$P$139,B405)&gt;0,1,0)</f>
        <v>0</v>
      </c>
      <c r="G405" s="14">
        <f>IF(COUNTIF('Claude vs tools'!$K$2:$P$139,C405)&gt;0,1,0)</f>
        <v>0</v>
      </c>
    </row>
    <row r="406" spans="2:7" x14ac:dyDescent="0.3">
      <c r="B406" s="16" t="s">
        <v>1144</v>
      </c>
      <c r="C406" s="16" t="s">
        <v>273</v>
      </c>
      <c r="F406" s="14">
        <f>IF(COUNTIF('Claude vs tools'!$K$2:$P$139,B406)&gt;0,1,0)</f>
        <v>0</v>
      </c>
      <c r="G406" s="14">
        <f>IF(COUNTIF('Claude vs tools'!$K$2:$P$139,C406)&gt;0,1,0)</f>
        <v>1</v>
      </c>
    </row>
    <row r="407" spans="2:7" x14ac:dyDescent="0.3">
      <c r="B407" s="16" t="s">
        <v>1145</v>
      </c>
      <c r="C407" s="16" t="s">
        <v>677</v>
      </c>
      <c r="F407" s="14">
        <f>IF(COUNTIF('Claude vs tools'!$K$2:$P$139,B407)&gt;0,1,0)</f>
        <v>0</v>
      </c>
      <c r="G407" s="14">
        <f>IF(COUNTIF('Claude vs tools'!$K$2:$P$139,C407)&gt;0,1,0)</f>
        <v>0</v>
      </c>
    </row>
    <row r="408" spans="2:7" x14ac:dyDescent="0.3">
      <c r="B408" s="16" t="s">
        <v>1146</v>
      </c>
      <c r="C408" s="16" t="s">
        <v>1044</v>
      </c>
      <c r="F408" s="14">
        <f>IF(COUNTIF('Claude vs tools'!$K$2:$P$139,B408)&gt;0,1,0)</f>
        <v>0</v>
      </c>
      <c r="G408" s="14">
        <f>IF(COUNTIF('Claude vs tools'!$K$2:$P$139,C408)&gt;0,1,0)</f>
        <v>0</v>
      </c>
    </row>
    <row r="409" spans="2:7" x14ac:dyDescent="0.3">
      <c r="B409" s="16" t="s">
        <v>1147</v>
      </c>
      <c r="C409" s="16" t="s">
        <v>678</v>
      </c>
      <c r="F409" s="14">
        <f>IF(COUNTIF('Claude vs tools'!$K$2:$P$139,B409)&gt;0,1,0)</f>
        <v>0</v>
      </c>
      <c r="G409" s="14">
        <f>IF(COUNTIF('Claude vs tools'!$K$2:$P$139,C409)&gt;0,1,0)</f>
        <v>0</v>
      </c>
    </row>
    <row r="410" spans="2:7" x14ac:dyDescent="0.3">
      <c r="B410" s="16" t="s">
        <v>1148</v>
      </c>
      <c r="C410" s="16" t="s">
        <v>1048</v>
      </c>
      <c r="F410" s="14">
        <f>IF(COUNTIF('Claude vs tools'!$K$2:$P$139,B410)&gt;0,1,0)</f>
        <v>0</v>
      </c>
      <c r="G410" s="14">
        <f>IF(COUNTIF('Claude vs tools'!$K$2:$P$139,C410)&gt;0,1,0)</f>
        <v>0</v>
      </c>
    </row>
    <row r="411" spans="2:7" x14ac:dyDescent="0.3">
      <c r="B411" s="16" t="s">
        <v>1149</v>
      </c>
      <c r="C411" s="16" t="s">
        <v>1050</v>
      </c>
      <c r="F411" s="14">
        <f>IF(COUNTIF('Claude vs tools'!$K$2:$P$139,B411)&gt;0,1,0)</f>
        <v>0</v>
      </c>
      <c r="G411" s="14">
        <f>IF(COUNTIF('Claude vs tools'!$K$2:$P$139,C411)&gt;0,1,0)</f>
        <v>0</v>
      </c>
    </row>
    <row r="412" spans="2:7" x14ac:dyDescent="0.3">
      <c r="B412" s="16" t="s">
        <v>718</v>
      </c>
      <c r="C412" s="16" t="s">
        <v>680</v>
      </c>
      <c r="F412" s="14">
        <f>IF(COUNTIF('Claude vs tools'!$K$2:$P$139,B412)&gt;0,1,0)</f>
        <v>0</v>
      </c>
      <c r="G412" s="14">
        <f>IF(COUNTIF('Claude vs tools'!$K$2:$P$139,C412)&gt;0,1,0)</f>
        <v>0</v>
      </c>
    </row>
    <row r="413" spans="2:7" x14ac:dyDescent="0.3">
      <c r="B413" s="16" t="s">
        <v>68</v>
      </c>
      <c r="C413" s="16" t="s">
        <v>1051</v>
      </c>
      <c r="F413" s="14">
        <f>IF(COUNTIF('Claude vs tools'!$K$2:$P$139,B413)&gt;0,1,0)</f>
        <v>1</v>
      </c>
      <c r="G413" s="14">
        <f>IF(COUNTIF('Claude vs tools'!$K$2:$P$139,C413)&gt;0,1,0)</f>
        <v>0</v>
      </c>
    </row>
    <row r="414" spans="2:7" x14ac:dyDescent="0.3">
      <c r="B414" s="16" t="s">
        <v>244</v>
      </c>
      <c r="C414" s="16" t="s">
        <v>1052</v>
      </c>
      <c r="F414" s="14">
        <f>IF(COUNTIF('Claude vs tools'!$K$2:$P$139,B414)&gt;0,1,0)</f>
        <v>1</v>
      </c>
      <c r="G414" s="14">
        <f>IF(COUNTIF('Claude vs tools'!$K$2:$P$139,C414)&gt;0,1,0)</f>
        <v>0</v>
      </c>
    </row>
    <row r="415" spans="2:7" x14ac:dyDescent="0.3">
      <c r="B415" s="16" t="s">
        <v>1151</v>
      </c>
      <c r="C415" s="16" t="s">
        <v>681</v>
      </c>
      <c r="F415" s="14">
        <f>IF(COUNTIF('Claude vs tools'!$K$2:$P$139,B415)&gt;0,1,0)</f>
        <v>0</v>
      </c>
      <c r="G415" s="14">
        <f>IF(COUNTIF('Claude vs tools'!$K$2:$P$139,C415)&gt;0,1,0)</f>
        <v>0</v>
      </c>
    </row>
    <row r="416" spans="2:7" x14ac:dyDescent="0.3">
      <c r="B416" s="16" t="s">
        <v>720</v>
      </c>
      <c r="C416" s="16" t="s">
        <v>1053</v>
      </c>
      <c r="F416" s="14">
        <f>IF(COUNTIF('Claude vs tools'!$K$2:$P$139,B416)&gt;0,1,0)</f>
        <v>0</v>
      </c>
      <c r="G416" s="14">
        <f>IF(COUNTIF('Claude vs tools'!$K$2:$P$139,C416)&gt;0,1,0)</f>
        <v>0</v>
      </c>
    </row>
    <row r="417" spans="2:7" x14ac:dyDescent="0.3">
      <c r="B417" s="16" t="s">
        <v>721</v>
      </c>
      <c r="C417" s="16" t="s">
        <v>326</v>
      </c>
      <c r="F417" s="14">
        <f>IF(COUNTIF('Claude vs tools'!$K$2:$P$139,B417)&gt;0,1,0)</f>
        <v>0</v>
      </c>
      <c r="G417" s="14">
        <f>IF(COUNTIF('Claude vs tools'!$K$2:$P$139,C417)&gt;0,1,0)</f>
        <v>1</v>
      </c>
    </row>
    <row r="418" spans="2:7" x14ac:dyDescent="0.3">
      <c r="B418" s="16" t="s">
        <v>722</v>
      </c>
      <c r="C418" s="16" t="s">
        <v>1054</v>
      </c>
      <c r="F418" s="14">
        <f>IF(COUNTIF('Claude vs tools'!$K$2:$P$139,B418)&gt;0,1,0)</f>
        <v>0</v>
      </c>
      <c r="G418" s="14">
        <f>IF(COUNTIF('Claude vs tools'!$K$2:$P$139,C418)&gt;0,1,0)</f>
        <v>0</v>
      </c>
    </row>
    <row r="419" spans="2:7" x14ac:dyDescent="0.3">
      <c r="B419" s="16" t="s">
        <v>1154</v>
      </c>
      <c r="C419" s="16" t="s">
        <v>1055</v>
      </c>
      <c r="F419" s="14">
        <f>IF(COUNTIF('Claude vs tools'!$K$2:$P$139,B419)&gt;0,1,0)</f>
        <v>0</v>
      </c>
      <c r="G419" s="14">
        <f>IF(COUNTIF('Claude vs tools'!$K$2:$P$139,C419)&gt;0,1,0)</f>
        <v>0</v>
      </c>
    </row>
    <row r="420" spans="2:7" x14ac:dyDescent="0.3">
      <c r="B420" s="16" t="s">
        <v>723</v>
      </c>
      <c r="C420" s="16" t="s">
        <v>683</v>
      </c>
      <c r="F420" s="14">
        <f>IF(COUNTIF('Claude vs tools'!$K$2:$P$139,B420)&gt;0,1,0)</f>
        <v>0</v>
      </c>
      <c r="G420" s="14">
        <f>IF(COUNTIF('Claude vs tools'!$K$2:$P$139,C420)&gt;0,1,0)</f>
        <v>0</v>
      </c>
    </row>
    <row r="421" spans="2:7" x14ac:dyDescent="0.3">
      <c r="B421" s="16" t="s">
        <v>86</v>
      </c>
      <c r="C421" s="16" t="s">
        <v>1058</v>
      </c>
      <c r="F421" s="14">
        <f>IF(COUNTIF('Claude vs tools'!$K$2:$P$139,B421)&gt;0,1,0)</f>
        <v>1</v>
      </c>
      <c r="G421" s="14">
        <f>IF(COUNTIF('Claude vs tools'!$K$2:$P$139,C421)&gt;0,1,0)</f>
        <v>0</v>
      </c>
    </row>
    <row r="422" spans="2:7" x14ac:dyDescent="0.3">
      <c r="B422" s="16" t="s">
        <v>1156</v>
      </c>
      <c r="C422" s="16" t="s">
        <v>684</v>
      </c>
      <c r="F422" s="14">
        <f>IF(COUNTIF('Claude vs tools'!$K$2:$P$139,B422)&gt;0,1,0)</f>
        <v>0</v>
      </c>
      <c r="G422" s="14">
        <f>IF(COUNTIF('Claude vs tools'!$K$2:$P$139,C422)&gt;0,1,0)</f>
        <v>0</v>
      </c>
    </row>
    <row r="423" spans="2:7" x14ac:dyDescent="0.3">
      <c r="B423" s="16" t="s">
        <v>587</v>
      </c>
      <c r="C423" s="16" t="s">
        <v>685</v>
      </c>
      <c r="F423" s="14">
        <f>IF(COUNTIF('Claude vs tools'!$K$2:$P$139,B423)&gt;0,1,0)</f>
        <v>0</v>
      </c>
      <c r="G423" s="14">
        <f>IF(COUNTIF('Claude vs tools'!$K$2:$P$139,C423)&gt;0,1,0)</f>
        <v>0</v>
      </c>
    </row>
    <row r="424" spans="2:7" x14ac:dyDescent="0.3">
      <c r="B424" s="16" t="s">
        <v>248</v>
      </c>
      <c r="C424" s="16" t="s">
        <v>686</v>
      </c>
      <c r="F424" s="14">
        <f>IF(COUNTIF('Claude vs tools'!$K$2:$P$139,B424)&gt;0,1,0)</f>
        <v>1</v>
      </c>
      <c r="G424" s="14">
        <f>IF(COUNTIF('Claude vs tools'!$K$2:$P$139,C424)&gt;0,1,0)</f>
        <v>0</v>
      </c>
    </row>
    <row r="425" spans="2:7" x14ac:dyDescent="0.3">
      <c r="B425" s="16" t="s">
        <v>725</v>
      </c>
      <c r="C425" s="16" t="s">
        <v>254</v>
      </c>
      <c r="F425" s="14">
        <f>IF(COUNTIF('Claude vs tools'!$K$2:$P$139,B425)&gt;0,1,0)</f>
        <v>0</v>
      </c>
      <c r="G425" s="14">
        <f>IF(COUNTIF('Claude vs tools'!$K$2:$P$139,C425)&gt;0,1,0)</f>
        <v>1</v>
      </c>
    </row>
    <row r="426" spans="2:7" x14ac:dyDescent="0.3">
      <c r="B426" s="16" t="s">
        <v>727</v>
      </c>
      <c r="C426" s="16" t="s">
        <v>344</v>
      </c>
      <c r="F426" s="14">
        <f>IF(COUNTIF('Claude vs tools'!$K$2:$P$139,B426)&gt;0,1,0)</f>
        <v>0</v>
      </c>
      <c r="G426" s="14">
        <f>IF(COUNTIF('Claude vs tools'!$K$2:$P$139,C426)&gt;0,1,0)</f>
        <v>1</v>
      </c>
    </row>
    <row r="427" spans="2:7" x14ac:dyDescent="0.3">
      <c r="B427" s="16" t="s">
        <v>1162</v>
      </c>
      <c r="C427" s="16" t="s">
        <v>688</v>
      </c>
      <c r="F427" s="14">
        <f>IF(COUNTIF('Claude vs tools'!$K$2:$P$139,B427)&gt;0,1,0)</f>
        <v>0</v>
      </c>
      <c r="G427" s="14">
        <f>IF(COUNTIF('Claude vs tools'!$K$2:$P$139,C427)&gt;0,1,0)</f>
        <v>0</v>
      </c>
    </row>
    <row r="428" spans="2:7" x14ac:dyDescent="0.3">
      <c r="B428" s="16" t="s">
        <v>1163</v>
      </c>
      <c r="C428" s="16" t="s">
        <v>444</v>
      </c>
      <c r="F428" s="14">
        <f>IF(COUNTIF('Claude vs tools'!$K$2:$P$139,B428)&gt;0,1,0)</f>
        <v>0</v>
      </c>
      <c r="G428" s="14">
        <f>IF(COUNTIF('Claude vs tools'!$K$2:$P$139,C428)&gt;0,1,0)</f>
        <v>1</v>
      </c>
    </row>
    <row r="429" spans="2:7" x14ac:dyDescent="0.3">
      <c r="B429" s="16" t="s">
        <v>728</v>
      </c>
      <c r="C429" s="16" t="s">
        <v>689</v>
      </c>
      <c r="F429" s="14">
        <f>IF(COUNTIF('Claude vs tools'!$K$2:$P$139,B429)&gt;0,1,0)</f>
        <v>0</v>
      </c>
      <c r="G429" s="14">
        <f>IF(COUNTIF('Claude vs tools'!$K$2:$P$139,C429)&gt;0,1,0)</f>
        <v>0</v>
      </c>
    </row>
    <row r="430" spans="2:7" x14ac:dyDescent="0.3">
      <c r="B430" s="16" t="s">
        <v>220</v>
      </c>
      <c r="C430" s="16" t="s">
        <v>690</v>
      </c>
      <c r="F430" s="14">
        <f>IF(COUNTIF('Claude vs tools'!$K$2:$P$139,B430)&gt;0,1,0)</f>
        <v>1</v>
      </c>
      <c r="G430" s="14">
        <f>IF(COUNTIF('Claude vs tools'!$K$2:$P$139,C430)&gt;0,1,0)</f>
        <v>0</v>
      </c>
    </row>
    <row r="431" spans="2:7" x14ac:dyDescent="0.3">
      <c r="B431" s="16" t="s">
        <v>1166</v>
      </c>
      <c r="C431" s="16" t="s">
        <v>1061</v>
      </c>
      <c r="F431" s="14">
        <f>IF(COUNTIF('Claude vs tools'!$K$2:$P$139,B431)&gt;0,1,0)</f>
        <v>0</v>
      </c>
      <c r="G431" s="14">
        <f>IF(COUNTIF('Claude vs tools'!$K$2:$P$139,C431)&gt;0,1,0)</f>
        <v>0</v>
      </c>
    </row>
    <row r="432" spans="2:7" x14ac:dyDescent="0.3">
      <c r="B432" s="16" t="s">
        <v>729</v>
      </c>
      <c r="C432" s="16" t="s">
        <v>1062</v>
      </c>
      <c r="F432" s="14">
        <f>IF(COUNTIF('Claude vs tools'!$K$2:$P$139,B432)&gt;0,1,0)</f>
        <v>0</v>
      </c>
      <c r="G432" s="14">
        <f>IF(COUNTIF('Claude vs tools'!$K$2:$P$139,C432)&gt;0,1,0)</f>
        <v>0</v>
      </c>
    </row>
    <row r="433" spans="2:7" x14ac:dyDescent="0.3">
      <c r="B433" s="16" t="s">
        <v>1167</v>
      </c>
      <c r="C433" s="16" t="s">
        <v>1063</v>
      </c>
      <c r="F433" s="14">
        <f>IF(COUNTIF('Claude vs tools'!$K$2:$P$139,B433)&gt;0,1,0)</f>
        <v>0</v>
      </c>
      <c r="G433" s="14">
        <f>IF(COUNTIF('Claude vs tools'!$K$2:$P$139,C433)&gt;0,1,0)</f>
        <v>0</v>
      </c>
    </row>
    <row r="434" spans="2:7" x14ac:dyDescent="0.3">
      <c r="B434" s="16" t="s">
        <v>1168</v>
      </c>
      <c r="C434" s="16" t="s">
        <v>390</v>
      </c>
      <c r="F434" s="14">
        <f>IF(COUNTIF('Claude vs tools'!$K$2:$P$139,B434)&gt;0,1,0)</f>
        <v>0</v>
      </c>
      <c r="G434" s="14">
        <f>IF(COUNTIF('Claude vs tools'!$K$2:$P$139,C434)&gt;0,1,0)</f>
        <v>1</v>
      </c>
    </row>
    <row r="435" spans="2:7" x14ac:dyDescent="0.3">
      <c r="B435" s="16" t="s">
        <v>1170</v>
      </c>
      <c r="C435" s="16" t="s">
        <v>2274</v>
      </c>
      <c r="F435" s="14">
        <f>IF(COUNTIF('Claude vs tools'!$K$2:$P$139,B435)&gt;0,1,0)</f>
        <v>0</v>
      </c>
      <c r="G435" s="14">
        <f>IF(COUNTIF('Claude vs tools'!$K$2:$P$139,C435)&gt;0,1,0)</f>
        <v>0</v>
      </c>
    </row>
    <row r="436" spans="2:7" x14ac:dyDescent="0.3">
      <c r="B436" s="16" t="s">
        <v>1172</v>
      </c>
      <c r="C436" s="16" t="s">
        <v>1073</v>
      </c>
      <c r="F436" s="14">
        <f>IF(COUNTIF('Claude vs tools'!$K$2:$P$139,B436)&gt;0,1,0)</f>
        <v>0</v>
      </c>
      <c r="G436" s="14">
        <f>IF(COUNTIF('Claude vs tools'!$K$2:$P$139,C436)&gt;0,1,0)</f>
        <v>0</v>
      </c>
    </row>
    <row r="437" spans="2:7" x14ac:dyDescent="0.3">
      <c r="B437" s="16" t="s">
        <v>730</v>
      </c>
      <c r="C437" s="16" t="s">
        <v>584</v>
      </c>
      <c r="F437" s="14">
        <f>IF(COUNTIF('Claude vs tools'!$K$2:$P$139,B437)&gt;0,1,0)</f>
        <v>0</v>
      </c>
      <c r="G437" s="14">
        <f>IF(COUNTIF('Claude vs tools'!$K$2:$P$139,C437)&gt;0,1,0)</f>
        <v>0</v>
      </c>
    </row>
    <row r="438" spans="2:7" x14ac:dyDescent="0.3">
      <c r="B438" s="16" t="s">
        <v>1174</v>
      </c>
      <c r="C438" s="16" t="s">
        <v>1076</v>
      </c>
      <c r="F438" s="14">
        <f>IF(COUNTIF('Claude vs tools'!$K$2:$P$139,B438)&gt;0,1,0)</f>
        <v>0</v>
      </c>
      <c r="G438" s="14">
        <f>IF(COUNTIF('Claude vs tools'!$K$2:$P$139,C438)&gt;0,1,0)</f>
        <v>0</v>
      </c>
    </row>
    <row r="439" spans="2:7" x14ac:dyDescent="0.3">
      <c r="B439" s="16" t="s">
        <v>731</v>
      </c>
      <c r="C439" s="16" t="s">
        <v>694</v>
      </c>
      <c r="F439" s="14">
        <f>IF(COUNTIF('Claude vs tools'!$K$2:$P$139,B439)&gt;0,1,0)</f>
        <v>0</v>
      </c>
      <c r="G439" s="14">
        <f>IF(COUNTIF('Claude vs tools'!$K$2:$P$139,C439)&gt;0,1,0)</f>
        <v>0</v>
      </c>
    </row>
    <row r="440" spans="2:7" x14ac:dyDescent="0.3">
      <c r="B440" s="16" t="s">
        <v>33</v>
      </c>
      <c r="C440" s="16" t="s">
        <v>1077</v>
      </c>
      <c r="F440" s="14">
        <f>IF(COUNTIF('Claude vs tools'!$K$2:$P$139,B440)&gt;0,1,0)</f>
        <v>1</v>
      </c>
      <c r="G440" s="14">
        <f>IF(COUNTIF('Claude vs tools'!$K$2:$P$139,C440)&gt;0,1,0)</f>
        <v>0</v>
      </c>
    </row>
    <row r="441" spans="2:7" x14ac:dyDescent="0.3">
      <c r="B441" s="16" t="s">
        <v>32</v>
      </c>
      <c r="C441" s="16" t="s">
        <v>1079</v>
      </c>
      <c r="F441" s="14">
        <f>IF(COUNTIF('Claude vs tools'!$K$2:$P$139,B441)&gt;0,1,0)</f>
        <v>1</v>
      </c>
      <c r="G441" s="14">
        <f>IF(COUNTIF('Claude vs tools'!$K$2:$P$139,C441)&gt;0,1,0)</f>
        <v>0</v>
      </c>
    </row>
    <row r="442" spans="2:7" x14ac:dyDescent="0.3">
      <c r="B442" s="16" t="s">
        <v>1180</v>
      </c>
      <c r="C442" s="16" t="s">
        <v>482</v>
      </c>
      <c r="F442" s="14">
        <f>IF(COUNTIF('Claude vs tools'!$K$2:$P$139,B442)&gt;0,1,0)</f>
        <v>0</v>
      </c>
      <c r="G442" s="14">
        <f>IF(COUNTIF('Claude vs tools'!$K$2:$P$139,C442)&gt;0,1,0)</f>
        <v>1</v>
      </c>
    </row>
    <row r="443" spans="2:7" x14ac:dyDescent="0.3">
      <c r="B443" s="16" t="s">
        <v>1181</v>
      </c>
      <c r="C443" s="16" t="s">
        <v>483</v>
      </c>
      <c r="F443" s="14">
        <f>IF(COUNTIF('Claude vs tools'!$K$2:$P$139,B443)&gt;0,1,0)</f>
        <v>0</v>
      </c>
      <c r="G443" s="14">
        <f>IF(COUNTIF('Claude vs tools'!$K$2:$P$139,C443)&gt;0,1,0)</f>
        <v>1</v>
      </c>
    </row>
    <row r="444" spans="2:7" x14ac:dyDescent="0.3">
      <c r="B444" s="16" t="s">
        <v>1182</v>
      </c>
      <c r="C444" s="16" t="s">
        <v>696</v>
      </c>
      <c r="F444" s="14">
        <f>IF(COUNTIF('Claude vs tools'!$K$2:$P$139,B444)&gt;0,1,0)</f>
        <v>0</v>
      </c>
      <c r="G444" s="14">
        <f>IF(COUNTIF('Claude vs tools'!$K$2:$P$139,C444)&gt;0,1,0)</f>
        <v>0</v>
      </c>
    </row>
    <row r="445" spans="2:7" x14ac:dyDescent="0.3">
      <c r="B445" s="16" t="s">
        <v>1187</v>
      </c>
      <c r="C445" s="16" t="s">
        <v>1082</v>
      </c>
      <c r="F445" s="14">
        <f>IF(COUNTIF('Claude vs tools'!$K$2:$P$139,B445)&gt;0,1,0)</f>
        <v>0</v>
      </c>
      <c r="G445" s="14">
        <f>IF(COUNTIF('Claude vs tools'!$K$2:$P$139,C445)&gt;0,1,0)</f>
        <v>0</v>
      </c>
    </row>
    <row r="446" spans="2:7" x14ac:dyDescent="0.3">
      <c r="B446" s="16" t="s">
        <v>1188</v>
      </c>
      <c r="C446" s="16" t="s">
        <v>2278</v>
      </c>
      <c r="F446" s="14">
        <f>IF(COUNTIF('Claude vs tools'!$K$2:$P$139,B446)&gt;0,1,0)</f>
        <v>0</v>
      </c>
      <c r="G446" s="14">
        <f>IF(COUNTIF('Claude vs tools'!$K$2:$P$139,C446)&gt;0,1,0)</f>
        <v>0</v>
      </c>
    </row>
    <row r="447" spans="2:7" x14ac:dyDescent="0.3">
      <c r="B447" s="16" t="s">
        <v>1189</v>
      </c>
      <c r="C447" s="16" t="s">
        <v>698</v>
      </c>
      <c r="F447" s="14">
        <f>IF(COUNTIF('Claude vs tools'!$K$2:$P$139,B447)&gt;0,1,0)</f>
        <v>0</v>
      </c>
      <c r="G447" s="14">
        <f>IF(COUNTIF('Claude vs tools'!$K$2:$P$139,C447)&gt;0,1,0)</f>
        <v>0</v>
      </c>
    </row>
    <row r="448" spans="2:7" x14ac:dyDescent="0.3">
      <c r="B448" s="16" t="s">
        <v>1190</v>
      </c>
      <c r="C448" s="16" t="s">
        <v>699</v>
      </c>
      <c r="F448" s="14">
        <f>IF(COUNTIF('Claude vs tools'!$K$2:$P$139,B448)&gt;0,1,0)</f>
        <v>0</v>
      </c>
      <c r="G448" s="14">
        <f>IF(COUNTIF('Claude vs tools'!$K$2:$P$139,C448)&gt;0,1,0)</f>
        <v>0</v>
      </c>
    </row>
    <row r="449" spans="2:7" x14ac:dyDescent="0.3">
      <c r="B449" s="16" t="s">
        <v>1191</v>
      </c>
      <c r="C449" s="16" t="s">
        <v>700</v>
      </c>
      <c r="F449" s="14">
        <f>IF(COUNTIF('Claude vs tools'!$K$2:$P$139,B449)&gt;0,1,0)</f>
        <v>0</v>
      </c>
      <c r="G449" s="14">
        <f>IF(COUNTIF('Claude vs tools'!$K$2:$P$139,C449)&gt;0,1,0)</f>
        <v>0</v>
      </c>
    </row>
    <row r="450" spans="2:7" x14ac:dyDescent="0.3">
      <c r="B450" s="16" t="s">
        <v>738</v>
      </c>
      <c r="C450" s="16" t="s">
        <v>701</v>
      </c>
      <c r="F450" s="14">
        <f>IF(COUNTIF('Claude vs tools'!$K$2:$P$139,B450)&gt;0,1,0)</f>
        <v>0</v>
      </c>
      <c r="G450" s="14">
        <f>IF(COUNTIF('Claude vs tools'!$K$2:$P$139,C450)&gt;0,1,0)</f>
        <v>0</v>
      </c>
    </row>
    <row r="451" spans="2:7" x14ac:dyDescent="0.3">
      <c r="B451" s="16" t="s">
        <v>1193</v>
      </c>
      <c r="C451" s="16" t="s">
        <v>171</v>
      </c>
      <c r="F451" s="14">
        <f>IF(COUNTIF('Claude vs tools'!$K$2:$P$139,B451)&gt;0,1,0)</f>
        <v>0</v>
      </c>
      <c r="G451" s="14">
        <f>IF(COUNTIF('Claude vs tools'!$K$2:$P$139,C451)&gt;0,1,0)</f>
        <v>1</v>
      </c>
    </row>
    <row r="452" spans="2:7" x14ac:dyDescent="0.3">
      <c r="B452" s="16" t="s">
        <v>1197</v>
      </c>
      <c r="C452" s="16" t="s">
        <v>1088</v>
      </c>
      <c r="F452" s="14">
        <f>IF(COUNTIF('Claude vs tools'!$K$2:$P$139,B452)&gt;0,1,0)</f>
        <v>0</v>
      </c>
      <c r="G452" s="14">
        <f>IF(COUNTIF('Claude vs tools'!$K$2:$P$139,C452)&gt;0,1,0)</f>
        <v>0</v>
      </c>
    </row>
    <row r="453" spans="2:7" x14ac:dyDescent="0.3">
      <c r="B453" s="16" t="s">
        <v>589</v>
      </c>
      <c r="C453" s="16" t="s">
        <v>1089</v>
      </c>
      <c r="F453" s="14">
        <f>IF(COUNTIF('Claude vs tools'!$K$2:$P$139,B453)&gt;0,1,0)</f>
        <v>0</v>
      </c>
      <c r="G453" s="14">
        <f>IF(COUNTIF('Claude vs tools'!$K$2:$P$139,C453)&gt;0,1,0)</f>
        <v>0</v>
      </c>
    </row>
    <row r="454" spans="2:7" x14ac:dyDescent="0.3">
      <c r="B454" s="16" t="s">
        <v>740</v>
      </c>
      <c r="C454" s="16" t="s">
        <v>1090</v>
      </c>
      <c r="F454" s="14">
        <f>IF(COUNTIF('Claude vs tools'!$K$2:$P$139,B454)&gt;0,1,0)</f>
        <v>0</v>
      </c>
      <c r="G454" s="14">
        <f>IF(COUNTIF('Claude vs tools'!$K$2:$P$139,C454)&gt;0,1,0)</f>
        <v>0</v>
      </c>
    </row>
    <row r="455" spans="2:7" x14ac:dyDescent="0.3">
      <c r="B455" s="16" t="s">
        <v>741</v>
      </c>
      <c r="C455" s="16" t="s">
        <v>214</v>
      </c>
      <c r="F455" s="14">
        <f>IF(COUNTIF('Claude vs tools'!$K$2:$P$139,B455)&gt;0,1,0)</f>
        <v>0</v>
      </c>
      <c r="G455" s="14">
        <f>IF(COUNTIF('Claude vs tools'!$K$2:$P$139,C455)&gt;0,1,0)</f>
        <v>1</v>
      </c>
    </row>
    <row r="456" spans="2:7" x14ac:dyDescent="0.3">
      <c r="B456" s="16" t="s">
        <v>743</v>
      </c>
      <c r="C456" s="16" t="s">
        <v>704</v>
      </c>
      <c r="F456" s="14">
        <f>IF(COUNTIF('Claude vs tools'!$K$2:$P$139,B456)&gt;0,1,0)</f>
        <v>0</v>
      </c>
      <c r="G456" s="14">
        <f>IF(COUNTIF('Claude vs tools'!$K$2:$P$139,C456)&gt;0,1,0)</f>
        <v>0</v>
      </c>
    </row>
    <row r="457" spans="2:7" x14ac:dyDescent="0.3">
      <c r="B457" s="16" t="s">
        <v>1208</v>
      </c>
      <c r="C457" s="16" t="s">
        <v>705</v>
      </c>
      <c r="F457" s="14">
        <f>IF(COUNTIF('Claude vs tools'!$K$2:$P$139,B457)&gt;0,1,0)</f>
        <v>0</v>
      </c>
      <c r="G457" s="14">
        <f>IF(COUNTIF('Claude vs tools'!$K$2:$P$139,C457)&gt;0,1,0)</f>
        <v>0</v>
      </c>
    </row>
    <row r="458" spans="2:7" x14ac:dyDescent="0.3">
      <c r="B458" s="16" t="s">
        <v>2138</v>
      </c>
      <c r="C458" s="16" t="s">
        <v>1099</v>
      </c>
      <c r="F458" s="14">
        <f>IF(COUNTIF('Claude vs tools'!$K$2:$P$139,B458)&gt;0,1,0)</f>
        <v>0</v>
      </c>
      <c r="G458" s="14">
        <f>IF(COUNTIF('Claude vs tools'!$K$2:$P$139,C458)&gt;0,1,0)</f>
        <v>0</v>
      </c>
    </row>
    <row r="459" spans="2:7" x14ac:dyDescent="0.3">
      <c r="B459" s="16" t="s">
        <v>2279</v>
      </c>
      <c r="C459" s="16" t="s">
        <v>1101</v>
      </c>
      <c r="F459" s="14">
        <f>IF(COUNTIF('Claude vs tools'!$K$2:$P$139,B459)&gt;0,1,0)</f>
        <v>0</v>
      </c>
      <c r="G459" s="14">
        <f>IF(COUNTIF('Claude vs tools'!$K$2:$P$139,C459)&gt;0,1,0)</f>
        <v>0</v>
      </c>
    </row>
    <row r="460" spans="2:7" x14ac:dyDescent="0.3">
      <c r="B460" s="16" t="s">
        <v>1210</v>
      </c>
      <c r="C460" s="16" t="s">
        <v>706</v>
      </c>
      <c r="F460" s="14">
        <f>IF(COUNTIF('Claude vs tools'!$K$2:$P$139,B460)&gt;0,1,0)</f>
        <v>0</v>
      </c>
      <c r="G460" s="14">
        <f>IF(COUNTIF('Claude vs tools'!$K$2:$P$139,C460)&gt;0,1,0)</f>
        <v>0</v>
      </c>
    </row>
    <row r="461" spans="2:7" x14ac:dyDescent="0.3">
      <c r="B461" s="16" t="s">
        <v>334</v>
      </c>
      <c r="C461" s="16" t="s">
        <v>707</v>
      </c>
      <c r="F461" s="14">
        <f>IF(COUNTIF('Claude vs tools'!$K$2:$P$139,B461)&gt;0,1,0)</f>
        <v>1</v>
      </c>
      <c r="G461" s="14">
        <f>IF(COUNTIF('Claude vs tools'!$K$2:$P$139,C461)&gt;0,1,0)</f>
        <v>0</v>
      </c>
    </row>
    <row r="462" spans="2:7" x14ac:dyDescent="0.3">
      <c r="B462" s="16" t="s">
        <v>127</v>
      </c>
      <c r="C462" s="16" t="s">
        <v>1104</v>
      </c>
      <c r="F462" s="14">
        <f>IF(COUNTIF('Claude vs tools'!$K$2:$P$139,B462)&gt;0,1,0)</f>
        <v>1</v>
      </c>
      <c r="G462" s="14">
        <f>IF(COUNTIF('Claude vs tools'!$K$2:$P$139,C462)&gt;0,1,0)</f>
        <v>0</v>
      </c>
    </row>
    <row r="463" spans="2:7" x14ac:dyDescent="0.3">
      <c r="B463" s="16" t="s">
        <v>1212</v>
      </c>
      <c r="C463" s="16" t="s">
        <v>709</v>
      </c>
      <c r="F463" s="14">
        <f>IF(COUNTIF('Claude vs tools'!$K$2:$P$139,B463)&gt;0,1,0)</f>
        <v>0</v>
      </c>
      <c r="G463" s="14">
        <f>IF(COUNTIF('Claude vs tools'!$K$2:$P$139,C463)&gt;0,1,0)</f>
        <v>0</v>
      </c>
    </row>
    <row r="464" spans="2:7" x14ac:dyDescent="0.3">
      <c r="B464" s="16" t="s">
        <v>590</v>
      </c>
      <c r="C464" s="16" t="s">
        <v>196</v>
      </c>
      <c r="F464" s="14">
        <f>IF(COUNTIF('Claude vs tools'!$K$2:$P$139,B464)&gt;0,1,0)</f>
        <v>0</v>
      </c>
      <c r="G464" s="14">
        <f>IF(COUNTIF('Claude vs tools'!$K$2:$P$139,C464)&gt;0,1,0)</f>
        <v>1</v>
      </c>
    </row>
    <row r="465" spans="2:7" x14ac:dyDescent="0.3">
      <c r="B465" s="16" t="s">
        <v>1214</v>
      </c>
      <c r="C465" s="16" t="s">
        <v>1109</v>
      </c>
      <c r="F465" s="14">
        <f>IF(COUNTIF('Claude vs tools'!$K$2:$P$139,B465)&gt;0,1,0)</f>
        <v>0</v>
      </c>
      <c r="G465" s="14">
        <f>IF(COUNTIF('Claude vs tools'!$K$2:$P$139,C465)&gt;0,1,0)</f>
        <v>0</v>
      </c>
    </row>
    <row r="466" spans="2:7" x14ac:dyDescent="0.3">
      <c r="B466" s="16" t="s">
        <v>744</v>
      </c>
      <c r="C466" s="16" t="s">
        <v>711</v>
      </c>
      <c r="F466" s="14">
        <f>IF(COUNTIF('Claude vs tools'!$K$2:$P$139,B466)&gt;0,1,0)</f>
        <v>0</v>
      </c>
      <c r="G466" s="14">
        <f>IF(COUNTIF('Claude vs tools'!$K$2:$P$139,C466)&gt;0,1,0)</f>
        <v>0</v>
      </c>
    </row>
    <row r="467" spans="2:7" x14ac:dyDescent="0.3">
      <c r="B467" s="16" t="s">
        <v>319</v>
      </c>
      <c r="C467" s="16" t="s">
        <v>532</v>
      </c>
      <c r="F467" s="14">
        <f>IF(COUNTIF('Claude vs tools'!$K$2:$P$139,B467)&gt;0,1,0)</f>
        <v>1</v>
      </c>
      <c r="G467" s="14">
        <f>IF(COUNTIF('Claude vs tools'!$K$2:$P$139,C467)&gt;0,1,0)</f>
        <v>1</v>
      </c>
    </row>
    <row r="468" spans="2:7" x14ac:dyDescent="0.3">
      <c r="B468" s="16" t="s">
        <v>318</v>
      </c>
      <c r="C468" s="16" t="s">
        <v>167</v>
      </c>
      <c r="F468" s="14">
        <f>IF(COUNTIF('Claude vs tools'!$K$2:$P$139,B468)&gt;0,1,0)</f>
        <v>1</v>
      </c>
      <c r="G468" s="14">
        <f>IF(COUNTIF('Claude vs tools'!$K$2:$P$139,C468)&gt;0,1,0)</f>
        <v>1</v>
      </c>
    </row>
    <row r="469" spans="2:7" x14ac:dyDescent="0.3">
      <c r="B469" s="16" t="s">
        <v>148</v>
      </c>
      <c r="C469" s="16" t="s">
        <v>165</v>
      </c>
      <c r="F469" s="14">
        <f>IF(COUNTIF('Claude vs tools'!$K$2:$P$139,B469)&gt;0,1,0)</f>
        <v>1</v>
      </c>
      <c r="G469" s="14">
        <f>IF(COUNTIF('Claude vs tools'!$K$2:$P$139,C469)&gt;0,1,0)</f>
        <v>1</v>
      </c>
    </row>
    <row r="470" spans="2:7" x14ac:dyDescent="0.3">
      <c r="B470" s="16" t="s">
        <v>1693</v>
      </c>
      <c r="C470" s="16" t="s">
        <v>527</v>
      </c>
      <c r="F470" s="14">
        <f>IF(COUNTIF('Claude vs tools'!$K$2:$P$139,B470)&gt;0,1,0)</f>
        <v>0</v>
      </c>
      <c r="G470" s="14">
        <f>IF(COUNTIF('Claude vs tools'!$K$2:$P$139,C470)&gt;0,1,0)</f>
        <v>1</v>
      </c>
    </row>
    <row r="471" spans="2:7" x14ac:dyDescent="0.3">
      <c r="B471" s="16" t="s">
        <v>1215</v>
      </c>
      <c r="C471" s="16" t="s">
        <v>524</v>
      </c>
      <c r="F471" s="14">
        <f>IF(COUNTIF('Claude vs tools'!$K$2:$P$139,B471)&gt;0,1,0)</f>
        <v>0</v>
      </c>
      <c r="G471" s="14">
        <f>IF(COUNTIF('Claude vs tools'!$K$2:$P$139,C471)&gt;0,1,0)</f>
        <v>1</v>
      </c>
    </row>
    <row r="472" spans="2:7" x14ac:dyDescent="0.3">
      <c r="B472" s="16" t="s">
        <v>1217</v>
      </c>
      <c r="C472" s="16" t="s">
        <v>192</v>
      </c>
      <c r="F472" s="14">
        <f>IF(COUNTIF('Claude vs tools'!$K$2:$P$139,B472)&gt;0,1,0)</f>
        <v>0</v>
      </c>
      <c r="G472" s="14">
        <f>IF(COUNTIF('Claude vs tools'!$K$2:$P$139,C472)&gt;0,1,0)</f>
        <v>1</v>
      </c>
    </row>
    <row r="473" spans="2:7" x14ac:dyDescent="0.3">
      <c r="B473" s="16" t="s">
        <v>1218</v>
      </c>
      <c r="C473" s="16" t="s">
        <v>1127</v>
      </c>
      <c r="F473" s="14">
        <f>IF(COUNTIF('Claude vs tools'!$K$2:$P$139,B473)&gt;0,1,0)</f>
        <v>0</v>
      </c>
      <c r="G473" s="14">
        <f>IF(COUNTIF('Claude vs tools'!$K$2:$P$139,C473)&gt;0,1,0)</f>
        <v>0</v>
      </c>
    </row>
    <row r="474" spans="2:7" x14ac:dyDescent="0.3">
      <c r="B474" s="16" t="s">
        <v>2280</v>
      </c>
      <c r="C474" s="16" t="s">
        <v>303</v>
      </c>
      <c r="F474" s="14">
        <f>IF(COUNTIF('Claude vs tools'!$K$2:$P$139,B474)&gt;0,1,0)</f>
        <v>0</v>
      </c>
      <c r="G474" s="14">
        <f>IF(COUNTIF('Claude vs tools'!$K$2:$P$139,C474)&gt;0,1,0)</f>
        <v>1</v>
      </c>
    </row>
    <row r="475" spans="2:7" x14ac:dyDescent="0.3">
      <c r="B475" s="16" t="s">
        <v>746</v>
      </c>
      <c r="C475" s="16" t="s">
        <v>1135</v>
      </c>
      <c r="F475" s="14">
        <f>IF(COUNTIF('Claude vs tools'!$K$2:$P$139,B475)&gt;0,1,0)</f>
        <v>0</v>
      </c>
      <c r="G475" s="14">
        <f>IF(COUNTIF('Claude vs tools'!$K$2:$P$139,C475)&gt;0,1,0)</f>
        <v>0</v>
      </c>
    </row>
    <row r="476" spans="2:7" x14ac:dyDescent="0.3">
      <c r="B476" s="16" t="s">
        <v>1219</v>
      </c>
      <c r="C476" s="16" t="s">
        <v>1136</v>
      </c>
      <c r="F476" s="14">
        <f>IF(COUNTIF('Claude vs tools'!$K$2:$P$139,B476)&gt;0,1,0)</f>
        <v>0</v>
      </c>
      <c r="G476" s="14">
        <f>IF(COUNTIF('Claude vs tools'!$K$2:$P$139,C476)&gt;0,1,0)</f>
        <v>0</v>
      </c>
    </row>
    <row r="477" spans="2:7" x14ac:dyDescent="0.3">
      <c r="B477" s="16" t="s">
        <v>1221</v>
      </c>
      <c r="C477" s="16" t="s">
        <v>1137</v>
      </c>
      <c r="F477" s="14">
        <f>IF(COUNTIF('Claude vs tools'!$K$2:$P$139,B477)&gt;0,1,0)</f>
        <v>0</v>
      </c>
      <c r="G477" s="14">
        <f>IF(COUNTIF('Claude vs tools'!$K$2:$P$139,C477)&gt;0,1,0)</f>
        <v>0</v>
      </c>
    </row>
    <row r="478" spans="2:7" x14ac:dyDescent="0.3">
      <c r="B478" s="16" t="s">
        <v>1223</v>
      </c>
      <c r="C478" s="16" t="s">
        <v>1138</v>
      </c>
      <c r="F478" s="14">
        <f>IF(COUNTIF('Claude vs tools'!$K$2:$P$139,B478)&gt;0,1,0)</f>
        <v>0</v>
      </c>
      <c r="G478" s="14">
        <f>IF(COUNTIF('Claude vs tools'!$K$2:$P$139,C478)&gt;0,1,0)</f>
        <v>0</v>
      </c>
    </row>
    <row r="479" spans="2:7" x14ac:dyDescent="0.3">
      <c r="B479" s="16" t="s">
        <v>748</v>
      </c>
      <c r="C479" s="16" t="s">
        <v>1139</v>
      </c>
      <c r="F479" s="14">
        <f>IF(COUNTIF('Claude vs tools'!$K$2:$P$139,B479)&gt;0,1,0)</f>
        <v>0</v>
      </c>
      <c r="G479" s="14">
        <f>IF(COUNTIF('Claude vs tools'!$K$2:$P$139,C479)&gt;0,1,0)</f>
        <v>0</v>
      </c>
    </row>
    <row r="480" spans="2:7" x14ac:dyDescent="0.3">
      <c r="B480" s="16" t="s">
        <v>749</v>
      </c>
      <c r="C480" s="16" t="s">
        <v>717</v>
      </c>
      <c r="F480" s="14">
        <f>IF(COUNTIF('Claude vs tools'!$K$2:$P$139,B480)&gt;0,1,0)</f>
        <v>0</v>
      </c>
      <c r="G480" s="14">
        <f>IF(COUNTIF('Claude vs tools'!$K$2:$P$139,C480)&gt;0,1,0)</f>
        <v>0</v>
      </c>
    </row>
    <row r="481" spans="2:7" x14ac:dyDescent="0.3">
      <c r="B481" s="16" t="s">
        <v>750</v>
      </c>
      <c r="C481" s="16" t="s">
        <v>2078</v>
      </c>
      <c r="F481" s="14">
        <f>IF(COUNTIF('Claude vs tools'!$K$2:$P$139,B481)&gt;0,1,0)</f>
        <v>0</v>
      </c>
      <c r="G481" s="14">
        <f>IF(COUNTIF('Claude vs tools'!$K$2:$P$139,C481)&gt;0,1,0)</f>
        <v>0</v>
      </c>
    </row>
    <row r="482" spans="2:7" x14ac:dyDescent="0.3">
      <c r="B482" s="16" t="s">
        <v>1224</v>
      </c>
      <c r="C482" s="16" t="s">
        <v>2281</v>
      </c>
      <c r="F482" s="14">
        <f>IF(COUNTIF('Claude vs tools'!$K$2:$P$139,B482)&gt;0,1,0)</f>
        <v>0</v>
      </c>
      <c r="G482" s="14">
        <f>IF(COUNTIF('Claude vs tools'!$K$2:$P$139,C482)&gt;0,1,0)</f>
        <v>0</v>
      </c>
    </row>
    <row r="483" spans="2:7" x14ac:dyDescent="0.3">
      <c r="B483" s="16" t="s">
        <v>120</v>
      </c>
      <c r="C483" s="16" t="s">
        <v>718</v>
      </c>
      <c r="F483" s="14">
        <f>IF(COUNTIF('Claude vs tools'!$K$2:$P$139,B483)&gt;0,1,0)</f>
        <v>1</v>
      </c>
      <c r="G483" s="14">
        <f>IF(COUNTIF('Claude vs tools'!$K$2:$P$139,C483)&gt;0,1,0)</f>
        <v>0</v>
      </c>
    </row>
    <row r="484" spans="2:7" x14ac:dyDescent="0.3">
      <c r="B484" s="16" t="s">
        <v>751</v>
      </c>
      <c r="C484" s="16" t="s">
        <v>2282</v>
      </c>
      <c r="F484" s="14">
        <f>IF(COUNTIF('Claude vs tools'!$K$2:$P$139,B484)&gt;0,1,0)</f>
        <v>0</v>
      </c>
      <c r="G484" s="14">
        <f>IF(COUNTIF('Claude vs tools'!$K$2:$P$139,C484)&gt;0,1,0)</f>
        <v>0</v>
      </c>
    </row>
    <row r="485" spans="2:7" x14ac:dyDescent="0.3">
      <c r="B485" s="16" t="s">
        <v>752</v>
      </c>
      <c r="C485" s="16" t="s">
        <v>244</v>
      </c>
      <c r="F485" s="14">
        <f>IF(COUNTIF('Claude vs tools'!$K$2:$P$139,B485)&gt;0,1,0)</f>
        <v>0</v>
      </c>
      <c r="G485" s="14">
        <f>IF(COUNTIF('Claude vs tools'!$K$2:$P$139,C485)&gt;0,1,0)</f>
        <v>1</v>
      </c>
    </row>
    <row r="486" spans="2:7" x14ac:dyDescent="0.3">
      <c r="B486" s="16" t="s">
        <v>489</v>
      </c>
      <c r="C486" s="16" t="s">
        <v>1152</v>
      </c>
      <c r="F486" s="14">
        <f>IF(COUNTIF('Claude vs tools'!$K$2:$P$139,B486)&gt;0,1,0)</f>
        <v>1</v>
      </c>
      <c r="G486" s="14">
        <f>IF(COUNTIF('Claude vs tools'!$K$2:$P$139,C486)&gt;0,1,0)</f>
        <v>0</v>
      </c>
    </row>
    <row r="487" spans="2:7" x14ac:dyDescent="0.3">
      <c r="B487" s="16" t="s">
        <v>1227</v>
      </c>
      <c r="C487" s="16" t="s">
        <v>720</v>
      </c>
      <c r="F487" s="14">
        <f>IF(COUNTIF('Claude vs tools'!$K$2:$P$139,B487)&gt;0,1,0)</f>
        <v>0</v>
      </c>
      <c r="G487" s="14">
        <f>IF(COUNTIF('Claude vs tools'!$K$2:$P$139,C487)&gt;0,1,0)</f>
        <v>0</v>
      </c>
    </row>
    <row r="488" spans="2:7" x14ac:dyDescent="0.3">
      <c r="B488" s="16" t="s">
        <v>243</v>
      </c>
      <c r="C488" s="16" t="s">
        <v>721</v>
      </c>
      <c r="F488" s="14">
        <f>IF(COUNTIF('Claude vs tools'!$K$2:$P$139,B488)&gt;0,1,0)</f>
        <v>1</v>
      </c>
      <c r="G488" s="14">
        <f>IF(COUNTIF('Claude vs tools'!$K$2:$P$139,C488)&gt;0,1,0)</f>
        <v>0</v>
      </c>
    </row>
    <row r="489" spans="2:7" x14ac:dyDescent="0.3">
      <c r="B489" s="16" t="s">
        <v>1231</v>
      </c>
      <c r="C489" s="16" t="s">
        <v>1153</v>
      </c>
      <c r="F489" s="14">
        <f>IF(COUNTIF('Claude vs tools'!$K$2:$P$139,B489)&gt;0,1,0)</f>
        <v>0</v>
      </c>
      <c r="G489" s="14">
        <f>IF(COUNTIF('Claude vs tools'!$K$2:$P$139,C489)&gt;0,1,0)</f>
        <v>0</v>
      </c>
    </row>
    <row r="490" spans="2:7" x14ac:dyDescent="0.3">
      <c r="B490" s="16" t="s">
        <v>1232</v>
      </c>
      <c r="C490" s="16" t="s">
        <v>1155</v>
      </c>
      <c r="F490" s="14">
        <f>IF(COUNTIF('Claude vs tools'!$K$2:$P$139,B490)&gt;0,1,0)</f>
        <v>0</v>
      </c>
      <c r="G490" s="14">
        <f>IF(COUNTIF('Claude vs tools'!$K$2:$P$139,C490)&gt;0,1,0)</f>
        <v>0</v>
      </c>
    </row>
    <row r="491" spans="2:7" x14ac:dyDescent="0.3">
      <c r="B491" s="16" t="s">
        <v>753</v>
      </c>
      <c r="C491" s="16" t="s">
        <v>86</v>
      </c>
      <c r="F491" s="14">
        <f>IF(COUNTIF('Claude vs tools'!$K$2:$P$139,B491)&gt;0,1,0)</f>
        <v>0</v>
      </c>
      <c r="G491" s="14">
        <f>IF(COUNTIF('Claude vs tools'!$K$2:$P$139,C491)&gt;0,1,0)</f>
        <v>1</v>
      </c>
    </row>
    <row r="492" spans="2:7" x14ac:dyDescent="0.3">
      <c r="B492" s="16" t="s">
        <v>1233</v>
      </c>
      <c r="C492" s="16" t="s">
        <v>1157</v>
      </c>
      <c r="F492" s="14">
        <f>IF(COUNTIF('Claude vs tools'!$K$2:$P$139,B492)&gt;0,1,0)</f>
        <v>0</v>
      </c>
      <c r="G492" s="14">
        <f>IF(COUNTIF('Claude vs tools'!$K$2:$P$139,C492)&gt;0,1,0)</f>
        <v>0</v>
      </c>
    </row>
    <row r="493" spans="2:7" x14ac:dyDescent="0.3">
      <c r="B493" s="16" t="s">
        <v>297</v>
      </c>
      <c r="C493" s="16" t="s">
        <v>1159</v>
      </c>
      <c r="F493" s="14">
        <f>IF(COUNTIF('Claude vs tools'!$K$2:$P$139,B493)&gt;0,1,0)</f>
        <v>1</v>
      </c>
      <c r="G493" s="14">
        <f>IF(COUNTIF('Claude vs tools'!$K$2:$P$139,C493)&gt;0,1,0)</f>
        <v>0</v>
      </c>
    </row>
    <row r="494" spans="2:7" x14ac:dyDescent="0.3">
      <c r="B494" s="16" t="s">
        <v>1234</v>
      </c>
      <c r="C494" s="16" t="s">
        <v>1160</v>
      </c>
      <c r="F494" s="14">
        <f>IF(COUNTIF('Claude vs tools'!$K$2:$P$139,B494)&gt;0,1,0)</f>
        <v>0</v>
      </c>
      <c r="G494" s="14">
        <f>IF(COUNTIF('Claude vs tools'!$K$2:$P$139,C494)&gt;0,1,0)</f>
        <v>0</v>
      </c>
    </row>
    <row r="495" spans="2:7" x14ac:dyDescent="0.3">
      <c r="B495" s="16" t="s">
        <v>1235</v>
      </c>
      <c r="C495" s="16" t="s">
        <v>248</v>
      </c>
      <c r="F495" s="14">
        <f>IF(COUNTIF('Claude vs tools'!$K$2:$P$139,B495)&gt;0,1,0)</f>
        <v>0</v>
      </c>
      <c r="G495" s="14">
        <f>IF(COUNTIF('Claude vs tools'!$K$2:$P$139,C495)&gt;0,1,0)</f>
        <v>1</v>
      </c>
    </row>
    <row r="496" spans="2:7" x14ac:dyDescent="0.3">
      <c r="B496" s="16" t="s">
        <v>1237</v>
      </c>
      <c r="C496" s="16" t="s">
        <v>725</v>
      </c>
      <c r="F496" s="14">
        <f>IF(COUNTIF('Claude vs tools'!$K$2:$P$139,B496)&gt;0,1,0)</f>
        <v>0</v>
      </c>
      <c r="G496" s="14">
        <f>IF(COUNTIF('Claude vs tools'!$K$2:$P$139,C496)&gt;0,1,0)</f>
        <v>0</v>
      </c>
    </row>
    <row r="497" spans="2:7" x14ac:dyDescent="0.3">
      <c r="B497" s="16" t="s">
        <v>1240</v>
      </c>
      <c r="C497" s="16" t="s">
        <v>727</v>
      </c>
      <c r="F497" s="14">
        <f>IF(COUNTIF('Claude vs tools'!$K$2:$P$139,B497)&gt;0,1,0)</f>
        <v>0</v>
      </c>
      <c r="G497" s="14">
        <f>IF(COUNTIF('Claude vs tools'!$K$2:$P$139,C497)&gt;0,1,0)</f>
        <v>0</v>
      </c>
    </row>
    <row r="498" spans="2:7" x14ac:dyDescent="0.3">
      <c r="B498" s="16" t="s">
        <v>1241</v>
      </c>
      <c r="C498" s="16" t="s">
        <v>728</v>
      </c>
      <c r="F498" s="14">
        <f>IF(COUNTIF('Claude vs tools'!$K$2:$P$139,B498)&gt;0,1,0)</f>
        <v>0</v>
      </c>
      <c r="G498" s="14">
        <f>IF(COUNTIF('Claude vs tools'!$K$2:$P$139,C498)&gt;0,1,0)</f>
        <v>0</v>
      </c>
    </row>
    <row r="499" spans="2:7" x14ac:dyDescent="0.3">
      <c r="B499" s="16" t="s">
        <v>342</v>
      </c>
      <c r="C499" s="16" t="s">
        <v>1164</v>
      </c>
      <c r="F499" s="14">
        <f>IF(COUNTIF('Claude vs tools'!$K$2:$P$139,B499)&gt;0,1,0)</f>
        <v>1</v>
      </c>
      <c r="G499" s="14">
        <f>IF(COUNTIF('Claude vs tools'!$K$2:$P$139,C499)&gt;0,1,0)</f>
        <v>0</v>
      </c>
    </row>
    <row r="500" spans="2:7" x14ac:dyDescent="0.3">
      <c r="B500" s="16" t="s">
        <v>591</v>
      </c>
      <c r="C500" s="16" t="s">
        <v>220</v>
      </c>
      <c r="F500" s="14">
        <f>IF(COUNTIF('Claude vs tools'!$K$2:$P$139,B500)&gt;0,1,0)</f>
        <v>0</v>
      </c>
      <c r="G500" s="14">
        <f>IF(COUNTIF('Claude vs tools'!$K$2:$P$139,C500)&gt;0,1,0)</f>
        <v>1</v>
      </c>
    </row>
    <row r="501" spans="2:7" x14ac:dyDescent="0.3">
      <c r="B501" s="16" t="s">
        <v>1244</v>
      </c>
      <c r="C501" s="16" t="s">
        <v>1169</v>
      </c>
      <c r="F501" s="14">
        <f>IF(COUNTIF('Claude vs tools'!$K$2:$P$139,B501)&gt;0,1,0)</f>
        <v>0</v>
      </c>
      <c r="G501" s="14">
        <f>IF(COUNTIF('Claude vs tools'!$K$2:$P$139,C501)&gt;0,1,0)</f>
        <v>0</v>
      </c>
    </row>
    <row r="502" spans="2:7" x14ac:dyDescent="0.3">
      <c r="B502" s="16" t="s">
        <v>1245</v>
      </c>
      <c r="C502" s="16" t="s">
        <v>222</v>
      </c>
      <c r="F502" s="14">
        <f>IF(COUNTIF('Claude vs tools'!$K$2:$P$139,B502)&gt;0,1,0)</f>
        <v>0</v>
      </c>
      <c r="G502" s="14">
        <f>IF(COUNTIF('Claude vs tools'!$K$2:$P$139,C502)&gt;0,1,0)</f>
        <v>1</v>
      </c>
    </row>
    <row r="503" spans="2:7" x14ac:dyDescent="0.3">
      <c r="B503" s="16" t="s">
        <v>1246</v>
      </c>
      <c r="C503" s="16" t="s">
        <v>1171</v>
      </c>
      <c r="F503" s="14">
        <f>IF(COUNTIF('Claude vs tools'!$K$2:$P$139,B503)&gt;0,1,0)</f>
        <v>0</v>
      </c>
      <c r="G503" s="14">
        <f>IF(COUNTIF('Claude vs tools'!$K$2:$P$139,C503)&gt;0,1,0)</f>
        <v>0</v>
      </c>
    </row>
    <row r="504" spans="2:7" x14ac:dyDescent="0.3">
      <c r="B504" s="16" t="s">
        <v>1247</v>
      </c>
      <c r="C504" s="16" t="s">
        <v>1173</v>
      </c>
      <c r="F504" s="14">
        <f>IF(COUNTIF('Claude vs tools'!$K$2:$P$139,B504)&gt;0,1,0)</f>
        <v>0</v>
      </c>
      <c r="G504" s="14">
        <f>IF(COUNTIF('Claude vs tools'!$K$2:$P$139,C504)&gt;0,1,0)</f>
        <v>0</v>
      </c>
    </row>
    <row r="505" spans="2:7" x14ac:dyDescent="0.3">
      <c r="B505" s="16" t="s">
        <v>1249</v>
      </c>
      <c r="C505" s="16" t="s">
        <v>33</v>
      </c>
      <c r="F505" s="14">
        <f>IF(COUNTIF('Claude vs tools'!$K$2:$P$139,B505)&gt;0,1,0)</f>
        <v>0</v>
      </c>
      <c r="G505" s="14">
        <f>IF(COUNTIF('Claude vs tools'!$K$2:$P$139,C505)&gt;0,1,0)</f>
        <v>1</v>
      </c>
    </row>
    <row r="506" spans="2:7" x14ac:dyDescent="0.3">
      <c r="B506" s="16" t="s">
        <v>754</v>
      </c>
      <c r="C506" s="16" t="s">
        <v>737</v>
      </c>
      <c r="F506" s="14">
        <f>IF(COUNTIF('Claude vs tools'!$K$2:$P$139,B506)&gt;0,1,0)</f>
        <v>0</v>
      </c>
      <c r="G506" s="14">
        <f>IF(COUNTIF('Claude vs tools'!$K$2:$P$139,C506)&gt;0,1,0)</f>
        <v>0</v>
      </c>
    </row>
    <row r="507" spans="2:7" x14ac:dyDescent="0.3">
      <c r="B507" s="16" t="s">
        <v>1250</v>
      </c>
      <c r="C507" s="16" t="s">
        <v>1196</v>
      </c>
      <c r="F507" s="14">
        <f>IF(COUNTIF('Claude vs tools'!$K$2:$P$139,B507)&gt;0,1,0)</f>
        <v>0</v>
      </c>
      <c r="G507" s="14">
        <f>IF(COUNTIF('Claude vs tools'!$K$2:$P$139,C507)&gt;0,1,0)</f>
        <v>0</v>
      </c>
    </row>
    <row r="508" spans="2:7" x14ac:dyDescent="0.3">
      <c r="B508" s="16" t="s">
        <v>1251</v>
      </c>
      <c r="C508" s="16" t="s">
        <v>589</v>
      </c>
      <c r="F508" s="14">
        <f>IF(COUNTIF('Claude vs tools'!$K$2:$P$139,B508)&gt;0,1,0)</f>
        <v>0</v>
      </c>
      <c r="G508" s="14">
        <f>IF(COUNTIF('Claude vs tools'!$K$2:$P$139,C508)&gt;0,1,0)</f>
        <v>0</v>
      </c>
    </row>
    <row r="509" spans="2:7" x14ac:dyDescent="0.3">
      <c r="B509" s="16" t="s">
        <v>1254</v>
      </c>
      <c r="C509" s="16" t="s">
        <v>741</v>
      </c>
      <c r="F509" s="14">
        <f>IF(COUNTIF('Claude vs tools'!$K$2:$P$139,B509)&gt;0,1,0)</f>
        <v>0</v>
      </c>
      <c r="G509" s="14">
        <f>IF(COUNTIF('Claude vs tools'!$K$2:$P$139,C509)&gt;0,1,0)</f>
        <v>0</v>
      </c>
    </row>
    <row r="510" spans="2:7" x14ac:dyDescent="0.3">
      <c r="B510" s="16" t="s">
        <v>755</v>
      </c>
      <c r="C510" s="16" t="s">
        <v>1202</v>
      </c>
      <c r="F510" s="14">
        <f>IF(COUNTIF('Claude vs tools'!$K$2:$P$139,B510)&gt;0,1,0)</f>
        <v>0</v>
      </c>
      <c r="G510" s="14">
        <f>IF(COUNTIF('Claude vs tools'!$K$2:$P$139,C510)&gt;0,1,0)</f>
        <v>0</v>
      </c>
    </row>
    <row r="511" spans="2:7" x14ac:dyDescent="0.3">
      <c r="B511" s="16" t="s">
        <v>592</v>
      </c>
      <c r="C511" s="16" t="s">
        <v>1205</v>
      </c>
      <c r="F511" s="14">
        <f>IF(COUNTIF('Claude vs tools'!$K$2:$P$139,B511)&gt;0,1,0)</f>
        <v>0</v>
      </c>
      <c r="G511" s="14">
        <f>IF(COUNTIF('Claude vs tools'!$K$2:$P$139,C511)&gt;0,1,0)</f>
        <v>0</v>
      </c>
    </row>
    <row r="512" spans="2:7" x14ac:dyDescent="0.3">
      <c r="B512" s="16" t="s">
        <v>756</v>
      </c>
      <c r="C512" s="16" t="s">
        <v>1206</v>
      </c>
      <c r="F512" s="14">
        <f>IF(COUNTIF('Claude vs tools'!$K$2:$P$139,B512)&gt;0,1,0)</f>
        <v>0</v>
      </c>
      <c r="G512" s="14">
        <f>IF(COUNTIF('Claude vs tools'!$K$2:$P$139,C512)&gt;0,1,0)</f>
        <v>0</v>
      </c>
    </row>
    <row r="513" spans="2:7" x14ac:dyDescent="0.3">
      <c r="B513" s="16" t="s">
        <v>757</v>
      </c>
      <c r="C513" s="16" t="s">
        <v>1213</v>
      </c>
      <c r="F513" s="14">
        <f>IF(COUNTIF('Claude vs tools'!$K$2:$P$139,B513)&gt;0,1,0)</f>
        <v>0</v>
      </c>
      <c r="G513" s="14">
        <f>IF(COUNTIF('Claude vs tools'!$K$2:$P$139,C513)&gt;0,1,0)</f>
        <v>0</v>
      </c>
    </row>
    <row r="514" spans="2:7" x14ac:dyDescent="0.3">
      <c r="B514" s="16" t="s">
        <v>758</v>
      </c>
      <c r="C514" s="16" t="s">
        <v>744</v>
      </c>
      <c r="F514" s="14">
        <f>IF(COUNTIF('Claude vs tools'!$K$2:$P$139,B514)&gt;0,1,0)</f>
        <v>0</v>
      </c>
      <c r="G514" s="14">
        <f>IF(COUNTIF('Claude vs tools'!$K$2:$P$139,C514)&gt;0,1,0)</f>
        <v>0</v>
      </c>
    </row>
    <row r="515" spans="2:7" x14ac:dyDescent="0.3">
      <c r="B515" s="16" t="s">
        <v>1256</v>
      </c>
      <c r="C515" s="16" t="s">
        <v>318</v>
      </c>
      <c r="F515" s="14">
        <f>IF(COUNTIF('Claude vs tools'!$K$2:$P$139,B515)&gt;0,1,0)</f>
        <v>0</v>
      </c>
      <c r="G515" s="14">
        <f>IF(COUNTIF('Claude vs tools'!$K$2:$P$139,C515)&gt;0,1,0)</f>
        <v>1</v>
      </c>
    </row>
    <row r="516" spans="2:7" x14ac:dyDescent="0.3">
      <c r="B516" s="16" t="s">
        <v>57</v>
      </c>
      <c r="C516" s="16" t="s">
        <v>148</v>
      </c>
      <c r="F516" s="14">
        <f>IF(COUNTIF('Claude vs tools'!$K$2:$P$139,B516)&gt;0,1,0)</f>
        <v>1</v>
      </c>
      <c r="G516" s="14">
        <f>IF(COUNTIF('Claude vs tools'!$K$2:$P$139,C516)&gt;0,1,0)</f>
        <v>1</v>
      </c>
    </row>
    <row r="517" spans="2:7" x14ac:dyDescent="0.3">
      <c r="B517" s="16" t="s">
        <v>1257</v>
      </c>
      <c r="C517" s="16" t="s">
        <v>1693</v>
      </c>
      <c r="F517" s="14">
        <f>IF(COUNTIF('Claude vs tools'!$K$2:$P$139,B517)&gt;0,1,0)</f>
        <v>0</v>
      </c>
      <c r="G517" s="14">
        <f>IF(COUNTIF('Claude vs tools'!$K$2:$P$139,C517)&gt;0,1,0)</f>
        <v>0</v>
      </c>
    </row>
    <row r="518" spans="2:7" x14ac:dyDescent="0.3">
      <c r="B518" s="16" t="s">
        <v>538</v>
      </c>
      <c r="C518" s="16" t="s">
        <v>1216</v>
      </c>
      <c r="F518" s="14">
        <f>IF(COUNTIF('Claude vs tools'!$K$2:$P$139,B518)&gt;0,1,0)</f>
        <v>1</v>
      </c>
      <c r="G518" s="14">
        <f>IF(COUNTIF('Claude vs tools'!$K$2:$P$139,C518)&gt;0,1,0)</f>
        <v>0</v>
      </c>
    </row>
    <row r="519" spans="2:7" x14ac:dyDescent="0.3">
      <c r="B519" s="16" t="s">
        <v>759</v>
      </c>
      <c r="C519" s="16" t="s">
        <v>2280</v>
      </c>
      <c r="F519" s="14">
        <f>IF(COUNTIF('Claude vs tools'!$K$2:$P$139,B519)&gt;0,1,0)</f>
        <v>0</v>
      </c>
      <c r="G519" s="14">
        <f>IF(COUNTIF('Claude vs tools'!$K$2:$P$139,C519)&gt;0,1,0)</f>
        <v>0</v>
      </c>
    </row>
    <row r="520" spans="2:7" x14ac:dyDescent="0.3">
      <c r="B520" s="16" t="s">
        <v>1259</v>
      </c>
      <c r="C520" s="16" t="s">
        <v>746</v>
      </c>
      <c r="F520" s="14">
        <f>IF(COUNTIF('Claude vs tools'!$K$2:$P$139,B520)&gt;0,1,0)</f>
        <v>0</v>
      </c>
      <c r="G520" s="14">
        <f>IF(COUNTIF('Claude vs tools'!$K$2:$P$139,C520)&gt;0,1,0)</f>
        <v>0</v>
      </c>
    </row>
    <row r="521" spans="2:7" x14ac:dyDescent="0.3">
      <c r="B521" s="16" t="s">
        <v>1261</v>
      </c>
      <c r="C521" s="16" t="s">
        <v>383</v>
      </c>
      <c r="F521" s="14">
        <f>IF(COUNTIF('Claude vs tools'!$K$2:$P$139,B521)&gt;0,1,0)</f>
        <v>0</v>
      </c>
      <c r="G521" s="14">
        <f>IF(COUNTIF('Claude vs tools'!$K$2:$P$139,C521)&gt;0,1,0)</f>
        <v>1</v>
      </c>
    </row>
    <row r="522" spans="2:7" x14ac:dyDescent="0.3">
      <c r="B522" s="16" t="s">
        <v>1264</v>
      </c>
      <c r="C522" s="16" t="s">
        <v>1220</v>
      </c>
      <c r="F522" s="14">
        <f>IF(COUNTIF('Claude vs tools'!$K$2:$P$139,B522)&gt;0,1,0)</f>
        <v>0</v>
      </c>
      <c r="G522" s="14">
        <f>IF(COUNTIF('Claude vs tools'!$K$2:$P$139,C522)&gt;0,1,0)</f>
        <v>0</v>
      </c>
    </row>
    <row r="523" spans="2:7" x14ac:dyDescent="0.3">
      <c r="B523" s="16" t="s">
        <v>1265</v>
      </c>
      <c r="C523" s="16" t="s">
        <v>1222</v>
      </c>
      <c r="F523" s="14">
        <f>IF(COUNTIF('Claude vs tools'!$K$2:$P$139,B523)&gt;0,1,0)</f>
        <v>0</v>
      </c>
      <c r="G523" s="14">
        <f>IF(COUNTIF('Claude vs tools'!$K$2:$P$139,C523)&gt;0,1,0)</f>
        <v>0</v>
      </c>
    </row>
    <row r="524" spans="2:7" x14ac:dyDescent="0.3">
      <c r="B524" s="16" t="s">
        <v>152</v>
      </c>
      <c r="C524" s="16" t="s">
        <v>749</v>
      </c>
      <c r="F524" s="14">
        <f>IF(COUNTIF('Claude vs tools'!$K$2:$P$139,B524)&gt;0,1,0)</f>
        <v>1</v>
      </c>
      <c r="G524" s="14">
        <f>IF(COUNTIF('Claude vs tools'!$K$2:$P$139,C524)&gt;0,1,0)</f>
        <v>0</v>
      </c>
    </row>
    <row r="525" spans="2:7" x14ac:dyDescent="0.3">
      <c r="B525" s="16" t="s">
        <v>289</v>
      </c>
      <c r="C525" s="16" t="s">
        <v>751</v>
      </c>
      <c r="F525" s="14">
        <f>IF(COUNTIF('Claude vs tools'!$K$2:$P$139,B525)&gt;0,1,0)</f>
        <v>1</v>
      </c>
      <c r="G525" s="14">
        <f>IF(COUNTIF('Claude vs tools'!$K$2:$P$139,C525)&gt;0,1,0)</f>
        <v>0</v>
      </c>
    </row>
    <row r="526" spans="2:7" x14ac:dyDescent="0.3">
      <c r="B526" s="16" t="s">
        <v>1267</v>
      </c>
      <c r="C526" s="16" t="s">
        <v>1226</v>
      </c>
      <c r="F526" s="14">
        <f>IF(COUNTIF('Claude vs tools'!$K$2:$P$139,B526)&gt;0,1,0)</f>
        <v>0</v>
      </c>
      <c r="G526" s="14">
        <f>IF(COUNTIF('Claude vs tools'!$K$2:$P$139,C526)&gt;0,1,0)</f>
        <v>0</v>
      </c>
    </row>
    <row r="527" spans="2:7" x14ac:dyDescent="0.3">
      <c r="B527" s="16" t="s">
        <v>1268</v>
      </c>
      <c r="C527" s="16" t="s">
        <v>752</v>
      </c>
      <c r="F527" s="14">
        <f>IF(COUNTIF('Claude vs tools'!$K$2:$P$139,B527)&gt;0,1,0)</f>
        <v>0</v>
      </c>
      <c r="G527" s="14">
        <f>IF(COUNTIF('Claude vs tools'!$K$2:$P$139,C527)&gt;0,1,0)</f>
        <v>0</v>
      </c>
    </row>
    <row r="528" spans="2:7" x14ac:dyDescent="0.3">
      <c r="B528" s="16" t="s">
        <v>1269</v>
      </c>
      <c r="C528" s="16" t="s">
        <v>1229</v>
      </c>
      <c r="F528" s="14">
        <f>IF(COUNTIF('Claude vs tools'!$K$2:$P$139,B528)&gt;0,1,0)</f>
        <v>0</v>
      </c>
      <c r="G528" s="14">
        <f>IF(COUNTIF('Claude vs tools'!$K$2:$P$139,C528)&gt;0,1,0)</f>
        <v>0</v>
      </c>
    </row>
    <row r="529" spans="2:7" x14ac:dyDescent="0.3">
      <c r="B529" s="16" t="s">
        <v>594</v>
      </c>
      <c r="C529" s="16" t="s">
        <v>243</v>
      </c>
      <c r="F529" s="14">
        <f>IF(COUNTIF('Claude vs tools'!$K$2:$P$139,B529)&gt;0,1,0)</f>
        <v>0</v>
      </c>
      <c r="G529" s="14">
        <f>IF(COUNTIF('Claude vs tools'!$K$2:$P$139,C529)&gt;0,1,0)</f>
        <v>1</v>
      </c>
    </row>
    <row r="530" spans="2:7" x14ac:dyDescent="0.3">
      <c r="B530" s="16" t="s">
        <v>1272</v>
      </c>
      <c r="C530" s="16" t="s">
        <v>753</v>
      </c>
      <c r="F530" s="14">
        <f>IF(COUNTIF('Claude vs tools'!$K$2:$P$139,B530)&gt;0,1,0)</f>
        <v>0</v>
      </c>
      <c r="G530" s="14">
        <f>IF(COUNTIF('Claude vs tools'!$K$2:$P$139,C530)&gt;0,1,0)</f>
        <v>0</v>
      </c>
    </row>
    <row r="531" spans="2:7" x14ac:dyDescent="0.3">
      <c r="B531" s="16" t="s">
        <v>1273</v>
      </c>
      <c r="C531" s="16" t="s">
        <v>297</v>
      </c>
      <c r="F531" s="14">
        <f>IF(COUNTIF('Claude vs tools'!$K$2:$P$139,B531)&gt;0,1,0)</f>
        <v>0</v>
      </c>
      <c r="G531" s="14">
        <f>IF(COUNTIF('Claude vs tools'!$K$2:$P$139,C531)&gt;0,1,0)</f>
        <v>1</v>
      </c>
    </row>
    <row r="532" spans="2:7" x14ac:dyDescent="0.3">
      <c r="B532" s="16" t="s">
        <v>1274</v>
      </c>
      <c r="C532" s="16" t="s">
        <v>1236</v>
      </c>
      <c r="F532" s="14">
        <f>IF(COUNTIF('Claude vs tools'!$K$2:$P$139,B532)&gt;0,1,0)</f>
        <v>0</v>
      </c>
      <c r="G532" s="14">
        <f>IF(COUNTIF('Claude vs tools'!$K$2:$P$139,C532)&gt;0,1,0)</f>
        <v>0</v>
      </c>
    </row>
    <row r="533" spans="2:7" x14ac:dyDescent="0.3">
      <c r="B533" s="16" t="s">
        <v>761</v>
      </c>
      <c r="C533" s="16" t="s">
        <v>106</v>
      </c>
      <c r="F533" s="14">
        <f>IF(COUNTIF('Claude vs tools'!$K$2:$P$139,B533)&gt;0,1,0)</f>
        <v>0</v>
      </c>
      <c r="G533" s="14">
        <f>IF(COUNTIF('Claude vs tools'!$K$2:$P$139,C533)&gt;0,1,0)</f>
        <v>1</v>
      </c>
    </row>
    <row r="534" spans="2:7" x14ac:dyDescent="0.3">
      <c r="B534" s="16" t="s">
        <v>1485</v>
      </c>
      <c r="C534" s="16" t="s">
        <v>1239</v>
      </c>
      <c r="F534" s="14">
        <f>IF(COUNTIF('Claude vs tools'!$K$2:$P$139,B534)&gt;0,1,0)</f>
        <v>0</v>
      </c>
      <c r="G534" s="14">
        <f>IF(COUNTIF('Claude vs tools'!$K$2:$P$139,C534)&gt;0,1,0)</f>
        <v>0</v>
      </c>
    </row>
    <row r="535" spans="2:7" x14ac:dyDescent="0.3">
      <c r="B535" s="16" t="s">
        <v>2268</v>
      </c>
      <c r="C535" s="16" t="s">
        <v>754</v>
      </c>
      <c r="F535" s="14">
        <f>IF(COUNTIF('Claude vs tools'!$K$2:$P$139,B535)&gt;0,1,0)</f>
        <v>0</v>
      </c>
      <c r="G535" s="14">
        <f>IF(COUNTIF('Claude vs tools'!$K$2:$P$139,C535)&gt;0,1,0)</f>
        <v>0</v>
      </c>
    </row>
    <row r="536" spans="2:7" x14ac:dyDescent="0.3">
      <c r="B536" s="16" t="s">
        <v>1278</v>
      </c>
      <c r="C536" s="16" t="s">
        <v>1253</v>
      </c>
      <c r="F536" s="14">
        <f>IF(COUNTIF('Claude vs tools'!$K$2:$P$139,B536)&gt;0,1,0)</f>
        <v>0</v>
      </c>
      <c r="G536" s="14">
        <f>IF(COUNTIF('Claude vs tools'!$K$2:$P$139,C536)&gt;0,1,0)</f>
        <v>0</v>
      </c>
    </row>
    <row r="537" spans="2:7" x14ac:dyDescent="0.3">
      <c r="B537" s="16" t="s">
        <v>508</v>
      </c>
      <c r="C537" s="16" t="s">
        <v>755</v>
      </c>
      <c r="F537" s="14">
        <f>IF(COUNTIF('Claude vs tools'!$K$2:$P$139,B537)&gt;0,1,0)</f>
        <v>1</v>
      </c>
      <c r="G537" s="14">
        <f>IF(COUNTIF('Claude vs tools'!$K$2:$P$139,C537)&gt;0,1,0)</f>
        <v>0</v>
      </c>
    </row>
    <row r="538" spans="2:7" x14ac:dyDescent="0.3">
      <c r="B538" s="16" t="s">
        <v>504</v>
      </c>
      <c r="C538" s="16" t="s">
        <v>756</v>
      </c>
      <c r="F538" s="14">
        <f>IF(COUNTIF('Claude vs tools'!$K$2:$P$139,B538)&gt;0,1,0)</f>
        <v>1</v>
      </c>
      <c r="G538" s="14">
        <f>IF(COUNTIF('Claude vs tools'!$K$2:$P$139,C538)&gt;0,1,0)</f>
        <v>0</v>
      </c>
    </row>
    <row r="539" spans="2:7" x14ac:dyDescent="0.3">
      <c r="B539" s="16" t="s">
        <v>1280</v>
      </c>
      <c r="C539" s="16" t="s">
        <v>757</v>
      </c>
      <c r="F539" s="14">
        <f>IF(COUNTIF('Claude vs tools'!$K$2:$P$139,B539)&gt;0,1,0)</f>
        <v>0</v>
      </c>
      <c r="G539" s="14">
        <f>IF(COUNTIF('Claude vs tools'!$K$2:$P$139,C539)&gt;0,1,0)</f>
        <v>0</v>
      </c>
    </row>
    <row r="540" spans="2:7" x14ac:dyDescent="0.3">
      <c r="B540" s="16" t="s">
        <v>1281</v>
      </c>
      <c r="C540" s="16" t="s">
        <v>758</v>
      </c>
      <c r="F540" s="14">
        <f>IF(COUNTIF('Claude vs tools'!$K$2:$P$139,B540)&gt;0,1,0)</f>
        <v>0</v>
      </c>
      <c r="G540" s="14">
        <f>IF(COUNTIF('Claude vs tools'!$K$2:$P$139,C540)&gt;0,1,0)</f>
        <v>0</v>
      </c>
    </row>
    <row r="541" spans="2:7" x14ac:dyDescent="0.3">
      <c r="B541" s="16" t="s">
        <v>1282</v>
      </c>
      <c r="C541" s="16" t="s">
        <v>521</v>
      </c>
      <c r="F541" s="14">
        <f>IF(COUNTIF('Claude vs tools'!$K$2:$P$139,B541)&gt;0,1,0)</f>
        <v>0</v>
      </c>
      <c r="G541" s="14">
        <f>IF(COUNTIF('Claude vs tools'!$K$2:$P$139,C541)&gt;0,1,0)</f>
        <v>1</v>
      </c>
    </row>
    <row r="542" spans="2:7" x14ac:dyDescent="0.3">
      <c r="B542" s="16" t="s">
        <v>1283</v>
      </c>
      <c r="C542" s="16" t="s">
        <v>759</v>
      </c>
      <c r="F542" s="14">
        <f>IF(COUNTIF('Claude vs tools'!$K$2:$P$139,B542)&gt;0,1,0)</f>
        <v>0</v>
      </c>
      <c r="G542" s="14">
        <f>IF(COUNTIF('Claude vs tools'!$K$2:$P$139,C542)&gt;0,1,0)</f>
        <v>0</v>
      </c>
    </row>
    <row r="543" spans="2:7" x14ac:dyDescent="0.3">
      <c r="B543" s="16" t="s">
        <v>763</v>
      </c>
      <c r="C543" s="16" t="s">
        <v>1260</v>
      </c>
      <c r="F543" s="14">
        <f>IF(COUNTIF('Claude vs tools'!$K$2:$P$139,B543)&gt;0,1,0)</f>
        <v>0</v>
      </c>
      <c r="G543" s="14">
        <f>IF(COUNTIF('Claude vs tools'!$K$2:$P$139,C543)&gt;0,1,0)</f>
        <v>0</v>
      </c>
    </row>
    <row r="544" spans="2:7" x14ac:dyDescent="0.3">
      <c r="B544" s="16" t="s">
        <v>765</v>
      </c>
      <c r="C544" s="16" t="s">
        <v>1262</v>
      </c>
      <c r="F544" s="14">
        <f>IF(COUNTIF('Claude vs tools'!$K$2:$P$139,B544)&gt;0,1,0)</f>
        <v>0</v>
      </c>
      <c r="G544" s="14">
        <f>IF(COUNTIF('Claude vs tools'!$K$2:$P$139,C544)&gt;0,1,0)</f>
        <v>0</v>
      </c>
    </row>
    <row r="545" spans="2:7" x14ac:dyDescent="0.3">
      <c r="B545" s="16" t="s">
        <v>597</v>
      </c>
      <c r="C545" s="16" t="s">
        <v>1266</v>
      </c>
      <c r="F545" s="14">
        <f>IF(COUNTIF('Claude vs tools'!$K$2:$P$139,B545)&gt;0,1,0)</f>
        <v>0</v>
      </c>
      <c r="G545" s="14">
        <f>IF(COUNTIF('Claude vs tools'!$K$2:$P$139,C545)&gt;0,1,0)</f>
        <v>0</v>
      </c>
    </row>
    <row r="546" spans="2:7" x14ac:dyDescent="0.3">
      <c r="B546" s="16" t="s">
        <v>767</v>
      </c>
      <c r="C546" s="16" t="s">
        <v>96</v>
      </c>
      <c r="F546" s="14">
        <f>IF(COUNTIF('Claude vs tools'!$K$2:$P$139,B546)&gt;0,1,0)</f>
        <v>0</v>
      </c>
      <c r="G546" s="14">
        <f>IF(COUNTIF('Claude vs tools'!$K$2:$P$139,C546)&gt;0,1,0)</f>
        <v>1</v>
      </c>
    </row>
    <row r="547" spans="2:7" x14ac:dyDescent="0.3">
      <c r="B547" s="16" t="s">
        <v>1288</v>
      </c>
      <c r="C547" s="16" t="s">
        <v>760</v>
      </c>
      <c r="F547" s="14">
        <f>IF(COUNTIF('Claude vs tools'!$K$2:$P$139,B547)&gt;0,1,0)</f>
        <v>0</v>
      </c>
      <c r="G547" s="14">
        <f>IF(COUNTIF('Claude vs tools'!$K$2:$P$139,C547)&gt;0,1,0)</f>
        <v>0</v>
      </c>
    </row>
    <row r="548" spans="2:7" x14ac:dyDescent="0.3">
      <c r="B548" s="16" t="s">
        <v>1289</v>
      </c>
      <c r="C548" s="16" t="s">
        <v>113</v>
      </c>
      <c r="F548" s="14">
        <f>IF(COUNTIF('Claude vs tools'!$K$2:$P$139,B548)&gt;0,1,0)</f>
        <v>0</v>
      </c>
      <c r="G548" s="14">
        <f>IF(COUNTIF('Claude vs tools'!$K$2:$P$139,C548)&gt;0,1,0)</f>
        <v>1</v>
      </c>
    </row>
    <row r="549" spans="2:7" x14ac:dyDescent="0.3">
      <c r="B549" s="16" t="s">
        <v>1290</v>
      </c>
      <c r="C549" s="16" t="s">
        <v>1270</v>
      </c>
      <c r="F549" s="14">
        <f>IF(COUNTIF('Claude vs tools'!$K$2:$P$139,B549)&gt;0,1,0)</f>
        <v>0</v>
      </c>
      <c r="G549" s="14">
        <f>IF(COUNTIF('Claude vs tools'!$K$2:$P$139,C549)&gt;0,1,0)</f>
        <v>0</v>
      </c>
    </row>
    <row r="550" spans="2:7" x14ac:dyDescent="0.3">
      <c r="B550" s="16" t="s">
        <v>772</v>
      </c>
      <c r="C550" s="16" t="s">
        <v>1271</v>
      </c>
      <c r="F550" s="14">
        <f>IF(COUNTIF('Claude vs tools'!$K$2:$P$139,B550)&gt;0,1,0)</f>
        <v>0</v>
      </c>
      <c r="G550" s="14">
        <f>IF(COUNTIF('Claude vs tools'!$K$2:$P$139,C550)&gt;0,1,0)</f>
        <v>0</v>
      </c>
    </row>
    <row r="551" spans="2:7" x14ac:dyDescent="0.3">
      <c r="B551" s="16" t="s">
        <v>1297</v>
      </c>
      <c r="C551" s="16" t="s">
        <v>761</v>
      </c>
      <c r="F551" s="14">
        <f>IF(COUNTIF('Claude vs tools'!$K$2:$P$139,B551)&gt;0,1,0)</f>
        <v>0</v>
      </c>
      <c r="G551" s="14">
        <f>IF(COUNTIF('Claude vs tools'!$K$2:$P$139,C551)&gt;0,1,0)</f>
        <v>0</v>
      </c>
    </row>
    <row r="552" spans="2:7" x14ac:dyDescent="0.3">
      <c r="B552" s="16" t="s">
        <v>1301</v>
      </c>
      <c r="C552" s="16" t="s">
        <v>1276</v>
      </c>
      <c r="F552" s="14">
        <f>IF(COUNTIF('Claude vs tools'!$K$2:$P$139,B552)&gt;0,1,0)</f>
        <v>0</v>
      </c>
      <c r="G552" s="14">
        <f>IF(COUNTIF('Claude vs tools'!$K$2:$P$139,C552)&gt;0,1,0)</f>
        <v>0</v>
      </c>
    </row>
    <row r="553" spans="2:7" x14ac:dyDescent="0.3">
      <c r="B553" s="16" t="s">
        <v>773</v>
      </c>
      <c r="C553" s="16" t="s">
        <v>762</v>
      </c>
      <c r="F553" s="14">
        <f>IF(COUNTIF('Claude vs tools'!$K$2:$P$139,B553)&gt;0,1,0)</f>
        <v>0</v>
      </c>
      <c r="G553" s="14">
        <f>IF(COUNTIF('Claude vs tools'!$K$2:$P$139,C553)&gt;0,1,0)</f>
        <v>0</v>
      </c>
    </row>
    <row r="554" spans="2:7" x14ac:dyDescent="0.3">
      <c r="B554" s="16" t="s">
        <v>1302</v>
      </c>
      <c r="C554" s="16" t="s">
        <v>2268</v>
      </c>
      <c r="F554" s="14">
        <f>IF(COUNTIF('Claude vs tools'!$K$2:$P$139,B554)&gt;0,1,0)</f>
        <v>0</v>
      </c>
      <c r="G554" s="14">
        <f>IF(COUNTIF('Claude vs tools'!$K$2:$P$139,C554)&gt;0,1,0)</f>
        <v>0</v>
      </c>
    </row>
    <row r="555" spans="2:7" x14ac:dyDescent="0.3">
      <c r="B555" s="16" t="s">
        <v>775</v>
      </c>
      <c r="C555" s="16" t="s">
        <v>1277</v>
      </c>
      <c r="F555" s="14">
        <f>IF(COUNTIF('Claude vs tools'!$K$2:$P$139,B555)&gt;0,1,0)</f>
        <v>0</v>
      </c>
      <c r="G555" s="14">
        <f>IF(COUNTIF('Claude vs tools'!$K$2:$P$139,C555)&gt;0,1,0)</f>
        <v>0</v>
      </c>
    </row>
    <row r="556" spans="2:7" x14ac:dyDescent="0.3">
      <c r="B556" s="16" t="s">
        <v>144</v>
      </c>
      <c r="C556" s="16" t="s">
        <v>508</v>
      </c>
      <c r="F556" s="14">
        <f>IF(COUNTIF('Claude vs tools'!$K$2:$P$139,B556)&gt;0,1,0)</f>
        <v>1</v>
      </c>
      <c r="G556" s="14">
        <f>IF(COUNTIF('Claude vs tools'!$K$2:$P$139,C556)&gt;0,1,0)</f>
        <v>1</v>
      </c>
    </row>
    <row r="557" spans="2:7" x14ac:dyDescent="0.3">
      <c r="B557" s="16" t="s">
        <v>145</v>
      </c>
      <c r="C557" s="16" t="s">
        <v>504</v>
      </c>
      <c r="F557" s="14">
        <f>IF(COUNTIF('Claude vs tools'!$K$2:$P$139,B557)&gt;0,1,0)</f>
        <v>1</v>
      </c>
      <c r="G557" s="14">
        <f>IF(COUNTIF('Claude vs tools'!$K$2:$P$139,C557)&gt;0,1,0)</f>
        <v>1</v>
      </c>
    </row>
    <row r="558" spans="2:7" x14ac:dyDescent="0.3">
      <c r="B558" s="16" t="s">
        <v>1305</v>
      </c>
      <c r="C558" s="16" t="s">
        <v>766</v>
      </c>
      <c r="F558" s="14">
        <f>IF(COUNTIF('Claude vs tools'!$K$2:$P$139,B558)&gt;0,1,0)</f>
        <v>0</v>
      </c>
      <c r="G558" s="14">
        <f>IF(COUNTIF('Claude vs tools'!$K$2:$P$139,C558)&gt;0,1,0)</f>
        <v>0</v>
      </c>
    </row>
    <row r="559" spans="2:7" x14ac:dyDescent="0.3">
      <c r="B559" s="16" t="s">
        <v>56</v>
      </c>
      <c r="C559" s="16" t="s">
        <v>413</v>
      </c>
      <c r="F559" s="14">
        <f>IF(COUNTIF('Claude vs tools'!$K$2:$P$139,B559)&gt;0,1,0)</f>
        <v>1</v>
      </c>
      <c r="G559" s="14">
        <f>IF(COUNTIF('Claude vs tools'!$K$2:$P$139,C559)&gt;0,1,0)</f>
        <v>1</v>
      </c>
    </row>
    <row r="560" spans="2:7" x14ac:dyDescent="0.3">
      <c r="B560" s="16" t="s">
        <v>776</v>
      </c>
      <c r="C560" s="16" t="s">
        <v>767</v>
      </c>
      <c r="F560" s="14">
        <f>IF(COUNTIF('Claude vs tools'!$K$2:$P$139,B560)&gt;0,1,0)</f>
        <v>0</v>
      </c>
      <c r="G560" s="14">
        <f>IF(COUNTIF('Claude vs tools'!$K$2:$P$139,C560)&gt;0,1,0)</f>
        <v>0</v>
      </c>
    </row>
    <row r="561" spans="2:7" x14ac:dyDescent="0.3">
      <c r="B561" s="16" t="s">
        <v>777</v>
      </c>
      <c r="C561" s="16" t="s">
        <v>768</v>
      </c>
      <c r="F561" s="14">
        <f>IF(COUNTIF('Claude vs tools'!$K$2:$P$139,B561)&gt;0,1,0)</f>
        <v>0</v>
      </c>
      <c r="G561" s="14">
        <f>IF(COUNTIF('Claude vs tools'!$K$2:$P$139,C561)&gt;0,1,0)</f>
        <v>0</v>
      </c>
    </row>
    <row r="562" spans="2:7" x14ac:dyDescent="0.3">
      <c r="B562" s="16" t="s">
        <v>778</v>
      </c>
      <c r="C562" s="16" t="s">
        <v>773</v>
      </c>
      <c r="F562" s="14">
        <f>IF(COUNTIF('Claude vs tools'!$K$2:$P$139,B562)&gt;0,1,0)</f>
        <v>0</v>
      </c>
      <c r="G562" s="14">
        <f>IF(COUNTIF('Claude vs tools'!$K$2:$P$139,C562)&gt;0,1,0)</f>
        <v>0</v>
      </c>
    </row>
    <row r="563" spans="2:7" x14ac:dyDescent="0.3">
      <c r="B563" s="16" t="s">
        <v>1308</v>
      </c>
      <c r="C563" s="16" t="s">
        <v>2283</v>
      </c>
      <c r="F563" s="14">
        <f>IF(COUNTIF('Claude vs tools'!$K$2:$P$139,B563)&gt;0,1,0)</f>
        <v>0</v>
      </c>
      <c r="G563" s="14">
        <f>IF(COUNTIF('Claude vs tools'!$K$2:$P$139,C563)&gt;0,1,0)</f>
        <v>0</v>
      </c>
    </row>
    <row r="564" spans="2:7" x14ac:dyDescent="0.3">
      <c r="B564" s="16" t="s">
        <v>1309</v>
      </c>
      <c r="C564" s="16" t="s">
        <v>1303</v>
      </c>
      <c r="F564" s="14">
        <f>IF(COUNTIF('Claude vs tools'!$K$2:$P$139,B564)&gt;0,1,0)</f>
        <v>0</v>
      </c>
      <c r="G564" s="14">
        <f>IF(COUNTIF('Claude vs tools'!$K$2:$P$139,C564)&gt;0,1,0)</f>
        <v>0</v>
      </c>
    </row>
    <row r="565" spans="2:7" x14ac:dyDescent="0.3">
      <c r="B565" s="16" t="s">
        <v>779</v>
      </c>
      <c r="C565" s="16" t="s">
        <v>775</v>
      </c>
      <c r="F565" s="14">
        <f>IF(COUNTIF('Claude vs tools'!$K$2:$P$139,B565)&gt;0,1,0)</f>
        <v>0</v>
      </c>
      <c r="G565" s="14">
        <f>IF(COUNTIF('Claude vs tools'!$K$2:$P$139,C565)&gt;0,1,0)</f>
        <v>0</v>
      </c>
    </row>
    <row r="566" spans="2:7" x14ac:dyDescent="0.3">
      <c r="B566" s="16" t="s">
        <v>22</v>
      </c>
      <c r="C566" s="16" t="s">
        <v>776</v>
      </c>
      <c r="F566" s="14">
        <f>IF(COUNTIF('Claude vs tools'!$K$2:$P$139,B566)&gt;0,1,0)</f>
        <v>1</v>
      </c>
      <c r="G566" s="14">
        <f>IF(COUNTIF('Claude vs tools'!$K$2:$P$139,C566)&gt;0,1,0)</f>
        <v>0</v>
      </c>
    </row>
    <row r="567" spans="2:7" x14ac:dyDescent="0.3">
      <c r="B567" s="16" t="s">
        <v>1311</v>
      </c>
      <c r="C567" s="16" t="s">
        <v>777</v>
      </c>
      <c r="F567" s="14">
        <f>IF(COUNTIF('Claude vs tools'!$K$2:$P$139,B567)&gt;0,1,0)</f>
        <v>0</v>
      </c>
      <c r="G567" s="14">
        <f>IF(COUNTIF('Claude vs tools'!$K$2:$P$139,C567)&gt;0,1,0)</f>
        <v>0</v>
      </c>
    </row>
    <row r="568" spans="2:7" x14ac:dyDescent="0.3">
      <c r="B568" s="16" t="s">
        <v>1313</v>
      </c>
      <c r="C568" s="16" t="s">
        <v>1307</v>
      </c>
      <c r="F568" s="14">
        <f>IF(COUNTIF('Claude vs tools'!$K$2:$P$139,B568)&gt;0,1,0)</f>
        <v>0</v>
      </c>
      <c r="G568" s="14">
        <f>IF(COUNTIF('Claude vs tools'!$K$2:$P$139,C568)&gt;0,1,0)</f>
        <v>0</v>
      </c>
    </row>
    <row r="569" spans="2:7" x14ac:dyDescent="0.3">
      <c r="B569" s="16" t="s">
        <v>1314</v>
      </c>
      <c r="C569" s="16" t="s">
        <v>1310</v>
      </c>
      <c r="F569" s="14">
        <f>IF(COUNTIF('Claude vs tools'!$K$2:$P$139,B569)&gt;0,1,0)</f>
        <v>0</v>
      </c>
      <c r="G569" s="14">
        <f>IF(COUNTIF('Claude vs tools'!$K$2:$P$139,C569)&gt;0,1,0)</f>
        <v>0</v>
      </c>
    </row>
    <row r="570" spans="2:7" x14ac:dyDescent="0.3">
      <c r="B570" s="16" t="s">
        <v>1316</v>
      </c>
      <c r="C570" s="16" t="s">
        <v>779</v>
      </c>
      <c r="F570" s="14">
        <f>IF(COUNTIF('Claude vs tools'!$K$2:$P$139,B570)&gt;0,1,0)</f>
        <v>0</v>
      </c>
      <c r="G570" s="14">
        <f>IF(COUNTIF('Claude vs tools'!$K$2:$P$139,C570)&gt;0,1,0)</f>
        <v>0</v>
      </c>
    </row>
    <row r="571" spans="2:7" x14ac:dyDescent="0.3">
      <c r="B571" s="16" t="s">
        <v>1317</v>
      </c>
      <c r="C571" s="16" t="s">
        <v>22</v>
      </c>
      <c r="F571" s="14">
        <f>IF(COUNTIF('Claude vs tools'!$K$2:$P$139,B571)&gt;0,1,0)</f>
        <v>0</v>
      </c>
      <c r="G571" s="14">
        <f>IF(COUNTIF('Claude vs tools'!$K$2:$P$139,C571)&gt;0,1,0)</f>
        <v>1</v>
      </c>
    </row>
    <row r="572" spans="2:7" x14ac:dyDescent="0.3">
      <c r="B572" s="16" t="s">
        <v>1318</v>
      </c>
      <c r="C572" s="16" t="s">
        <v>1312</v>
      </c>
      <c r="F572" s="14">
        <f>IF(COUNTIF('Claude vs tools'!$K$2:$P$139,B572)&gt;0,1,0)</f>
        <v>0</v>
      </c>
      <c r="G572" s="14">
        <f>IF(COUNTIF('Claude vs tools'!$K$2:$P$139,C572)&gt;0,1,0)</f>
        <v>0</v>
      </c>
    </row>
    <row r="573" spans="2:7" x14ac:dyDescent="0.3">
      <c r="B573" s="16" t="s">
        <v>1320</v>
      </c>
      <c r="C573" s="16" t="s">
        <v>1315</v>
      </c>
      <c r="F573" s="14">
        <f>IF(COUNTIF('Claude vs tools'!$K$2:$P$139,B573)&gt;0,1,0)</f>
        <v>0</v>
      </c>
      <c r="G573" s="14">
        <f>IF(COUNTIF('Claude vs tools'!$K$2:$P$139,C573)&gt;0,1,0)</f>
        <v>0</v>
      </c>
    </row>
    <row r="574" spans="2:7" x14ac:dyDescent="0.3">
      <c r="B574" s="16" t="s">
        <v>1321</v>
      </c>
      <c r="C574" s="16" t="s">
        <v>598</v>
      </c>
      <c r="F574" s="14">
        <f>IF(COUNTIF('Claude vs tools'!$K$2:$P$139,B574)&gt;0,1,0)</f>
        <v>0</v>
      </c>
      <c r="G574" s="14">
        <f>IF(COUNTIF('Claude vs tools'!$K$2:$P$139,C574)&gt;0,1,0)</f>
        <v>0</v>
      </c>
    </row>
    <row r="575" spans="2:7" x14ac:dyDescent="0.3">
      <c r="B575" s="16" t="s">
        <v>1322</v>
      </c>
      <c r="C575" s="16" t="s">
        <v>1329</v>
      </c>
      <c r="F575" s="14">
        <f>IF(COUNTIF('Claude vs tools'!$K$2:$P$139,B575)&gt;0,1,0)</f>
        <v>0</v>
      </c>
      <c r="G575" s="14">
        <f>IF(COUNTIF('Claude vs tools'!$K$2:$P$139,C575)&gt;0,1,0)</f>
        <v>0</v>
      </c>
    </row>
    <row r="576" spans="2:7" x14ac:dyDescent="0.3">
      <c r="B576" s="16" t="s">
        <v>1323</v>
      </c>
      <c r="C576" s="16" t="s">
        <v>216</v>
      </c>
      <c r="F576" s="14">
        <f>IF(COUNTIF('Claude vs tools'!$K$2:$P$139,B576)&gt;0,1,0)</f>
        <v>0</v>
      </c>
      <c r="G576" s="14">
        <f>IF(COUNTIF('Claude vs tools'!$K$2:$P$139,C576)&gt;0,1,0)</f>
        <v>1</v>
      </c>
    </row>
    <row r="577" spans="2:7" x14ac:dyDescent="0.3">
      <c r="B577" s="16" t="s">
        <v>1324</v>
      </c>
      <c r="C577" s="16" t="s">
        <v>1335</v>
      </c>
      <c r="F577" s="14">
        <f>IF(COUNTIF('Claude vs tools'!$K$2:$P$139,B577)&gt;0,1,0)</f>
        <v>0</v>
      </c>
      <c r="G577" s="14">
        <f>IF(COUNTIF('Claude vs tools'!$K$2:$P$139,C577)&gt;0,1,0)</f>
        <v>0</v>
      </c>
    </row>
    <row r="578" spans="2:7" x14ac:dyDescent="0.3">
      <c r="B578" s="16" t="s">
        <v>1325</v>
      </c>
      <c r="C578" s="16" t="s">
        <v>787</v>
      </c>
      <c r="F578" s="14">
        <f>IF(COUNTIF('Claude vs tools'!$K$2:$P$139,B578)&gt;0,1,0)</f>
        <v>0</v>
      </c>
      <c r="G578" s="14">
        <f>IF(COUNTIF('Claude vs tools'!$K$2:$P$139,C578)&gt;0,1,0)</f>
        <v>0</v>
      </c>
    </row>
    <row r="579" spans="2:7" x14ac:dyDescent="0.3">
      <c r="B579" s="16" t="s">
        <v>1327</v>
      </c>
      <c r="C579" s="16" t="s">
        <v>108</v>
      </c>
      <c r="F579" s="14">
        <f>IF(COUNTIF('Claude vs tools'!$K$2:$P$139,B579)&gt;0,1,0)</f>
        <v>0</v>
      </c>
      <c r="G579" s="14">
        <f>IF(COUNTIF('Claude vs tools'!$K$2:$P$139,C579)&gt;0,1,0)</f>
        <v>1</v>
      </c>
    </row>
    <row r="580" spans="2:7" x14ac:dyDescent="0.3">
      <c r="B580" s="16" t="s">
        <v>780</v>
      </c>
      <c r="C580" s="16" t="s">
        <v>1343</v>
      </c>
      <c r="F580" s="14">
        <f>IF(COUNTIF('Claude vs tools'!$K$2:$P$139,B580)&gt;0,1,0)</f>
        <v>0</v>
      </c>
      <c r="G580" s="14">
        <f>IF(COUNTIF('Claude vs tools'!$K$2:$P$139,C580)&gt;0,1,0)</f>
        <v>0</v>
      </c>
    </row>
    <row r="581" spans="2:7" x14ac:dyDescent="0.3">
      <c r="B581" s="16" t="s">
        <v>40</v>
      </c>
      <c r="C581" s="16" t="s">
        <v>1344</v>
      </c>
      <c r="F581" s="14">
        <f>IF(COUNTIF('Claude vs tools'!$K$2:$P$139,B581)&gt;0,1,0)</f>
        <v>1</v>
      </c>
      <c r="G581" s="14">
        <f>IF(COUNTIF('Claude vs tools'!$K$2:$P$139,C581)&gt;0,1,0)</f>
        <v>0</v>
      </c>
    </row>
    <row r="582" spans="2:7" x14ac:dyDescent="0.3">
      <c r="B582" s="16" t="s">
        <v>216</v>
      </c>
      <c r="C582" s="16" t="s">
        <v>784</v>
      </c>
      <c r="F582" s="14">
        <f>IF(COUNTIF('Claude vs tools'!$K$2:$P$139,B582)&gt;0,1,0)</f>
        <v>1</v>
      </c>
      <c r="G582" s="14">
        <f>IF(COUNTIF('Claude vs tools'!$K$2:$P$139,C582)&gt;0,1,0)</f>
        <v>0</v>
      </c>
    </row>
    <row r="583" spans="2:7" x14ac:dyDescent="0.3">
      <c r="B583" s="16" t="s">
        <v>1330</v>
      </c>
      <c r="C583" s="16" t="s">
        <v>788</v>
      </c>
      <c r="F583" s="14">
        <f>IF(COUNTIF('Claude vs tools'!$K$2:$P$139,B583)&gt;0,1,0)</f>
        <v>0</v>
      </c>
      <c r="G583" s="14">
        <f>IF(COUNTIF('Claude vs tools'!$K$2:$P$139,C583)&gt;0,1,0)</f>
        <v>0</v>
      </c>
    </row>
    <row r="584" spans="2:7" x14ac:dyDescent="0.3">
      <c r="B584" s="16" t="s">
        <v>1331</v>
      </c>
      <c r="C584" s="16" t="s">
        <v>406</v>
      </c>
      <c r="F584" s="14">
        <f>IF(COUNTIF('Claude vs tools'!$K$2:$P$139,B584)&gt;0,1,0)</f>
        <v>0</v>
      </c>
      <c r="G584" s="14">
        <f>IF(COUNTIF('Claude vs tools'!$K$2:$P$139,C584)&gt;0,1,0)</f>
        <v>1</v>
      </c>
    </row>
    <row r="585" spans="2:7" x14ac:dyDescent="0.3">
      <c r="B585" s="16" t="s">
        <v>1332</v>
      </c>
      <c r="C585" s="16" t="s">
        <v>1352</v>
      </c>
      <c r="F585" s="14">
        <f>IF(COUNTIF('Claude vs tools'!$K$2:$P$139,B585)&gt;0,1,0)</f>
        <v>0</v>
      </c>
      <c r="G585" s="14">
        <f>IF(COUNTIF('Claude vs tools'!$K$2:$P$139,C585)&gt;0,1,0)</f>
        <v>0</v>
      </c>
    </row>
    <row r="586" spans="2:7" x14ac:dyDescent="0.3">
      <c r="B586" s="16" t="s">
        <v>1333</v>
      </c>
      <c r="C586" s="16" t="s">
        <v>1353</v>
      </c>
      <c r="F586" s="14">
        <f>IF(COUNTIF('Claude vs tools'!$K$2:$P$139,B586)&gt;0,1,0)</f>
        <v>0</v>
      </c>
      <c r="G586" s="14">
        <f>IF(COUNTIF('Claude vs tools'!$K$2:$P$139,C586)&gt;0,1,0)</f>
        <v>0</v>
      </c>
    </row>
    <row r="587" spans="2:7" x14ac:dyDescent="0.3">
      <c r="B587" s="16" t="s">
        <v>366</v>
      </c>
      <c r="C587" s="16" t="s">
        <v>315</v>
      </c>
      <c r="F587" s="14">
        <f>IF(COUNTIF('Claude vs tools'!$K$2:$P$139,B587)&gt;0,1,0)</f>
        <v>1</v>
      </c>
      <c r="G587" s="14">
        <f>IF(COUNTIF('Claude vs tools'!$K$2:$P$139,C587)&gt;0,1,0)</f>
        <v>1</v>
      </c>
    </row>
    <row r="588" spans="2:7" x14ac:dyDescent="0.3">
      <c r="B588" s="16" t="s">
        <v>1334</v>
      </c>
      <c r="C588" s="16" t="s">
        <v>1357</v>
      </c>
      <c r="F588" s="14">
        <f>IF(COUNTIF('Claude vs tools'!$K$2:$P$139,B588)&gt;0,1,0)</f>
        <v>0</v>
      </c>
      <c r="G588" s="14">
        <f>IF(COUNTIF('Claude vs tools'!$K$2:$P$139,C588)&gt;0,1,0)</f>
        <v>0</v>
      </c>
    </row>
    <row r="589" spans="2:7" x14ac:dyDescent="0.3">
      <c r="B589" s="16" t="s">
        <v>1336</v>
      </c>
      <c r="C589" s="16" t="s">
        <v>1358</v>
      </c>
      <c r="F589" s="14">
        <f>IF(COUNTIF('Claude vs tools'!$K$2:$P$139,B589)&gt;0,1,0)</f>
        <v>0</v>
      </c>
      <c r="G589" s="14">
        <f>IF(COUNTIF('Claude vs tools'!$K$2:$P$139,C589)&gt;0,1,0)</f>
        <v>0</v>
      </c>
    </row>
    <row r="590" spans="2:7" x14ac:dyDescent="0.3">
      <c r="B590" s="16" t="s">
        <v>782</v>
      </c>
      <c r="C590" s="16" t="s">
        <v>794</v>
      </c>
      <c r="F590" s="14">
        <f>IF(COUNTIF('Claude vs tools'!$K$2:$P$139,B590)&gt;0,1,0)</f>
        <v>0</v>
      </c>
      <c r="G590" s="14">
        <f>IF(COUNTIF('Claude vs tools'!$K$2:$P$139,C590)&gt;0,1,0)</f>
        <v>0</v>
      </c>
    </row>
    <row r="591" spans="2:7" x14ac:dyDescent="0.3">
      <c r="B591" s="16" t="s">
        <v>1337</v>
      </c>
      <c r="C591" s="16" t="s">
        <v>71</v>
      </c>
      <c r="F591" s="14">
        <f>IF(COUNTIF('Claude vs tools'!$K$2:$P$139,B591)&gt;0,1,0)</f>
        <v>0</v>
      </c>
      <c r="G591" s="14">
        <f>IF(COUNTIF('Claude vs tools'!$K$2:$P$139,C591)&gt;0,1,0)</f>
        <v>1</v>
      </c>
    </row>
    <row r="592" spans="2:7" x14ac:dyDescent="0.3">
      <c r="B592" s="16" t="s">
        <v>1338</v>
      </c>
      <c r="C592" s="16" t="s">
        <v>863</v>
      </c>
      <c r="F592" s="14">
        <f>IF(COUNTIF('Claude vs tools'!$K$2:$P$139,B592)&gt;0,1,0)</f>
        <v>0</v>
      </c>
      <c r="G592" s="14">
        <f>IF(COUNTIF('Claude vs tools'!$K$2:$P$139,C592)&gt;0,1,0)</f>
        <v>0</v>
      </c>
    </row>
    <row r="593" spans="2:7" x14ac:dyDescent="0.3">
      <c r="B593" s="16" t="s">
        <v>1339</v>
      </c>
      <c r="C593" s="16" t="s">
        <v>874</v>
      </c>
      <c r="F593" s="14">
        <f>IF(COUNTIF('Claude vs tools'!$K$2:$P$139,B593)&gt;0,1,0)</f>
        <v>0</v>
      </c>
      <c r="G593" s="14">
        <f>IF(COUNTIF('Claude vs tools'!$K$2:$P$139,C593)&gt;0,1,0)</f>
        <v>0</v>
      </c>
    </row>
    <row r="594" spans="2:7" x14ac:dyDescent="0.3">
      <c r="B594" s="16" t="s">
        <v>1340</v>
      </c>
      <c r="C594" s="16" t="s">
        <v>885</v>
      </c>
      <c r="F594" s="14">
        <f>IF(COUNTIF('Claude vs tools'!$K$2:$P$139,B594)&gt;0,1,0)</f>
        <v>0</v>
      </c>
      <c r="G594" s="14">
        <f>IF(COUNTIF('Claude vs tools'!$K$2:$P$139,C594)&gt;0,1,0)</f>
        <v>0</v>
      </c>
    </row>
    <row r="595" spans="2:7" x14ac:dyDescent="0.3">
      <c r="B595" s="16" t="s">
        <v>1341</v>
      </c>
      <c r="C595" s="16" t="s">
        <v>904</v>
      </c>
      <c r="F595" s="14">
        <f>IF(COUNTIF('Claude vs tools'!$K$2:$P$139,B595)&gt;0,1,0)</f>
        <v>0</v>
      </c>
      <c r="G595" s="14">
        <f>IF(COUNTIF('Claude vs tools'!$K$2:$P$139,C595)&gt;0,1,0)</f>
        <v>0</v>
      </c>
    </row>
    <row r="596" spans="2:7" x14ac:dyDescent="0.3">
      <c r="B596" s="16" t="s">
        <v>1342</v>
      </c>
      <c r="C596" s="16" t="s">
        <v>905</v>
      </c>
      <c r="F596" s="14">
        <f>IF(COUNTIF('Claude vs tools'!$K$2:$P$139,B596)&gt;0,1,0)</f>
        <v>0</v>
      </c>
      <c r="G596" s="14">
        <f>IF(COUNTIF('Claude vs tools'!$K$2:$P$139,C596)&gt;0,1,0)</f>
        <v>0</v>
      </c>
    </row>
    <row r="597" spans="2:7" x14ac:dyDescent="0.3">
      <c r="B597" s="16" t="s">
        <v>108</v>
      </c>
      <c r="C597" s="16" t="s">
        <v>636</v>
      </c>
      <c r="F597" s="14">
        <f>IF(COUNTIF('Claude vs tools'!$K$2:$P$139,B597)&gt;0,1,0)</f>
        <v>1</v>
      </c>
      <c r="G597" s="14">
        <f>IF(COUNTIF('Claude vs tools'!$K$2:$P$139,C597)&gt;0,1,0)</f>
        <v>0</v>
      </c>
    </row>
    <row r="598" spans="2:7" x14ac:dyDescent="0.3">
      <c r="B598" s="16" t="s">
        <v>110</v>
      </c>
      <c r="C598" s="16" t="s">
        <v>637</v>
      </c>
      <c r="F598" s="14">
        <f>IF(COUNTIF('Claude vs tools'!$K$2:$P$139,B598)&gt;0,1,0)</f>
        <v>1</v>
      </c>
      <c r="G598" s="14">
        <f>IF(COUNTIF('Claude vs tools'!$K$2:$P$139,C598)&gt;0,1,0)</f>
        <v>0</v>
      </c>
    </row>
    <row r="599" spans="2:7" x14ac:dyDescent="0.3">
      <c r="B599" s="16" t="s">
        <v>784</v>
      </c>
      <c r="C599" s="16" t="s">
        <v>953</v>
      </c>
      <c r="F599" s="14">
        <f>IF(COUNTIF('Claude vs tools'!$K$2:$P$139,B599)&gt;0,1,0)</f>
        <v>0</v>
      </c>
      <c r="G599" s="14">
        <f>IF(COUNTIF('Claude vs tools'!$K$2:$P$139,C599)&gt;0,1,0)</f>
        <v>0</v>
      </c>
    </row>
    <row r="600" spans="2:7" x14ac:dyDescent="0.3">
      <c r="B600" s="16" t="s">
        <v>1345</v>
      </c>
      <c r="C600" s="16" t="s">
        <v>978</v>
      </c>
      <c r="F600" s="14">
        <f>IF(COUNTIF('Claude vs tools'!$K$2:$P$139,B600)&gt;0,1,0)</f>
        <v>0</v>
      </c>
      <c r="G600" s="14">
        <f>IF(COUNTIF('Claude vs tools'!$K$2:$P$139,C600)&gt;0,1,0)</f>
        <v>0</v>
      </c>
    </row>
    <row r="601" spans="2:7" x14ac:dyDescent="0.3">
      <c r="B601" s="16" t="s">
        <v>785</v>
      </c>
      <c r="C601" s="16" t="s">
        <v>990</v>
      </c>
      <c r="F601" s="14">
        <f>IF(COUNTIF('Claude vs tools'!$K$2:$P$139,B601)&gt;0,1,0)</f>
        <v>0</v>
      </c>
      <c r="G601" s="14">
        <f>IF(COUNTIF('Claude vs tools'!$K$2:$P$139,C601)&gt;0,1,0)</f>
        <v>0</v>
      </c>
    </row>
    <row r="602" spans="2:7" x14ac:dyDescent="0.3">
      <c r="B602" s="16" t="s">
        <v>107</v>
      </c>
      <c r="C602" s="16" t="s">
        <v>991</v>
      </c>
      <c r="F602" s="14">
        <f>IF(COUNTIF('Claude vs tools'!$K$2:$P$139,B602)&gt;0,1,0)</f>
        <v>1</v>
      </c>
      <c r="G602" s="14">
        <f>IF(COUNTIF('Claude vs tools'!$K$2:$P$139,C602)&gt;0,1,0)</f>
        <v>0</v>
      </c>
    </row>
    <row r="603" spans="2:7" x14ac:dyDescent="0.3">
      <c r="B603" s="16" t="s">
        <v>786</v>
      </c>
      <c r="C603" s="16" t="s">
        <v>284</v>
      </c>
      <c r="F603" s="14">
        <f>IF(COUNTIF('Claude vs tools'!$K$2:$P$139,B603)&gt;0,1,0)</f>
        <v>0</v>
      </c>
      <c r="G603" s="14">
        <f>IF(COUNTIF('Claude vs tools'!$K$2:$P$139,C603)&gt;0,1,0)</f>
        <v>1</v>
      </c>
    </row>
    <row r="604" spans="2:7" x14ac:dyDescent="0.3">
      <c r="B604" s="16" t="s">
        <v>788</v>
      </c>
      <c r="C604" s="16" t="s">
        <v>1003</v>
      </c>
      <c r="F604" s="14">
        <f>IF(COUNTIF('Claude vs tools'!$K$2:$P$139,B604)&gt;0,1,0)</f>
        <v>0</v>
      </c>
      <c r="G604" s="14">
        <f>IF(COUNTIF('Claude vs tools'!$K$2:$P$139,C604)&gt;0,1,0)</f>
        <v>0</v>
      </c>
    </row>
    <row r="605" spans="2:7" x14ac:dyDescent="0.3">
      <c r="B605" s="16" t="s">
        <v>1347</v>
      </c>
      <c r="C605" s="16" t="s">
        <v>1086</v>
      </c>
      <c r="F605" s="14">
        <f>IF(COUNTIF('Claude vs tools'!$K$2:$P$139,B605)&gt;0,1,0)</f>
        <v>0</v>
      </c>
      <c r="G605" s="14">
        <f>IF(COUNTIF('Claude vs tools'!$K$2:$P$139,C605)&gt;0,1,0)</f>
        <v>0</v>
      </c>
    </row>
    <row r="606" spans="2:7" x14ac:dyDescent="0.3">
      <c r="B606" s="16" t="s">
        <v>406</v>
      </c>
      <c r="C606" s="16" t="s">
        <v>1094</v>
      </c>
      <c r="F606" s="14">
        <f>IF(COUNTIF('Claude vs tools'!$K$2:$P$139,B606)&gt;0,1,0)</f>
        <v>1</v>
      </c>
      <c r="G606" s="14">
        <f>IF(COUNTIF('Claude vs tools'!$K$2:$P$139,C606)&gt;0,1,0)</f>
        <v>0</v>
      </c>
    </row>
    <row r="607" spans="2:7" x14ac:dyDescent="0.3">
      <c r="B607" s="16" t="s">
        <v>1348</v>
      </c>
      <c r="C607" s="16" t="s">
        <v>740</v>
      </c>
      <c r="F607" s="14">
        <f>IF(COUNTIF('Claude vs tools'!$K$2:$P$139,B607)&gt;0,1,0)</f>
        <v>0</v>
      </c>
      <c r="G607" s="14">
        <f>IF(COUNTIF('Claude vs tools'!$K$2:$P$139,C607)&gt;0,1,0)</f>
        <v>0</v>
      </c>
    </row>
    <row r="608" spans="2:7" x14ac:dyDescent="0.3">
      <c r="B608" s="16" t="s">
        <v>1349</v>
      </c>
      <c r="C608" s="16" t="s">
        <v>1203</v>
      </c>
      <c r="F608" s="14">
        <f>IF(COUNTIF('Claude vs tools'!$K$2:$P$139,B608)&gt;0,1,0)</f>
        <v>0</v>
      </c>
      <c r="G608" s="14">
        <f>IF(COUNTIF('Claude vs tools'!$K$2:$P$139,C608)&gt;0,1,0)</f>
        <v>0</v>
      </c>
    </row>
    <row r="609" spans="2:7" x14ac:dyDescent="0.3">
      <c r="B609" s="16" t="s">
        <v>1350</v>
      </c>
      <c r="C609" s="16" t="s">
        <v>748</v>
      </c>
      <c r="F609" s="14">
        <f>IF(COUNTIF('Claude vs tools'!$K$2:$P$139,B609)&gt;0,1,0)</f>
        <v>0</v>
      </c>
      <c r="G609" s="14">
        <f>IF(COUNTIF('Claude vs tools'!$K$2:$P$139,C609)&gt;0,1,0)</f>
        <v>0</v>
      </c>
    </row>
    <row r="610" spans="2:7" x14ac:dyDescent="0.3">
      <c r="B610" s="16" t="s">
        <v>1351</v>
      </c>
      <c r="C610" s="16" t="s">
        <v>1275</v>
      </c>
      <c r="F610" s="14">
        <f>IF(COUNTIF('Claude vs tools'!$K$2:$P$139,B610)&gt;0,1,0)</f>
        <v>0</v>
      </c>
      <c r="G610" s="14">
        <f>IF(COUNTIF('Claude vs tools'!$K$2:$P$139,C610)&gt;0,1,0)</f>
        <v>0</v>
      </c>
    </row>
    <row r="611" spans="2:7" x14ac:dyDescent="0.3">
      <c r="B611" s="16" t="s">
        <v>789</v>
      </c>
      <c r="C611" s="16" t="s">
        <v>763</v>
      </c>
      <c r="F611" s="14">
        <f>IF(COUNTIF('Claude vs tools'!$K$2:$P$139,B611)&gt;0,1,0)</f>
        <v>0</v>
      </c>
      <c r="G611" s="14">
        <f>IF(COUNTIF('Claude vs tools'!$K$2:$P$139,C611)&gt;0,1,0)</f>
        <v>0</v>
      </c>
    </row>
    <row r="612" spans="2:7" x14ac:dyDescent="0.3">
      <c r="B612" s="16" t="s">
        <v>1354</v>
      </c>
      <c r="C612" s="16" t="s">
        <v>1285</v>
      </c>
      <c r="F612" s="14">
        <f>IF(COUNTIF('Claude vs tools'!$K$2:$P$139,B612)&gt;0,1,0)</f>
        <v>0</v>
      </c>
      <c r="G612" s="14">
        <f>IF(COUNTIF('Claude vs tools'!$K$2:$P$139,C612)&gt;0,1,0)</f>
        <v>0</v>
      </c>
    </row>
    <row r="613" spans="2:7" x14ac:dyDescent="0.3">
      <c r="B613" s="16" t="s">
        <v>1356</v>
      </c>
      <c r="C613" s="16" t="s">
        <v>1287</v>
      </c>
      <c r="F613" s="14">
        <f>IF(COUNTIF('Claude vs tools'!$K$2:$P$139,B613)&gt;0,1,0)</f>
        <v>0</v>
      </c>
      <c r="G613" s="14">
        <f>IF(COUNTIF('Claude vs tools'!$K$2:$P$139,C613)&gt;0,1,0)</f>
        <v>0</v>
      </c>
    </row>
    <row r="614" spans="2:7" x14ac:dyDescent="0.3">
      <c r="B614" s="16" t="s">
        <v>315</v>
      </c>
      <c r="C614" s="16" t="s">
        <v>783</v>
      </c>
      <c r="F614" s="14">
        <f>IF(COUNTIF('Claude vs tools'!$K$2:$P$139,B614)&gt;0,1,0)</f>
        <v>1</v>
      </c>
      <c r="G614" s="14">
        <f>IF(COUNTIF('Claude vs tools'!$K$2:$P$139,C614)&gt;0,1,0)</f>
        <v>0</v>
      </c>
    </row>
    <row r="615" spans="2:7" x14ac:dyDescent="0.3">
      <c r="B615" s="16" t="s">
        <v>313</v>
      </c>
      <c r="C615" s="16" t="s">
        <v>785</v>
      </c>
      <c r="F615" s="14">
        <f>IF(COUNTIF('Claude vs tools'!$K$2:$P$139,B615)&gt;0,1,0)</f>
        <v>1</v>
      </c>
      <c r="G615" s="14">
        <f>IF(COUNTIF('Claude vs tools'!$K$2:$P$139,C615)&gt;0,1,0)</f>
        <v>0</v>
      </c>
    </row>
    <row r="616" spans="2:7" x14ac:dyDescent="0.3">
      <c r="B616" s="16" t="s">
        <v>794</v>
      </c>
      <c r="C616" s="16" t="s">
        <v>795</v>
      </c>
      <c r="F616" s="14">
        <f>IF(COUNTIF('Claude vs tools'!$K$2:$P$139,B616)&gt;0,1,0)</f>
        <v>0</v>
      </c>
      <c r="G616" s="14">
        <f>IF(COUNTIF('Claude vs tools'!$K$2:$P$139,C616)&gt;0,1,0)</f>
        <v>0</v>
      </c>
    </row>
    <row r="617" spans="2:7" x14ac:dyDescent="0.3">
      <c r="B617" s="16" t="s">
        <v>795</v>
      </c>
      <c r="F617" s="14">
        <f>IF(COUNTIF('Claude vs tools'!$K$2:$P$139,B617)&gt;0,1,0)</f>
        <v>0</v>
      </c>
    </row>
    <row r="618" spans="2:7" x14ac:dyDescent="0.3">
      <c r="B618" s="16" t="s">
        <v>1359</v>
      </c>
      <c r="F618" s="14">
        <f>IF(COUNTIF('Claude vs tools'!$K$2:$P$139,B618)&gt;0,1,0)</f>
        <v>0</v>
      </c>
    </row>
    <row r="619" spans="2:7" x14ac:dyDescent="0.3">
      <c r="B619" s="16" t="s">
        <v>1360</v>
      </c>
      <c r="F619" s="14">
        <f>IF(COUNTIF('Claude vs tools'!$K$2:$P$139,B619)&gt;0,1,0)</f>
        <v>0</v>
      </c>
    </row>
    <row r="620" spans="2:7" x14ac:dyDescent="0.3">
      <c r="B620" s="16" t="s">
        <v>1361</v>
      </c>
      <c r="F620" s="14">
        <f>IF(COUNTIF('Claude vs tools'!$K$2:$P$139,B620)&gt;0,1,0)</f>
        <v>0</v>
      </c>
    </row>
    <row r="621" spans="2:7" x14ac:dyDescent="0.3">
      <c r="B621" s="16" t="s">
        <v>1362</v>
      </c>
      <c r="F621" s="14">
        <f>IF(COUNTIF('Claude vs tools'!$K$2:$P$139,B621)&gt;0,1,0)</f>
        <v>0</v>
      </c>
    </row>
    <row r="622" spans="2:7" x14ac:dyDescent="0.3">
      <c r="B622" s="16" t="s">
        <v>1363</v>
      </c>
      <c r="F622" s="14">
        <f>IF(COUNTIF('Claude vs tools'!$K$2:$P$139,B622)&gt;0,1,0)</f>
        <v>0</v>
      </c>
    </row>
    <row r="623" spans="2:7" x14ac:dyDescent="0.3">
      <c r="B623" s="16" t="s">
        <v>1364</v>
      </c>
      <c r="F623" s="14">
        <f>IF(COUNTIF('Claude vs tools'!$K$2:$P$139,B623)&gt;0,1,0)</f>
        <v>0</v>
      </c>
    </row>
    <row r="624" spans="2:7" x14ac:dyDescent="0.3">
      <c r="B624" s="16" t="s">
        <v>1365</v>
      </c>
      <c r="F624" s="14">
        <f>IF(COUNTIF('Claude vs tools'!$K$2:$P$139,B624)&gt;0,1,0)</f>
        <v>0</v>
      </c>
    </row>
    <row r="625" spans="2:6" x14ac:dyDescent="0.3">
      <c r="B625" s="16" t="s">
        <v>1366</v>
      </c>
      <c r="F625" s="14">
        <f>IF(COUNTIF('Claude vs tools'!$K$2:$P$139,B625)&gt;0,1,0)</f>
        <v>0</v>
      </c>
    </row>
    <row r="626" spans="2:6" x14ac:dyDescent="0.3">
      <c r="B626" s="16" t="s">
        <v>1367</v>
      </c>
      <c r="F626" s="14">
        <f>IF(COUNTIF('Claude vs tools'!$K$2:$P$139,B626)&gt;0,1,0)</f>
        <v>0</v>
      </c>
    </row>
    <row r="627" spans="2:6" x14ac:dyDescent="0.3">
      <c r="B627" s="16" t="s">
        <v>1368</v>
      </c>
      <c r="F627" s="14">
        <f>IF(COUNTIF('Claude vs tools'!$K$2:$P$139,B627)&gt;0,1,0)</f>
        <v>0</v>
      </c>
    </row>
  </sheetData>
  <conditionalFormatting sqref="E2:E192">
    <cfRule type="expression" dxfId="2" priority="2">
      <formula>E2=1</formula>
    </cfRule>
  </conditionalFormatting>
  <conditionalFormatting sqref="F2:F627">
    <cfRule type="expression" dxfId="1" priority="3">
      <formula>F2=1</formula>
    </cfRule>
  </conditionalFormatting>
  <conditionalFormatting sqref="G2:G616">
    <cfRule type="expression" dxfId="0" priority="4">
      <formula>G2=1</formula>
    </cfRule>
  </conditionalFormatting>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Claude vs tools</vt:lpstr>
      <vt:lpstr>Summary</vt:lpstr>
      <vt:lpstr>Tools matrix</vt:lpstr>
      <vt:lpstr>Raw 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Himanshu Singh</cp:lastModifiedBy>
  <cp:revision>0</cp:revision>
  <dcterms:created xsi:type="dcterms:W3CDTF">2026-10-25T07:07:35Z</dcterms:created>
  <dcterms:modified xsi:type="dcterms:W3CDTF">2026-10-25T07:20:39Z</dcterms:modified>
  <dc:language>en-US</dc:language>
</cp:coreProperties>
</file>