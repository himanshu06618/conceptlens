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ude vs tools" sheetId="1" state="visible" r:id="rId3"/>
    <sheet name="Summary" sheetId="2" state="visible" r:id="rId4"/>
    <sheet name="Tools matrix" sheetId="3" state="visible" r:id="rId5"/>
    <sheet name="Raw lists" sheetId="4" state="visible" r:id="rId6"/>
  </sheets>
  <definedNames>
    <definedName function="false" hidden="true" localSheetId="0" name="_xlnm._FilterDatabase" vbProcedure="false">'Claude vs tools'!$A$1:$I$82</definedName>
    <definedName function="false" hidden="true" localSheetId="2" name="_xlnm._FilterDatabase" vbProcedure="false">'Tools matrix'!$A$1:$I$59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<sst xmlns="http://schemas.openxmlformats.org/spreadsheetml/2006/main" count="715" uniqueCount="301">
  <si>
    <t xml:space="preserve">#</t>
  </si>
  <si>
    <t xml:space="preserve">Claude's concept</t>
  </si>
  <si>
    <t xml:space="preserve">Gemini extracted</t>
  </si>
  <si>
    <t xml:space="preserve">RAKE extracted</t>
  </si>
  <si>
    <t xml:space="preserve">YAKE extracted</t>
  </si>
  <si>
    <t xml:space="preserve">Group</t>
  </si>
  <si>
    <t xml:space="preserve">Short description (from the PDF)</t>
  </si>
  <si>
    <t xml:space="preserve">Tools that found it</t>
  </si>
  <si>
    <t xml:space="preserve">Found by</t>
  </si>
  <si>
    <t xml:space="preserve">Accepted tool phrase 1</t>
  </si>
  <si>
    <t xml:space="preserve">Accepted tool phrase 2</t>
  </si>
  <si>
    <t xml:space="preserve">Accepted tool phrase 3</t>
  </si>
  <si>
    <t xml:space="preserve">Legend</t>
  </si>
  <si>
    <t xml:space="preserve">Dynamic programming</t>
  </si>
  <si>
    <t xml:space="preserve">Core</t>
  </si>
  <si>
    <t xml:space="preserve">Solve a problem through smaller subproblems, using the six SRT BOT steps.</t>
  </si>
  <si>
    <t xml:space="preserve">Dynamic Programming</t>
  </si>
  <si>
    <t xml:space="preserve">Dynamic Programming Steps</t>
  </si>
  <si>
    <t xml:space="preserve">Found by all three tools</t>
  </si>
  <si>
    <t xml:space="preserve">SRT BOT</t>
  </si>
  <si>
    <t xml:space="preserve">The lecture's six-step recipe: Subproblem, Relate, Topological order, Base cases, Original problem, Time.</t>
  </si>
  <si>
    <t xml:space="preserve">Srt Bot</t>
  </si>
  <si>
    <t xml:space="preserve">Found by two tools</t>
  </si>
  <si>
    <t xml:space="preserve">Subproblem definition</t>
  </si>
  <si>
    <t xml:space="preserve">Describe in words what a subproblem means, in terms of its parameters.</t>
  </si>
  <si>
    <t xml:space="preserve">Subproblem</t>
  </si>
  <si>
    <t xml:space="preserve">Subproblems</t>
  </si>
  <si>
    <t xml:space="preserve">Found by none of the tools</t>
  </si>
  <si>
    <t xml:space="preserve">Relate (recurrence relation)</t>
  </si>
  <si>
    <t xml:space="preserve">Express a subproblem's solution using solutions of smaller subproblems.</t>
  </si>
  <si>
    <t xml:space="preserve">Relate</t>
  </si>
  <si>
    <t xml:space="preserve">Relation</t>
  </si>
  <si>
    <t xml:space="preserve">Extracted by tools, not in Claude's list</t>
  </si>
  <si>
    <t xml:space="preserve">Guessing (locally brute-force)</t>
  </si>
  <si>
    <t xml:space="preserve">Try all possible answers to a question that would reduce the subproblem.</t>
  </si>
  <si>
    <t xml:space="preserve">Guess</t>
  </si>
  <si>
    <t xml:space="preserve">Guessing</t>
  </si>
  <si>
    <t xml:space="preserve">Dark green cells show the phrase each tool extracted for that concept.</t>
  </si>
  <si>
    <t xml:space="preserve">Topological order</t>
  </si>
  <si>
    <t xml:space="preserve">An order of the subproblems that shows the relation is acyclic.</t>
  </si>
  <si>
    <t xml:space="preserve">Topological Order</t>
  </si>
  <si>
    <t xml:space="preserve">Subproblem DAG (dependency graph)</t>
  </si>
  <si>
    <t xml:space="preserve">Subproblems as nodes and dependencies as edges; it must have no cycles.</t>
  </si>
  <si>
    <t xml:space="preserve">Dependency Graph</t>
  </si>
  <si>
    <t xml:space="preserve">Subproblem DAG</t>
  </si>
  <si>
    <t xml:space="preserve">Rows 2 to 48 are Claude's concepts. The grey rows below them list every other item from the three text files. Columns K to M (grey headers) hold the tool phrases that count as a match; edit them and the green cells update.</t>
  </si>
  <si>
    <t xml:space="preserve">Base cases</t>
  </si>
  <si>
    <t xml:space="preserve">Solutions to independent subproblems where the relation breaks down.</t>
  </si>
  <si>
    <t xml:space="preserve">Base Case</t>
  </si>
  <si>
    <t xml:space="preserve">Base Cases</t>
  </si>
  <si>
    <t xml:space="preserve">Original problem</t>
  </si>
  <si>
    <t xml:space="preserve">How to get the answer to the whole problem from subproblem solutions.</t>
  </si>
  <si>
    <t xml:space="preserve">Original Problem</t>
  </si>
  <si>
    <t xml:space="preserve">Parent pointers</t>
  </si>
  <si>
    <t xml:space="preserve">Remember the best choice per subproblem to recover the actual solution.</t>
  </si>
  <si>
    <t xml:space="preserve">Parent Pointers</t>
  </si>
  <si>
    <t xml:space="preserve">Time analysis</t>
  </si>
  <si>
    <t xml:space="preserve">Total work over all subproblems: number of subproblems times work per subproblem.</t>
  </si>
  <si>
    <t xml:space="preserve">Time Analysis</t>
  </si>
  <si>
    <t xml:space="preserve">Memoization</t>
  </si>
  <si>
    <t xml:space="preserve">Store computed subproblem results in a memo and reuse them during recursion.</t>
  </si>
  <si>
    <t xml:space="preserve">Memo</t>
  </si>
  <si>
    <t xml:space="preserve">Bottom-up</t>
  </si>
  <si>
    <t xml:space="preserve">Solve all subproblems in topological order.</t>
  </si>
  <si>
    <t xml:space="preserve">Bottom Up</t>
  </si>
  <si>
    <t xml:space="preserve">Top-down (reachable subproblems)</t>
  </si>
  <si>
    <t xml:space="preserve">Recurse and solve only the subproblems that are actually reached.</t>
  </si>
  <si>
    <t xml:space="preserve">Top Down</t>
  </si>
  <si>
    <t xml:space="preserve">Reachable Subproblems</t>
  </si>
  <si>
    <t xml:space="preserve">Solve Only Reachable</t>
  </si>
  <si>
    <t xml:space="preserve">Rod Cutting</t>
  </si>
  <si>
    <t xml:space="preserve">Cut a rod of length L into pieces to maximize the total value.</t>
  </si>
  <si>
    <t xml:space="preserve">Cutting Rod</t>
  </si>
  <si>
    <t xml:space="preserve">Greedy approach (counterexample)</t>
  </si>
  <si>
    <t xml:space="preserve">Taking the best value per unit length first is not optimal for Rod Cutting.</t>
  </si>
  <si>
    <t xml:space="preserve">Greedy</t>
  </si>
  <si>
    <t xml:space="preserve">Optimization problem</t>
  </si>
  <si>
    <t xml:space="preserve">A problem that asks for the best value, such as a maximum.</t>
  </si>
  <si>
    <t xml:space="preserve">Optimization Problem</t>
  </si>
  <si>
    <t xml:space="preserve">Subset Sum</t>
  </si>
  <si>
    <t xml:space="preserve">Is there a subset of the given positive integers that sums exactly to T?</t>
  </si>
  <si>
    <t xml:space="preserve">Decision problem</t>
  </si>
  <si>
    <t xml:space="preserve">A problem whose answer is yes or no.</t>
  </si>
  <si>
    <t xml:space="preserve">Decision Problem</t>
  </si>
  <si>
    <t xml:space="preserve">Strongly polynomial time</t>
  </si>
  <si>
    <t xml:space="preserve">Running time bounded by a constant-degree polynomial in the input size in words.</t>
  </si>
  <si>
    <t xml:space="preserve">Polynomial Time</t>
  </si>
  <si>
    <t xml:space="preserve">Polynomial</t>
  </si>
  <si>
    <t xml:space="preserve">Strongly Polynomial</t>
  </si>
  <si>
    <t xml:space="preserve">Input size</t>
  </si>
  <si>
    <t xml:space="preserve">The number of words in the input, such as one integer plus n integers.</t>
  </si>
  <si>
    <t xml:space="preserve">Input Size</t>
  </si>
  <si>
    <t xml:space="preserve">Word RAM model</t>
  </si>
  <si>
    <t xml:space="preserve">Machine model with w-bit words, used to measure input size and running time.</t>
  </si>
  <si>
    <t xml:space="preserve">Bit Word RAM</t>
  </si>
  <si>
    <t xml:space="preserve">Word RAM</t>
  </si>
  <si>
    <t xml:space="preserve">Pseudopolynomial time</t>
  </si>
  <si>
    <t xml:space="preserve">Running time polynomial in the input size and in the values of the input integers.</t>
  </si>
  <si>
    <t xml:space="preserve">Pseudopolynomial</t>
  </si>
  <si>
    <t xml:space="preserve">Pseudopolynomial Time</t>
  </si>
  <si>
    <t xml:space="preserve">Polynomially bounded integers</t>
  </si>
  <si>
    <t xml:space="preserve">Integers of size n^O(1), the case where pseudopolynomial time becomes polynomial.</t>
  </si>
  <si>
    <t xml:space="preserve">Polynomially Bounded</t>
  </si>
  <si>
    <t xml:space="preserve">Weakly polynomial time</t>
  </si>
  <si>
    <t xml:space="preserve">Polynomial in the input size measured in bits; between strongly polynomial and pseudopolynomial.</t>
  </si>
  <si>
    <t xml:space="preserve">Weakly Polynomial</t>
  </si>
  <si>
    <t xml:space="preserve">Knapsack Problem</t>
  </si>
  <si>
    <t xml:space="preserve">Generalizes Rod Cutting and Subset Sum; its algorithm is only pseudopolynomial.</t>
  </si>
  <si>
    <t xml:space="preserve">Knapsack</t>
  </si>
  <si>
    <t xml:space="preserve">P versus NP</t>
  </si>
  <si>
    <t xml:space="preserve">Subset Sum is not solvable in polynomial time for unbounded integers if P is not NP.</t>
  </si>
  <si>
    <t xml:space="preserve">P Versus NP</t>
  </si>
  <si>
    <t xml:space="preserve">Integer subproblems</t>
  </si>
  <si>
    <t xml:space="preserve">Subproblems indexed by smaller integers than a given integer (this lecture's focus).</t>
  </si>
  <si>
    <t xml:space="preserve">Integer Subproblems</t>
  </si>
  <si>
    <t xml:space="preserve">Prefix and suffix subproblems</t>
  </si>
  <si>
    <t xml:space="preserve">Subproblems on prefixes or suffixes of a sequence.</t>
  </si>
  <si>
    <t xml:space="preserve">Prefix Suffix</t>
  </si>
  <si>
    <t xml:space="preserve">Substring subproblems</t>
  </si>
  <si>
    <t xml:space="preserve">Subproblems on contiguous substrings of a sequence.</t>
  </si>
  <si>
    <t xml:space="preserve">Substring Subproblems</t>
  </si>
  <si>
    <t xml:space="preserve">Vertex subproblems</t>
  </si>
  <si>
    <t xml:space="preserve">Subproblems indexed by the vertices of a graph.</t>
  </si>
  <si>
    <t xml:space="preserve">Vertex Subproblems</t>
  </si>
  <si>
    <t xml:space="preserve">Subproblem expansion</t>
  </si>
  <si>
    <t xml:space="preserve">Add auxiliary variables to a subproblem, which multiplies the number of subproblems.</t>
  </si>
  <si>
    <t xml:space="preserve">Subproblem Expansion</t>
  </si>
  <si>
    <t xml:space="preserve">Nonexpansive constraint</t>
  </si>
  <si>
    <t xml:space="preserve">A constraint on subproblems that does not multiply their count, such as LIS including the first item.</t>
  </si>
  <si>
    <t xml:space="preserve">Nonexpansive Constraint</t>
  </si>
  <si>
    <t xml:space="preserve">Branching</t>
  </si>
  <si>
    <t xml:space="preserve">The number of dependent subproblems in each subproblem's relation.</t>
  </si>
  <si>
    <t xml:space="preserve">Counting sort</t>
  </si>
  <si>
    <t xml:space="preserve">Example</t>
  </si>
  <si>
    <t xml:space="preserve">Pseudopolynomial algorithm seen earlier, running in O(n + u).</t>
  </si>
  <si>
    <t xml:space="preserve">Counting Sort</t>
  </si>
  <si>
    <t xml:space="preserve">Radix sort</t>
  </si>
  <si>
    <t xml:space="preserve">Weakly polynomial sorting algorithm, runs in O(n) when integers are polynomially bounded.</t>
  </si>
  <si>
    <t xml:space="preserve">Radix Sort</t>
  </si>
  <si>
    <t xml:space="preserve">Direct-access array build</t>
  </si>
  <si>
    <t xml:space="preserve">Direct Access Array Build</t>
  </si>
  <si>
    <t xml:space="preserve">Fibonacci</t>
  </si>
  <si>
    <t xml:space="preserve">Pseudopolynomial algorithm seen earlier, running in O(n).</t>
  </si>
  <si>
    <t xml:space="preserve">Bowling</t>
  </si>
  <si>
    <t xml:space="preserve">Named in the review of dynamic programming examples.</t>
  </si>
  <si>
    <t xml:space="preserve">Longest common subsequence (LCS)</t>
  </si>
  <si>
    <t xml:space="preserve">Longest Common Subsequence</t>
  </si>
  <si>
    <t xml:space="preserve">LCS</t>
  </si>
  <si>
    <t xml:space="preserve">Longest increasing subsequence (LIS)</t>
  </si>
  <si>
    <t xml:space="preserve">Longest Increasing Subsequence</t>
  </si>
  <si>
    <t xml:space="preserve">LIS</t>
  </si>
  <si>
    <t xml:space="preserve">Floyd-Warshall</t>
  </si>
  <si>
    <t xml:space="preserve">Floyd – Warshall</t>
  </si>
  <si>
    <t xml:space="preserve">Alternating coin game</t>
  </si>
  <si>
    <t xml:space="preserve">Alternating Coin Game</t>
  </si>
  <si>
    <t xml:space="preserve">Arithmetic parenthesization</t>
  </si>
  <si>
    <t xml:space="preserve">Arithmetic Parenthesization</t>
  </si>
  <si>
    <t xml:space="preserve">Bellman-Ford</t>
  </si>
  <si>
    <t xml:space="preserve">Bellman – Ford</t>
  </si>
  <si>
    <t xml:space="preserve">DAG shortest paths</t>
  </si>
  <si>
    <t xml:space="preserve">DAG Shortest Paths</t>
  </si>
  <si>
    <t xml:space="preserve">Piano fingering</t>
  </si>
  <si>
    <t xml:space="preserve">Piano Fingering</t>
  </si>
  <si>
    <t xml:space="preserve">—</t>
  </si>
  <si>
    <t xml:space="preserve">Input</t>
  </si>
  <si>
    <t xml:space="preserve">Not in Claude's list</t>
  </si>
  <si>
    <t xml:space="preserve">Generic word, but central to input-size definitions</t>
  </si>
  <si>
    <t xml:space="preserve">Piece</t>
  </si>
  <si>
    <t xml:space="preserve">Piece / Pieces</t>
  </si>
  <si>
    <t xml:space="preserve">Extracted by a tool; not a concept in Claude's list</t>
  </si>
  <si>
    <t xml:space="preserve">Rod</t>
  </si>
  <si>
    <t xml:space="preserve">Time</t>
  </si>
  <si>
    <t xml:space="preserve">Generic word</t>
  </si>
  <si>
    <t xml:space="preserve">Pseudopolynomial Rod Cutting</t>
  </si>
  <si>
    <t xml:space="preserve">Pseudopolynomial Subset Sum</t>
  </si>
  <si>
    <t xml:space="preserve">Subset / Subsets</t>
  </si>
  <si>
    <t xml:space="preserve">Subset</t>
  </si>
  <si>
    <t xml:space="preserve">Access Array Build</t>
  </si>
  <si>
    <t xml:space="preserve">Fragment of "direct-access array build"</t>
  </si>
  <si>
    <t xml:space="preserve">Complexity</t>
  </si>
  <si>
    <t xml:space="preserve">Slide heading; broad term</t>
  </si>
  <si>
    <t xml:space="preserve">Cutting</t>
  </si>
  <si>
    <t xml:space="preserve">Part of "Rod Cutting", too short alone</t>
  </si>
  <si>
    <t xml:space="preserve">Def Cut</t>
  </si>
  <si>
    <t xml:space="preserve">Code keyword from the sample Python code, not a concept</t>
  </si>
  <si>
    <t xml:space="preserve">Draw Dependency Graph</t>
  </si>
  <si>
    <t xml:space="preserve">Instruction phrase from the slide, not a concept</t>
  </si>
  <si>
    <t xml:space="preserve">First Item AI</t>
  </si>
  <si>
    <t xml:space="preserve">Fragment of "first item a_i", not a full concept</t>
  </si>
  <si>
    <t xml:space="preserve">Https :// Ocw</t>
  </si>
  <si>
    <t xml:space="preserve">URL fragment from the page footer, not a concept</t>
  </si>
  <si>
    <t xml:space="preserve">Include First Item</t>
  </si>
  <si>
    <t xml:space="preserve">Fragment of a relation, not a full concept</t>
  </si>
  <si>
    <t xml:space="preserve">Integer / Integers</t>
  </si>
  <si>
    <t xml:space="preserve">Is This Polynomial</t>
  </si>
  <si>
    <t xml:space="preserve">Slide heading, not a concept</t>
  </si>
  <si>
    <t xml:space="preserve">Is This Polynomial Time</t>
  </si>
  <si>
    <t xml:space="preserve">Length</t>
  </si>
  <si>
    <t xml:space="preserve">Output</t>
  </si>
  <si>
    <t xml:space="preserve">Generic word (from the Subset Sum input/output)</t>
  </si>
  <si>
    <t xml:space="preserve">Parent</t>
  </si>
  <si>
    <t xml:space="preserve">Term from the code (parent pointers); partial concept</t>
  </si>
  <si>
    <t xml:space="preserve">Positive Integers</t>
  </si>
  <si>
    <t xml:space="preserve">Problem</t>
  </si>
  <si>
    <t xml:space="preserve">Programming Steps</t>
  </si>
  <si>
    <t xml:space="preserve">Pseudopolynomial Dynamic Programming</t>
  </si>
  <si>
    <t xml:space="preserve">Pseudopolynomial Rod</t>
  </si>
  <si>
    <t xml:space="preserve">Pseudopolynomial Subset</t>
  </si>
  <si>
    <t xml:space="preserve">Radix Sort Runs</t>
  </si>
  <si>
    <t xml:space="preserve">Fragment of "radix sort runs in O(n)"</t>
  </si>
  <si>
    <t xml:space="preserve">Solve</t>
  </si>
  <si>
    <t xml:space="preserve">Store Choices</t>
  </si>
  <si>
    <t xml:space="preserve">Part of the Rod Cutting solution (store choices)</t>
  </si>
  <si>
    <t xml:space="preserve">Sum</t>
  </si>
  <si>
    <t xml:space="preserve">Part of "Subset Sum", too short alone</t>
  </si>
  <si>
    <t xml:space="preserve">Top</t>
  </si>
  <si>
    <t xml:space="preserve">Generic word (from "top down")</t>
  </si>
  <si>
    <t xml:space="preserve">Update Memo</t>
  </si>
  <si>
    <t xml:space="preserve">Code comment from the sample code, not a concept</t>
  </si>
  <si>
    <t xml:space="preserve">Concept extraction comparison: Lecture 18, Pseudopolynomial (MIT 6.006)</t>
  </si>
  <si>
    <t xml:space="preserve">Claude's concept list is the reference. All numbers are formulas that read the other sheets.</t>
  </si>
  <si>
    <t xml:space="preserve">Which tool matches Claude's concepts best?</t>
  </si>
  <si>
    <t xml:space="preserve">Tool</t>
  </si>
  <si>
    <t xml:space="preserve">Items in raw list</t>
  </si>
  <si>
    <t xml:space="preserve">Items that are in Claude's list</t>
  </si>
  <si>
    <t xml:space="preserve">Precision</t>
  </si>
  <si>
    <t xml:space="preserve">Claude's concepts found</t>
  </si>
  <si>
    <t xml:space="preserve">Recall (all of Claude's concepts)</t>
  </si>
  <si>
    <t xml:space="preserve">F1 score</t>
  </si>
  <si>
    <t xml:space="preserve">Recall (core concepts only)</t>
  </si>
  <si>
    <t xml:space="preserve">Gemini</t>
  </si>
  <si>
    <t xml:space="preserve">RAKE</t>
  </si>
  <si>
    <t xml:space="preserve">YAKE</t>
  </si>
  <si>
    <t xml:space="preserve">Agreement between the three tools</t>
  </si>
  <si>
    <t xml:space="preserve">Concepts in tools matrix (singular/plural merged)</t>
  </si>
  <si>
    <t xml:space="preserve">Also found by at least one other tool</t>
  </si>
  <si>
    <t xml:space="preserve">Found only by this tool</t>
  </si>
  <si>
    <t xml:space="preserve">Agreement with others</t>
  </si>
  <si>
    <t xml:space="preserve">Overlap</t>
  </si>
  <si>
    <t xml:space="preserve">Distinct concepts across all three tools</t>
  </si>
  <si>
    <t xml:space="preserve">Found by exactly two tools</t>
  </si>
  <si>
    <t xml:space="preserve">Found by one tool only</t>
  </si>
  <si>
    <t xml:space="preserve">Gemini and RAKE both (includes the all-three ones)</t>
  </si>
  <si>
    <t xml:space="preserve">Gemini and YAKE both (includes the all-three ones)</t>
  </si>
  <si>
    <t xml:space="preserve">RAKE and YAKE both (includes the all-three ones)</t>
  </si>
  <si>
    <t xml:space="preserve">Observations (written by Claude from this data, not formulas)</t>
  </si>
  <si>
    <t xml:space="preserve">RAKE matches Claude's concepts best in this run: F1 26%, precision 39%, recall 19%. Ranking by F1: RAKE 26%, YAKE 25%, Gemini 23%. The three F1 scores are only 3 points apart, so this is a small lead, not a clear win.</t>
  </si>
  <si>
    <t xml:space="preserve">On core concepts only, recall is YAKE 24%, Gemini 21%, RAKE 15%. The overall ranking can differ from the core ranking, so check both columns.</t>
  </si>
  <si>
    <t xml:space="preserve">Found by only one tool: Gemini: Base cases, Input size, Radix sort, Top-down (reachable subproblems); RAKE: Alternating coin game, Bellman-Ford, DAG shortest paths, Floyd-Warshall, Nonexpansive constraint, Relate (recurrence relation), Word RAM model; YAKE: Dynamic programming, Original problem, SRT BOT.</t>
  </si>
  <si>
    <t xml:space="preserve">28 of 47 concepts in Claude's list were found by none of the tools: Guessing (locally brute-force), Topological order, Subproblem DAG (dependency graph), Parent pointers, Time analysis, Memoization, Bottom-up, Greedy approach (counterexample), Optimization problem, Decision problem, Polynomially bounded integers, Weakly polynomial time, Knapsack Problem, P versus NP, Integer subproblems, Prefix and suffix subproblems, Substring subproblems, Vertex subproblems, Subproblem expansion, Branching, Counting sort, Direct-access array build, Fibonacci, Bowling, Longest common subsequence (LCS), Longest increasing subsequence (LIS), Arithmetic parenthesization, Piano fingering.</t>
  </si>
  <si>
    <t xml:space="preserve">Precision is low for all three tools because many items are generic words (Example, Output, Time, Piece), code fragments (Def Cut, Update Memo), slide headings or URL fragments.</t>
  </si>
  <si>
    <t xml:space="preserve">Limits: the concept list is my own extraction from the PDF, but I had already seen the three tool outputs earlier in this conversation, so it is not a blind test. Another person's list would give different scores. Edit the Claude vs tools sheet to test your own.</t>
  </si>
  <si>
    <t xml:space="preserve">How concepts were matched</t>
  </si>
  <si>
    <t xml:space="preserve">Tools matrix sheet: two tool concepts count as the same when they are identical after lower-casing, removing punctuation and ignoring a trailing plural "s" (Piece and Pieces). Partial overlaps (Rod versus Rod Cutting) are listed in "Related concepts", not counted as matches.</t>
  </si>
  <si>
    <t xml:space="preserve">Scoring against Claude's list: a tool item counts only if it equals one of the accepted phrases next to a concept (capitals ignored). Generic words, slide headings and fragments such as Access Array Build get no credit. Claude's list is the reference, not an official answer key.</t>
  </si>
  <si>
    <t xml:space="preserve">Concept</t>
  </si>
  <si>
    <t xml:space="preserve">Tools (of 3)</t>
  </si>
  <si>
    <t xml:space="preserve">Related concepts (partial overlap)</t>
  </si>
  <si>
    <t xml:space="preserve">Note (Claude's observation)</t>
  </si>
  <si>
    <t xml:space="preserve">In Claude's list?</t>
  </si>
  <si>
    <t xml:space="preserve">Pseudopolynomial Dynamic Programming, Pseudopolynomial Rod, Pseudopolynomial Rod Cutting, Pseudopolynomial Subset (+1 more)</t>
  </si>
  <si>
    <t xml:space="preserve">Found by one tool only (no fill)</t>
  </si>
  <si>
    <t xml:space="preserve">Cutting Rod, Pseudopolynomial Rod, Pseudopolynomial Rod Cutting, Rod Cutting</t>
  </si>
  <si>
    <t xml:space="preserve">★ Yes = the concept is in Claude's list (bold dark-blue names in the tool columns)</t>
  </si>
  <si>
    <t xml:space="preserve">Is This Polynomial Time, Polynomial Time</t>
  </si>
  <si>
    <t xml:space="preserve">Tip: use the filter arrows on row 1 to show only one group.</t>
  </si>
  <si>
    <t xml:space="preserve">Cutting, Rod</t>
  </si>
  <si>
    <t xml:space="preserve">Is This Polynomial, Is This Polynomial Time, Polynomial Time</t>
  </si>
  <si>
    <t xml:space="preserve">Cutting, Pseudopolynomial, Pseudopolynomial Rod, Rod (+1 more)</t>
  </si>
  <si>
    <t xml:space="preserve">Pseudopolynomial, Pseudopolynomial Subset, Subset, Subset Sum (+1 more)</t>
  </si>
  <si>
    <t xml:space="preserve">Cutting, Pseudopolynomial Rod Cutting, Rod</t>
  </si>
  <si>
    <t xml:space="preserve">Subproblem / Subproblems</t>
  </si>
  <si>
    <t xml:space="preserve">Pseudopolynomial Subset, Pseudopolynomial Subset Sum, Subset Sum</t>
  </si>
  <si>
    <t xml:space="preserve">Pseudopolynomial Subset Sum, Subset, Sum</t>
  </si>
  <si>
    <t xml:space="preserve">Example problem named in the lecture review section</t>
  </si>
  <si>
    <t xml:space="preserve">Algorithm named in the lecture review section</t>
  </si>
  <si>
    <t xml:space="preserve">Model of computation mentioned in the lecture</t>
  </si>
  <si>
    <t xml:space="preserve">Cutting Rod, Pseudopolynomial Rod Cutting, Rod Cutting</t>
  </si>
  <si>
    <t xml:space="preserve">Dynamic Programming Steps, Pseudopolynomial Dynamic Programming</t>
  </si>
  <si>
    <t xml:space="preserve">Core topic of the lecture</t>
  </si>
  <si>
    <t xml:space="preserve">Dynamic Programming, Programming Steps</t>
  </si>
  <si>
    <t xml:space="preserve">Integer</t>
  </si>
  <si>
    <t xml:space="preserve">Is This Polynomial Time, Polynomial</t>
  </si>
  <si>
    <t xml:space="preserve">Is This Polynomial, Polynomial, Polynomial Time, Time</t>
  </si>
  <si>
    <t xml:space="preserve">Subproblem-constraint type named in the lecture review</t>
  </si>
  <si>
    <t xml:space="preserve">Is This Polynomial Time, Polynomial, Time</t>
  </si>
  <si>
    <t xml:space="preserve">Dynamic Programming, Pseudopolynomial</t>
  </si>
  <si>
    <t xml:space="preserve">Pseudopolynomial, Pseudopolynomial Rod Cutting, Rod</t>
  </si>
  <si>
    <t xml:space="preserve">Pseudopolynomial, Pseudopolynomial Subset Sum, Subset</t>
  </si>
  <si>
    <t xml:space="preserve">Name of step 2 of SRT BOT</t>
  </si>
  <si>
    <t xml:space="preserve">Lecture's name for the 6-step DP method (SRT BOT), split into two words</t>
  </si>
  <si>
    <t xml:space="preserve">Pseudopolynomial Subset Sum, Subset Sum</t>
  </si>
  <si>
    <t xml:space="preserve">Gemini: in Claude's list? (1 = yes)</t>
  </si>
  <si>
    <t xml:space="preserve">RAKE: in Claude's list? (1 = yes)</t>
  </si>
  <si>
    <t xml:space="preserve">YAKE: in Claude's list? (1 = yes)</t>
  </si>
  <si>
    <t xml:space="preserve">Is This Polynomial Time?</t>
  </si>
  <si>
    <t xml:space="preserve">Is This Polynomial?</t>
  </si>
  <si>
    <t xml:space="preserve">Integers</t>
  </si>
  <si>
    <t xml:space="preserve">Pieces</t>
  </si>
  <si>
    <t xml:space="preserve">Subsets</t>
  </si>
  <si>
    <t xml:space="preserve">Lists exactly as exported by each tool. Columns E to G mark items that match a concept in Claude's list.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</si>
</sst>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842029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7F7F"/>
        <bgColor rgb="FF96969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8D7DA"/>
      </patternFill>
    </fill>
    <fill>
      <patternFill patternType="solid">
        <fgColor rgb="FFF8D7DA"/>
        <bgColor rgb="FFEDEDED"/>
      </patternFill>
    </fill>
    <fill>
      <patternFill patternType="solid">
        <fgColor rgb="FFEDEDED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202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3BE7B"/>
        </patternFill>
      </fill>
    </dxf>
    <dxf>
      <font>
        <name val="Arial"/>
        <charset val="1"/>
        <family val="0"/>
        <color rgb="FF842029"/>
      </font>
      <fill>
        <patternFill>
          <bgColor rgb="FFF8D7DA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3864"/>
      </font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D7DA"/>
      <rgbColor rgb="FF2E75B6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2029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5" min="3" style="0" width="28"/>
    <col collapsed="false" customWidth="true" hidden="false" outlineLevel="0" max="6" min="6" style="0" width="13"/>
    <col collapsed="false" customWidth="true" hidden="false" outlineLevel="0" max="7" min="7" style="0" width="5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"/>
    <col collapsed="false" customWidth="true" hidden="false" outlineLevel="0" max="12" min="11" style="0" width="26"/>
    <col collapsed="false" customWidth="true" hidden="false" outlineLevel="0" max="13" min="13" style="0" width="22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2" t="s">
        <v>10</v>
      </c>
      <c r="M1" s="2" t="s">
        <v>11</v>
      </c>
      <c r="O1" s="3" t="s">
        <v>12</v>
      </c>
    </row>
    <row r="2" customFormat="false" ht="23.85" hidden="false" customHeight="false" outlineLevel="0" collapsed="false">
      <c r="A2" s="4" t="n">
        <v>1</v>
      </c>
      <c r="B2" s="5" t="s">
        <v>13</v>
      </c>
      <c r="C2" s="6" t="str">
        <f aca="false">IF(LEN(IF(K2="","",IFERROR(INDEX('Raw lists'!$A$2:$A$32,MATCH(K2,'Raw lists'!$A$2:$A$32,0))&amp;" / ",""))&amp;IF(L2="","",IFERROR(INDEX('Raw lists'!$A$2:$A$32,MATCH(L2,'Raw lists'!$A$2:$A$32,0))&amp;" / ",""))&amp;IF(M2="","",IFERROR(INDEX('Raw lists'!$A$2:$A$32,MATCH(M2,'Raw lists'!$A$2:$A$32,0))&amp;" / ","")))=0,"",LEFT(IF(K2="","",IFERROR(INDEX('Raw lists'!$A$2:$A$32,MATCH(K2,'Raw lists'!$A$2:$A$32,0))&amp;" / ",""))&amp;IF(L2="","",IFERROR(INDEX('Raw lists'!$A$2:$A$32,MATCH(L2,'Raw lists'!$A$2:$A$32,0))&amp;" / ",""))&amp;IF(M2="","",IFERROR(INDEX('Raw lists'!$A$2:$A$32,MATCH(M2,'Raw lists'!$A$2:$A$32,0))&amp;" / ","")),LEN(IF(K2="","",IFERROR(INDEX('Raw lists'!$A$2:$A$32,MATCH(K2,'Raw lists'!$A$2:$A$32,0))&amp;" / ",""))&amp;IF(L2="","",IFERROR(INDEX('Raw lists'!$A$2:$A$32,MATCH(L2,'Raw lists'!$A$2:$A$32,0))&amp;" / ",""))&amp;IF(M2="","",IFERROR(INDEX('Raw lists'!$A$2:$A$32,MATCH(M2,'Raw lists'!$A$2:$A$32,0))&amp;" / ","")))-3))</f>
        <v/>
      </c>
      <c r="D2" s="6" t="str">
        <f aca="false">IF(LEN(IF(K2="","",IFERROR(INDEX('Raw lists'!$B$2:$B$29,MATCH(K2,'Raw lists'!$B$2:$B$29,0))&amp;" / ",""))&amp;IF(L2="","",IFERROR(INDEX('Raw lists'!$B$2:$B$29,MATCH(L2,'Raw lists'!$B$2:$B$29,0))&amp;" / ",""))&amp;IF(M2="","",IFERROR(INDEX('Raw lists'!$B$2:$B$29,MATCH(M2,'Raw lists'!$B$2:$B$29,0))&amp;" / ","")))=0,"",LEFT(IF(K2="","",IFERROR(INDEX('Raw lists'!$B$2:$B$29,MATCH(K2,'Raw lists'!$B$2:$B$29,0))&amp;" / ",""))&amp;IF(L2="","",IFERROR(INDEX('Raw lists'!$B$2:$B$29,MATCH(L2,'Raw lists'!$B$2:$B$29,0))&amp;" / ",""))&amp;IF(M2="","",IFERROR(INDEX('Raw lists'!$B$2:$B$29,MATCH(M2,'Raw lists'!$B$2:$B$29,0))&amp;" / ","")),LEN(IF(K2="","",IFERROR(INDEX('Raw lists'!$B$2:$B$29,MATCH(K2,'Raw lists'!$B$2:$B$29,0))&amp;" / ",""))&amp;IF(L2="","",IFERROR(INDEX('Raw lists'!$B$2:$B$29,MATCH(L2,'Raw lists'!$B$2:$B$29,0))&amp;" / ",""))&amp;IF(M2="","",IFERROR(INDEX('Raw lists'!$B$2:$B$29,MATCH(M2,'Raw lists'!$B$2:$B$29,0))&amp;" / ","")))-3))</f>
        <v/>
      </c>
      <c r="E2" s="6" t="str">
        <f aca="false">IF(LEN(IF(K2="","",IFERROR(INDEX('Raw lists'!$C$2:$C$23,MATCH(K2,'Raw lists'!$C$2:$C$23,0))&amp;" / ",""))&amp;IF(L2="","",IFERROR(INDEX('Raw lists'!$C$2:$C$23,MATCH(L2,'Raw lists'!$C$2:$C$23,0))&amp;" / ",""))&amp;IF(M2="","",IFERROR(INDEX('Raw lists'!$C$2:$C$23,MATCH(M2,'Raw lists'!$C$2:$C$23,0))&amp;" / ","")))=0,"",LEFT(IF(K2="","",IFERROR(INDEX('Raw lists'!$C$2:$C$23,MATCH(K2,'Raw lists'!$C$2:$C$23,0))&amp;" / ",""))&amp;IF(L2="","",IFERROR(INDEX('Raw lists'!$C$2:$C$23,MATCH(L2,'Raw lists'!$C$2:$C$23,0))&amp;" / ",""))&amp;IF(M2="","",IFERROR(INDEX('Raw lists'!$C$2:$C$23,MATCH(M2,'Raw lists'!$C$2:$C$23,0))&amp;" / ","")),LEN(IF(K2="","",IFERROR(INDEX('Raw lists'!$C$2:$C$23,MATCH(K2,'Raw lists'!$C$2:$C$23,0))&amp;" / ",""))&amp;IF(L2="","",IFERROR(INDEX('Raw lists'!$C$2:$C$23,MATCH(L2,'Raw lists'!$C$2:$C$23,0))&amp;" / ",""))&amp;IF(M2="","",IFERROR(INDEX('Raw lists'!$C$2:$C$23,MATCH(M2,'Raw lists'!$C$2:$C$23,0))&amp;" / ","")))-3))</f>
        <v>Dynamic Programming / Dynamic Programming Steps</v>
      </c>
      <c r="F2" s="4" t="s">
        <v>14</v>
      </c>
      <c r="G2" s="6" t="s">
        <v>15</v>
      </c>
      <c r="H2" s="4" t="n">
        <f aca="false">COUNTIF(C2:E2,"?*")</f>
        <v>1</v>
      </c>
      <c r="I2" s="7" t="str">
        <f aca="false">IF(H2=0,"None",IF(H2=3,"All three",IF(H2=1,"Only "&amp;TRIM(IF(C2&lt;&gt;"","Gemini ","")&amp;IF(D2&lt;&gt;"","RAKE ","")&amp;IF(E2&lt;&gt;"","YAKE","")),SUBSTITUTE(TRIM(IF(C2&lt;&gt;"","Gemini ","")&amp;IF(D2&lt;&gt;"","RAKE ","")&amp;IF(E2&lt;&gt;"","YAKE",""))," "," + "))))</f>
        <v>Only YAKE</v>
      </c>
      <c r="K2" s="8" t="s">
        <v>16</v>
      </c>
      <c r="L2" s="8" t="s">
        <v>17</v>
      </c>
      <c r="M2" s="8"/>
      <c r="O2" s="9" t="s">
        <v>18</v>
      </c>
    </row>
    <row r="3" customFormat="false" ht="23.85" hidden="false" customHeight="false" outlineLevel="0" collapsed="false">
      <c r="A3" s="4" t="n">
        <v>2</v>
      </c>
      <c r="B3" s="5" t="s">
        <v>19</v>
      </c>
      <c r="C3" s="6" t="str">
        <f aca="false">IF(LEN(IF(K3="","",IFERROR(INDEX('Raw lists'!$A$2:$A$32,MATCH(K3,'Raw lists'!$A$2:$A$32,0))&amp;" / ",""))&amp;IF(L3="","",IFERROR(INDEX('Raw lists'!$A$2:$A$32,MATCH(L3,'Raw lists'!$A$2:$A$32,0))&amp;" / ",""))&amp;IF(M3="","",IFERROR(INDEX('Raw lists'!$A$2:$A$32,MATCH(M3,'Raw lists'!$A$2:$A$32,0))&amp;" / ","")))=0,"",LEFT(IF(K3="","",IFERROR(INDEX('Raw lists'!$A$2:$A$32,MATCH(K3,'Raw lists'!$A$2:$A$32,0))&amp;" / ",""))&amp;IF(L3="","",IFERROR(INDEX('Raw lists'!$A$2:$A$32,MATCH(L3,'Raw lists'!$A$2:$A$32,0))&amp;" / ",""))&amp;IF(M3="","",IFERROR(INDEX('Raw lists'!$A$2:$A$32,MATCH(M3,'Raw lists'!$A$2:$A$32,0))&amp;" / ","")),LEN(IF(K3="","",IFERROR(INDEX('Raw lists'!$A$2:$A$32,MATCH(K3,'Raw lists'!$A$2:$A$32,0))&amp;" / ",""))&amp;IF(L3="","",IFERROR(INDEX('Raw lists'!$A$2:$A$32,MATCH(L3,'Raw lists'!$A$2:$A$32,0))&amp;" / ",""))&amp;IF(M3="","",IFERROR(INDEX('Raw lists'!$A$2:$A$32,MATCH(M3,'Raw lists'!$A$2:$A$32,0))&amp;" / ","")))-3))</f>
        <v/>
      </c>
      <c r="D3" s="6" t="str">
        <f aca="false">IF(LEN(IF(K3="","",IFERROR(INDEX('Raw lists'!$B$2:$B$29,MATCH(K3,'Raw lists'!$B$2:$B$29,0))&amp;" / ",""))&amp;IF(L3="","",IFERROR(INDEX('Raw lists'!$B$2:$B$29,MATCH(L3,'Raw lists'!$B$2:$B$29,0))&amp;" / ",""))&amp;IF(M3="","",IFERROR(INDEX('Raw lists'!$B$2:$B$29,MATCH(M3,'Raw lists'!$B$2:$B$29,0))&amp;" / ","")))=0,"",LEFT(IF(K3="","",IFERROR(INDEX('Raw lists'!$B$2:$B$29,MATCH(K3,'Raw lists'!$B$2:$B$29,0))&amp;" / ",""))&amp;IF(L3="","",IFERROR(INDEX('Raw lists'!$B$2:$B$29,MATCH(L3,'Raw lists'!$B$2:$B$29,0))&amp;" / ",""))&amp;IF(M3="","",IFERROR(INDEX('Raw lists'!$B$2:$B$29,MATCH(M3,'Raw lists'!$B$2:$B$29,0))&amp;" / ","")),LEN(IF(K3="","",IFERROR(INDEX('Raw lists'!$B$2:$B$29,MATCH(K3,'Raw lists'!$B$2:$B$29,0))&amp;" / ",""))&amp;IF(L3="","",IFERROR(INDEX('Raw lists'!$B$2:$B$29,MATCH(L3,'Raw lists'!$B$2:$B$29,0))&amp;" / ",""))&amp;IF(M3="","",IFERROR(INDEX('Raw lists'!$B$2:$B$29,MATCH(M3,'Raw lists'!$B$2:$B$29,0))&amp;" / ","")))-3))</f>
        <v/>
      </c>
      <c r="E3" s="6" t="str">
        <f aca="false">IF(LEN(IF(K3="","",IFERROR(INDEX('Raw lists'!$C$2:$C$23,MATCH(K3,'Raw lists'!$C$2:$C$23,0))&amp;" / ",""))&amp;IF(L3="","",IFERROR(INDEX('Raw lists'!$C$2:$C$23,MATCH(L3,'Raw lists'!$C$2:$C$23,0))&amp;" / ",""))&amp;IF(M3="","",IFERROR(INDEX('Raw lists'!$C$2:$C$23,MATCH(M3,'Raw lists'!$C$2:$C$23,0))&amp;" / ","")))=0,"",LEFT(IF(K3="","",IFERROR(INDEX('Raw lists'!$C$2:$C$23,MATCH(K3,'Raw lists'!$C$2:$C$23,0))&amp;" / ",""))&amp;IF(L3="","",IFERROR(INDEX('Raw lists'!$C$2:$C$23,MATCH(L3,'Raw lists'!$C$2:$C$23,0))&amp;" / ",""))&amp;IF(M3="","",IFERROR(INDEX('Raw lists'!$C$2:$C$23,MATCH(M3,'Raw lists'!$C$2:$C$23,0))&amp;" / ","")),LEN(IF(K3="","",IFERROR(INDEX('Raw lists'!$C$2:$C$23,MATCH(K3,'Raw lists'!$C$2:$C$23,0))&amp;" / ",""))&amp;IF(L3="","",IFERROR(INDEX('Raw lists'!$C$2:$C$23,MATCH(L3,'Raw lists'!$C$2:$C$23,0))&amp;" / ",""))&amp;IF(M3="","",IFERROR(INDEX('Raw lists'!$C$2:$C$23,MATCH(M3,'Raw lists'!$C$2:$C$23,0))&amp;" / ","")))-3))</f>
        <v>Srt Bot</v>
      </c>
      <c r="F3" s="4" t="s">
        <v>14</v>
      </c>
      <c r="G3" s="6" t="s">
        <v>20</v>
      </c>
      <c r="H3" s="4" t="n">
        <f aca="false">COUNTIF(C3:E3,"?*")</f>
        <v>1</v>
      </c>
      <c r="I3" s="7" t="str">
        <f aca="false">IF(H3=0,"None",IF(H3=3,"All three",IF(H3=1,"Only "&amp;TRIM(IF(C3&lt;&gt;"","Gemini ","")&amp;IF(D3&lt;&gt;"","RAKE ","")&amp;IF(E3&lt;&gt;"","YAKE","")),SUBSTITUTE(TRIM(IF(C3&lt;&gt;"","Gemini ","")&amp;IF(D3&lt;&gt;"","RAKE ","")&amp;IF(E3&lt;&gt;"","YAKE",""))," "," + "))))</f>
        <v>Only YAKE</v>
      </c>
      <c r="K3" s="8" t="s">
        <v>21</v>
      </c>
      <c r="L3" s="8"/>
      <c r="M3" s="8"/>
      <c r="O3" s="10" t="s">
        <v>22</v>
      </c>
    </row>
    <row r="4" customFormat="false" ht="23.85" hidden="false" customHeight="false" outlineLevel="0" collapsed="false">
      <c r="A4" s="4" t="n">
        <v>3</v>
      </c>
      <c r="B4" s="5" t="s">
        <v>23</v>
      </c>
      <c r="C4" s="6" t="str">
        <f aca="false">IF(LEN(IF(K4="","",IFERROR(INDEX('Raw lists'!$A$2:$A$32,MATCH(K4,'Raw lists'!$A$2:$A$32,0))&amp;" / ",""))&amp;IF(L4="","",IFERROR(INDEX('Raw lists'!$A$2:$A$32,MATCH(L4,'Raw lists'!$A$2:$A$32,0))&amp;" / ",""))&amp;IF(M4="","",IFERROR(INDEX('Raw lists'!$A$2:$A$32,MATCH(M4,'Raw lists'!$A$2:$A$32,0))&amp;" / ","")))=0,"",LEFT(IF(K4="","",IFERROR(INDEX('Raw lists'!$A$2:$A$32,MATCH(K4,'Raw lists'!$A$2:$A$32,0))&amp;" / ",""))&amp;IF(L4="","",IFERROR(INDEX('Raw lists'!$A$2:$A$32,MATCH(L4,'Raw lists'!$A$2:$A$32,0))&amp;" / ",""))&amp;IF(M4="","",IFERROR(INDEX('Raw lists'!$A$2:$A$32,MATCH(M4,'Raw lists'!$A$2:$A$32,0))&amp;" / ","")),LEN(IF(K4="","",IFERROR(INDEX('Raw lists'!$A$2:$A$32,MATCH(K4,'Raw lists'!$A$2:$A$32,0))&amp;" / ",""))&amp;IF(L4="","",IFERROR(INDEX('Raw lists'!$A$2:$A$32,MATCH(L4,'Raw lists'!$A$2:$A$32,0))&amp;" / ",""))&amp;IF(M4="","",IFERROR(INDEX('Raw lists'!$A$2:$A$32,MATCH(M4,'Raw lists'!$A$2:$A$32,0))&amp;" / ","")))-3))</f>
        <v/>
      </c>
      <c r="D4" s="6" t="str">
        <f aca="false">IF(LEN(IF(K4="","",IFERROR(INDEX('Raw lists'!$B$2:$B$29,MATCH(K4,'Raw lists'!$B$2:$B$29,0))&amp;" / ",""))&amp;IF(L4="","",IFERROR(INDEX('Raw lists'!$B$2:$B$29,MATCH(L4,'Raw lists'!$B$2:$B$29,0))&amp;" / ",""))&amp;IF(M4="","",IFERROR(INDEX('Raw lists'!$B$2:$B$29,MATCH(M4,'Raw lists'!$B$2:$B$29,0))&amp;" / ","")))=0,"",LEFT(IF(K4="","",IFERROR(INDEX('Raw lists'!$B$2:$B$29,MATCH(K4,'Raw lists'!$B$2:$B$29,0))&amp;" / ",""))&amp;IF(L4="","",IFERROR(INDEX('Raw lists'!$B$2:$B$29,MATCH(L4,'Raw lists'!$B$2:$B$29,0))&amp;" / ",""))&amp;IF(M4="","",IFERROR(INDEX('Raw lists'!$B$2:$B$29,MATCH(M4,'Raw lists'!$B$2:$B$29,0))&amp;" / ","")),LEN(IF(K4="","",IFERROR(INDEX('Raw lists'!$B$2:$B$29,MATCH(K4,'Raw lists'!$B$2:$B$29,0))&amp;" / ",""))&amp;IF(L4="","",IFERROR(INDEX('Raw lists'!$B$2:$B$29,MATCH(L4,'Raw lists'!$B$2:$B$29,0))&amp;" / ",""))&amp;IF(M4="","",IFERROR(INDEX('Raw lists'!$B$2:$B$29,MATCH(M4,'Raw lists'!$B$2:$B$29,0))&amp;" / ","")))-3))</f>
        <v>Subproblem / Subproblems</v>
      </c>
      <c r="E4" s="6" t="str">
        <f aca="false">IF(LEN(IF(K4="","",IFERROR(INDEX('Raw lists'!$C$2:$C$23,MATCH(K4,'Raw lists'!$C$2:$C$23,0))&amp;" / ",""))&amp;IF(L4="","",IFERROR(INDEX('Raw lists'!$C$2:$C$23,MATCH(L4,'Raw lists'!$C$2:$C$23,0))&amp;" / ",""))&amp;IF(M4="","",IFERROR(INDEX('Raw lists'!$C$2:$C$23,MATCH(M4,'Raw lists'!$C$2:$C$23,0))&amp;" / ","")))=0,"",LEFT(IF(K4="","",IFERROR(INDEX('Raw lists'!$C$2:$C$23,MATCH(K4,'Raw lists'!$C$2:$C$23,0))&amp;" / ",""))&amp;IF(L4="","",IFERROR(INDEX('Raw lists'!$C$2:$C$23,MATCH(L4,'Raw lists'!$C$2:$C$23,0))&amp;" / ",""))&amp;IF(M4="","",IFERROR(INDEX('Raw lists'!$C$2:$C$23,MATCH(M4,'Raw lists'!$C$2:$C$23,0))&amp;" / ","")),LEN(IF(K4="","",IFERROR(INDEX('Raw lists'!$C$2:$C$23,MATCH(K4,'Raw lists'!$C$2:$C$23,0))&amp;" / ",""))&amp;IF(L4="","",IFERROR(INDEX('Raw lists'!$C$2:$C$23,MATCH(L4,'Raw lists'!$C$2:$C$23,0))&amp;" / ",""))&amp;IF(M4="","",IFERROR(INDEX('Raw lists'!$C$2:$C$23,MATCH(M4,'Raw lists'!$C$2:$C$23,0))&amp;" / ","")))-3))</f>
        <v>Subproblem / Subproblems</v>
      </c>
      <c r="F4" s="4" t="s">
        <v>14</v>
      </c>
      <c r="G4" s="6" t="s">
        <v>24</v>
      </c>
      <c r="H4" s="4" t="n">
        <f aca="false">COUNTIF(C4:E4,"?*")</f>
        <v>2</v>
      </c>
      <c r="I4" s="7" t="str">
        <f aca="false">IF(H4=0,"None",IF(H4=3,"All three",IF(H4=1,"Only "&amp;TRIM(IF(C4&lt;&gt;"","Gemini ","")&amp;IF(D4&lt;&gt;"","RAKE ","")&amp;IF(E4&lt;&gt;"","YAKE","")),SUBSTITUTE(TRIM(IF(C4&lt;&gt;"","Gemini ","")&amp;IF(D4&lt;&gt;"","RAKE ","")&amp;IF(E4&lt;&gt;"","YAKE",""))," "," + "))))</f>
        <v>RAKE + YAKE</v>
      </c>
      <c r="K4" s="8" t="s">
        <v>25</v>
      </c>
      <c r="L4" s="8" t="s">
        <v>26</v>
      </c>
      <c r="M4" s="8"/>
      <c r="O4" s="11" t="s">
        <v>27</v>
      </c>
    </row>
    <row r="5" customFormat="false" ht="23.85" hidden="false" customHeight="false" outlineLevel="0" collapsed="false">
      <c r="A5" s="4" t="n">
        <v>4</v>
      </c>
      <c r="B5" s="5" t="s">
        <v>28</v>
      </c>
      <c r="C5" s="6" t="str">
        <f aca="false">IF(LEN(IF(K5="","",IFERROR(INDEX('Raw lists'!$A$2:$A$32,MATCH(K5,'Raw lists'!$A$2:$A$32,0))&amp;" / ",""))&amp;IF(L5="","",IFERROR(INDEX('Raw lists'!$A$2:$A$32,MATCH(L5,'Raw lists'!$A$2:$A$32,0))&amp;" / ",""))&amp;IF(M5="","",IFERROR(INDEX('Raw lists'!$A$2:$A$32,MATCH(M5,'Raw lists'!$A$2:$A$32,0))&amp;" / ","")))=0,"",LEFT(IF(K5="","",IFERROR(INDEX('Raw lists'!$A$2:$A$32,MATCH(K5,'Raw lists'!$A$2:$A$32,0))&amp;" / ",""))&amp;IF(L5="","",IFERROR(INDEX('Raw lists'!$A$2:$A$32,MATCH(L5,'Raw lists'!$A$2:$A$32,0))&amp;" / ",""))&amp;IF(M5="","",IFERROR(INDEX('Raw lists'!$A$2:$A$32,MATCH(M5,'Raw lists'!$A$2:$A$32,0))&amp;" / ","")),LEN(IF(K5="","",IFERROR(INDEX('Raw lists'!$A$2:$A$32,MATCH(K5,'Raw lists'!$A$2:$A$32,0))&amp;" / ",""))&amp;IF(L5="","",IFERROR(INDEX('Raw lists'!$A$2:$A$32,MATCH(L5,'Raw lists'!$A$2:$A$32,0))&amp;" / ",""))&amp;IF(M5="","",IFERROR(INDEX('Raw lists'!$A$2:$A$32,MATCH(M5,'Raw lists'!$A$2:$A$32,0))&amp;" / ","")))-3))</f>
        <v/>
      </c>
      <c r="D5" s="6" t="str">
        <f aca="false">IF(LEN(IF(K5="","",IFERROR(INDEX('Raw lists'!$B$2:$B$29,MATCH(K5,'Raw lists'!$B$2:$B$29,0))&amp;" / ",""))&amp;IF(L5="","",IFERROR(INDEX('Raw lists'!$B$2:$B$29,MATCH(L5,'Raw lists'!$B$2:$B$29,0))&amp;" / ",""))&amp;IF(M5="","",IFERROR(INDEX('Raw lists'!$B$2:$B$29,MATCH(M5,'Raw lists'!$B$2:$B$29,0))&amp;" / ","")))=0,"",LEFT(IF(K5="","",IFERROR(INDEX('Raw lists'!$B$2:$B$29,MATCH(K5,'Raw lists'!$B$2:$B$29,0))&amp;" / ",""))&amp;IF(L5="","",IFERROR(INDEX('Raw lists'!$B$2:$B$29,MATCH(L5,'Raw lists'!$B$2:$B$29,0))&amp;" / ",""))&amp;IF(M5="","",IFERROR(INDEX('Raw lists'!$B$2:$B$29,MATCH(M5,'Raw lists'!$B$2:$B$29,0))&amp;" / ","")),LEN(IF(K5="","",IFERROR(INDEX('Raw lists'!$B$2:$B$29,MATCH(K5,'Raw lists'!$B$2:$B$29,0))&amp;" / ",""))&amp;IF(L5="","",IFERROR(INDEX('Raw lists'!$B$2:$B$29,MATCH(L5,'Raw lists'!$B$2:$B$29,0))&amp;" / ",""))&amp;IF(M5="","",IFERROR(INDEX('Raw lists'!$B$2:$B$29,MATCH(M5,'Raw lists'!$B$2:$B$29,0))&amp;" / ","")))-3))</f>
        <v>Relate / Relation</v>
      </c>
      <c r="E5" s="6" t="str">
        <f aca="false">IF(LEN(IF(K5="","",IFERROR(INDEX('Raw lists'!$C$2:$C$23,MATCH(K5,'Raw lists'!$C$2:$C$23,0))&amp;" / ",""))&amp;IF(L5="","",IFERROR(INDEX('Raw lists'!$C$2:$C$23,MATCH(L5,'Raw lists'!$C$2:$C$23,0))&amp;" / ",""))&amp;IF(M5="","",IFERROR(INDEX('Raw lists'!$C$2:$C$23,MATCH(M5,'Raw lists'!$C$2:$C$23,0))&amp;" / ","")))=0,"",LEFT(IF(K5="","",IFERROR(INDEX('Raw lists'!$C$2:$C$23,MATCH(K5,'Raw lists'!$C$2:$C$23,0))&amp;" / ",""))&amp;IF(L5="","",IFERROR(INDEX('Raw lists'!$C$2:$C$23,MATCH(L5,'Raw lists'!$C$2:$C$23,0))&amp;" / ",""))&amp;IF(M5="","",IFERROR(INDEX('Raw lists'!$C$2:$C$23,MATCH(M5,'Raw lists'!$C$2:$C$23,0))&amp;" / ","")),LEN(IF(K5="","",IFERROR(INDEX('Raw lists'!$C$2:$C$23,MATCH(K5,'Raw lists'!$C$2:$C$23,0))&amp;" / ",""))&amp;IF(L5="","",IFERROR(INDEX('Raw lists'!$C$2:$C$23,MATCH(L5,'Raw lists'!$C$2:$C$23,0))&amp;" / ",""))&amp;IF(M5="","",IFERROR(INDEX('Raw lists'!$C$2:$C$23,MATCH(M5,'Raw lists'!$C$2:$C$23,0))&amp;" / ","")))-3))</f>
        <v/>
      </c>
      <c r="F5" s="4" t="s">
        <v>14</v>
      </c>
      <c r="G5" s="6" t="s">
        <v>29</v>
      </c>
      <c r="H5" s="4" t="n">
        <f aca="false">COUNTIF(C5:E5,"?*")</f>
        <v>1</v>
      </c>
      <c r="I5" s="7" t="str">
        <f aca="false">IF(H5=0,"None",IF(H5=3,"All three",IF(H5=1,"Only "&amp;TRIM(IF(C5&lt;&gt;"","Gemini ","")&amp;IF(D5&lt;&gt;"","RAKE ","")&amp;IF(E5&lt;&gt;"","YAKE","")),SUBSTITUTE(TRIM(IF(C5&lt;&gt;"","Gemini ","")&amp;IF(D5&lt;&gt;"","RAKE ","")&amp;IF(E5&lt;&gt;"","YAKE",""))," "," + "))))</f>
        <v>Only RAKE</v>
      </c>
      <c r="K5" s="8" t="s">
        <v>30</v>
      </c>
      <c r="L5" s="8" t="s">
        <v>31</v>
      </c>
      <c r="M5" s="8"/>
      <c r="O5" s="12" t="s">
        <v>32</v>
      </c>
    </row>
    <row r="6" customFormat="false" ht="23.85" hidden="false" customHeight="false" outlineLevel="0" collapsed="false">
      <c r="A6" s="4" t="n">
        <v>5</v>
      </c>
      <c r="B6" s="5" t="s">
        <v>33</v>
      </c>
      <c r="C6" s="6" t="str">
        <f aca="false">IF(LEN(IF(K6="","",IFERROR(INDEX('Raw lists'!$A$2:$A$32,MATCH(K6,'Raw lists'!$A$2:$A$32,0))&amp;" / ",""))&amp;IF(L6="","",IFERROR(INDEX('Raw lists'!$A$2:$A$32,MATCH(L6,'Raw lists'!$A$2:$A$32,0))&amp;" / ",""))&amp;IF(M6="","",IFERROR(INDEX('Raw lists'!$A$2:$A$32,MATCH(M6,'Raw lists'!$A$2:$A$32,0))&amp;" / ","")))=0,"",LEFT(IF(K6="","",IFERROR(INDEX('Raw lists'!$A$2:$A$32,MATCH(K6,'Raw lists'!$A$2:$A$32,0))&amp;" / ",""))&amp;IF(L6="","",IFERROR(INDEX('Raw lists'!$A$2:$A$32,MATCH(L6,'Raw lists'!$A$2:$A$32,0))&amp;" / ",""))&amp;IF(M6="","",IFERROR(INDEX('Raw lists'!$A$2:$A$32,MATCH(M6,'Raw lists'!$A$2:$A$32,0))&amp;" / ","")),LEN(IF(K6="","",IFERROR(INDEX('Raw lists'!$A$2:$A$32,MATCH(K6,'Raw lists'!$A$2:$A$32,0))&amp;" / ",""))&amp;IF(L6="","",IFERROR(INDEX('Raw lists'!$A$2:$A$32,MATCH(L6,'Raw lists'!$A$2:$A$32,0))&amp;" / ",""))&amp;IF(M6="","",IFERROR(INDEX('Raw lists'!$A$2:$A$32,MATCH(M6,'Raw lists'!$A$2:$A$32,0))&amp;" / ","")))-3))</f>
        <v/>
      </c>
      <c r="D6" s="6" t="str">
        <f aca="false">IF(LEN(IF(K6="","",IFERROR(INDEX('Raw lists'!$B$2:$B$29,MATCH(K6,'Raw lists'!$B$2:$B$29,0))&amp;" / ",""))&amp;IF(L6="","",IFERROR(INDEX('Raw lists'!$B$2:$B$29,MATCH(L6,'Raw lists'!$B$2:$B$29,0))&amp;" / ",""))&amp;IF(M6="","",IFERROR(INDEX('Raw lists'!$B$2:$B$29,MATCH(M6,'Raw lists'!$B$2:$B$29,0))&amp;" / ","")))=0,"",LEFT(IF(K6="","",IFERROR(INDEX('Raw lists'!$B$2:$B$29,MATCH(K6,'Raw lists'!$B$2:$B$29,0))&amp;" / ",""))&amp;IF(L6="","",IFERROR(INDEX('Raw lists'!$B$2:$B$29,MATCH(L6,'Raw lists'!$B$2:$B$29,0))&amp;" / ",""))&amp;IF(M6="","",IFERROR(INDEX('Raw lists'!$B$2:$B$29,MATCH(M6,'Raw lists'!$B$2:$B$29,0))&amp;" / ","")),LEN(IF(K6="","",IFERROR(INDEX('Raw lists'!$B$2:$B$29,MATCH(K6,'Raw lists'!$B$2:$B$29,0))&amp;" / ",""))&amp;IF(L6="","",IFERROR(INDEX('Raw lists'!$B$2:$B$29,MATCH(L6,'Raw lists'!$B$2:$B$29,0))&amp;" / ",""))&amp;IF(M6="","",IFERROR(INDEX('Raw lists'!$B$2:$B$29,MATCH(M6,'Raw lists'!$B$2:$B$29,0))&amp;" / ","")))-3))</f>
        <v/>
      </c>
      <c r="E6" s="6" t="str">
        <f aca="false">IF(LEN(IF(K6="","",IFERROR(INDEX('Raw lists'!$C$2:$C$23,MATCH(K6,'Raw lists'!$C$2:$C$23,0))&amp;" / ",""))&amp;IF(L6="","",IFERROR(INDEX('Raw lists'!$C$2:$C$23,MATCH(L6,'Raw lists'!$C$2:$C$23,0))&amp;" / ",""))&amp;IF(M6="","",IFERROR(INDEX('Raw lists'!$C$2:$C$23,MATCH(M6,'Raw lists'!$C$2:$C$23,0))&amp;" / ","")))=0,"",LEFT(IF(K6="","",IFERROR(INDEX('Raw lists'!$C$2:$C$23,MATCH(K6,'Raw lists'!$C$2:$C$23,0))&amp;" / ",""))&amp;IF(L6="","",IFERROR(INDEX('Raw lists'!$C$2:$C$23,MATCH(L6,'Raw lists'!$C$2:$C$23,0))&amp;" / ",""))&amp;IF(M6="","",IFERROR(INDEX('Raw lists'!$C$2:$C$23,MATCH(M6,'Raw lists'!$C$2:$C$23,0))&amp;" / ","")),LEN(IF(K6="","",IFERROR(INDEX('Raw lists'!$C$2:$C$23,MATCH(K6,'Raw lists'!$C$2:$C$23,0))&amp;" / ",""))&amp;IF(L6="","",IFERROR(INDEX('Raw lists'!$C$2:$C$23,MATCH(L6,'Raw lists'!$C$2:$C$23,0))&amp;" / ",""))&amp;IF(M6="","",IFERROR(INDEX('Raw lists'!$C$2:$C$23,MATCH(M6,'Raw lists'!$C$2:$C$23,0))&amp;" / ","")))-3))</f>
        <v/>
      </c>
      <c r="F6" s="4" t="s">
        <v>14</v>
      </c>
      <c r="G6" s="6" t="s">
        <v>34</v>
      </c>
      <c r="H6" s="4" t="n">
        <f aca="false">COUNTIF(C6:E6,"?*")</f>
        <v>0</v>
      </c>
      <c r="I6" s="7" t="str">
        <f aca="false">IF(H6=0,"None",IF(H6=3,"All three",IF(H6=1,"Only "&amp;TRIM(IF(C6&lt;&gt;"","Gemini ","")&amp;IF(D6&lt;&gt;"","RAKE ","")&amp;IF(E6&lt;&gt;"","YAKE","")),SUBSTITUTE(TRIM(IF(C6&lt;&gt;"","Gemini ","")&amp;IF(D6&lt;&gt;"","RAKE ","")&amp;IF(E6&lt;&gt;"","YAKE",""))," "," + "))))</f>
        <v>None</v>
      </c>
      <c r="K6" s="8" t="s">
        <v>35</v>
      </c>
      <c r="L6" s="8" t="s">
        <v>36</v>
      </c>
      <c r="M6" s="8"/>
      <c r="O6" s="13" t="s">
        <v>37</v>
      </c>
    </row>
    <row r="7" customFormat="false" ht="15" hidden="false" customHeight="false" outlineLevel="0" collapsed="false">
      <c r="A7" s="4" t="n">
        <v>6</v>
      </c>
      <c r="B7" s="5" t="s">
        <v>38</v>
      </c>
      <c r="C7" s="6" t="str">
        <f aca="false">IF(LEN(IF(K7="","",IFERROR(INDEX('Raw lists'!$A$2:$A$32,MATCH(K7,'Raw lists'!$A$2:$A$32,0))&amp;" / ",""))&amp;IF(L7="","",IFERROR(INDEX('Raw lists'!$A$2:$A$32,MATCH(L7,'Raw lists'!$A$2:$A$32,0))&amp;" / ",""))&amp;IF(M7="","",IFERROR(INDEX('Raw lists'!$A$2:$A$32,MATCH(M7,'Raw lists'!$A$2:$A$32,0))&amp;" / ","")))=0,"",LEFT(IF(K7="","",IFERROR(INDEX('Raw lists'!$A$2:$A$32,MATCH(K7,'Raw lists'!$A$2:$A$32,0))&amp;" / ",""))&amp;IF(L7="","",IFERROR(INDEX('Raw lists'!$A$2:$A$32,MATCH(L7,'Raw lists'!$A$2:$A$32,0))&amp;" / ",""))&amp;IF(M7="","",IFERROR(INDEX('Raw lists'!$A$2:$A$32,MATCH(M7,'Raw lists'!$A$2:$A$32,0))&amp;" / ","")),LEN(IF(K7="","",IFERROR(INDEX('Raw lists'!$A$2:$A$32,MATCH(K7,'Raw lists'!$A$2:$A$32,0))&amp;" / ",""))&amp;IF(L7="","",IFERROR(INDEX('Raw lists'!$A$2:$A$32,MATCH(L7,'Raw lists'!$A$2:$A$32,0))&amp;" / ",""))&amp;IF(M7="","",IFERROR(INDEX('Raw lists'!$A$2:$A$32,MATCH(M7,'Raw lists'!$A$2:$A$32,0))&amp;" / ","")))-3))</f>
        <v/>
      </c>
      <c r="D7" s="6" t="str">
        <f aca="false">IF(LEN(IF(K7="","",IFERROR(INDEX('Raw lists'!$B$2:$B$29,MATCH(K7,'Raw lists'!$B$2:$B$29,0))&amp;" / ",""))&amp;IF(L7="","",IFERROR(INDEX('Raw lists'!$B$2:$B$29,MATCH(L7,'Raw lists'!$B$2:$B$29,0))&amp;" / ",""))&amp;IF(M7="","",IFERROR(INDEX('Raw lists'!$B$2:$B$29,MATCH(M7,'Raw lists'!$B$2:$B$29,0))&amp;" / ","")))=0,"",LEFT(IF(K7="","",IFERROR(INDEX('Raw lists'!$B$2:$B$29,MATCH(K7,'Raw lists'!$B$2:$B$29,0))&amp;" / ",""))&amp;IF(L7="","",IFERROR(INDEX('Raw lists'!$B$2:$B$29,MATCH(L7,'Raw lists'!$B$2:$B$29,0))&amp;" / ",""))&amp;IF(M7="","",IFERROR(INDEX('Raw lists'!$B$2:$B$29,MATCH(M7,'Raw lists'!$B$2:$B$29,0))&amp;" / ","")),LEN(IF(K7="","",IFERROR(INDEX('Raw lists'!$B$2:$B$29,MATCH(K7,'Raw lists'!$B$2:$B$29,0))&amp;" / ",""))&amp;IF(L7="","",IFERROR(INDEX('Raw lists'!$B$2:$B$29,MATCH(L7,'Raw lists'!$B$2:$B$29,0))&amp;" / ",""))&amp;IF(M7="","",IFERROR(INDEX('Raw lists'!$B$2:$B$29,MATCH(M7,'Raw lists'!$B$2:$B$29,0))&amp;" / ","")))-3))</f>
        <v/>
      </c>
      <c r="E7" s="6" t="str">
        <f aca="false">IF(LEN(IF(K7="","",IFERROR(INDEX('Raw lists'!$C$2:$C$23,MATCH(K7,'Raw lists'!$C$2:$C$23,0))&amp;" / ",""))&amp;IF(L7="","",IFERROR(INDEX('Raw lists'!$C$2:$C$23,MATCH(L7,'Raw lists'!$C$2:$C$23,0))&amp;" / ",""))&amp;IF(M7="","",IFERROR(INDEX('Raw lists'!$C$2:$C$23,MATCH(M7,'Raw lists'!$C$2:$C$23,0))&amp;" / ","")))=0,"",LEFT(IF(K7="","",IFERROR(INDEX('Raw lists'!$C$2:$C$23,MATCH(K7,'Raw lists'!$C$2:$C$23,0))&amp;" / ",""))&amp;IF(L7="","",IFERROR(INDEX('Raw lists'!$C$2:$C$23,MATCH(L7,'Raw lists'!$C$2:$C$23,0))&amp;" / ",""))&amp;IF(M7="","",IFERROR(INDEX('Raw lists'!$C$2:$C$23,MATCH(M7,'Raw lists'!$C$2:$C$23,0))&amp;" / ","")),LEN(IF(K7="","",IFERROR(INDEX('Raw lists'!$C$2:$C$23,MATCH(K7,'Raw lists'!$C$2:$C$23,0))&amp;" / ",""))&amp;IF(L7="","",IFERROR(INDEX('Raw lists'!$C$2:$C$23,MATCH(L7,'Raw lists'!$C$2:$C$23,0))&amp;" / ",""))&amp;IF(M7="","",IFERROR(INDEX('Raw lists'!$C$2:$C$23,MATCH(M7,'Raw lists'!$C$2:$C$23,0))&amp;" / ","")))-3))</f>
        <v/>
      </c>
      <c r="F7" s="4" t="s">
        <v>14</v>
      </c>
      <c r="G7" s="6" t="s">
        <v>39</v>
      </c>
      <c r="H7" s="4" t="n">
        <f aca="false">COUNTIF(C7:E7,"?*")</f>
        <v>0</v>
      </c>
      <c r="I7" s="7" t="str">
        <f aca="false">IF(H7=0,"None",IF(H7=3,"All three",IF(H7=1,"Only "&amp;TRIM(IF(C7&lt;&gt;"","Gemini ","")&amp;IF(D7&lt;&gt;"","RAKE ","")&amp;IF(E7&lt;&gt;"","YAKE","")),SUBSTITUTE(TRIM(IF(C7&lt;&gt;"","Gemini ","")&amp;IF(D7&lt;&gt;"","RAKE ","")&amp;IF(E7&lt;&gt;"","YAKE",""))," "," + "))))</f>
        <v>None</v>
      </c>
      <c r="K7" s="8" t="s">
        <v>40</v>
      </c>
      <c r="L7" s="8"/>
      <c r="M7" s="8"/>
    </row>
    <row r="8" customFormat="false" ht="79.5" hidden="false" customHeight="true" outlineLevel="0" collapsed="false">
      <c r="A8" s="4" t="n">
        <v>7</v>
      </c>
      <c r="B8" s="5" t="s">
        <v>41</v>
      </c>
      <c r="C8" s="6" t="str">
        <f aca="false">IF(LEN(IF(K8="","",IFERROR(INDEX('Raw lists'!$A$2:$A$32,MATCH(K8,'Raw lists'!$A$2:$A$32,0))&amp;" / ",""))&amp;IF(L8="","",IFERROR(INDEX('Raw lists'!$A$2:$A$32,MATCH(L8,'Raw lists'!$A$2:$A$32,0))&amp;" / ",""))&amp;IF(M8="","",IFERROR(INDEX('Raw lists'!$A$2:$A$32,MATCH(M8,'Raw lists'!$A$2:$A$32,0))&amp;" / ","")))=0,"",LEFT(IF(K8="","",IFERROR(INDEX('Raw lists'!$A$2:$A$32,MATCH(K8,'Raw lists'!$A$2:$A$32,0))&amp;" / ",""))&amp;IF(L8="","",IFERROR(INDEX('Raw lists'!$A$2:$A$32,MATCH(L8,'Raw lists'!$A$2:$A$32,0))&amp;" / ",""))&amp;IF(M8="","",IFERROR(INDEX('Raw lists'!$A$2:$A$32,MATCH(M8,'Raw lists'!$A$2:$A$32,0))&amp;" / ","")),LEN(IF(K8="","",IFERROR(INDEX('Raw lists'!$A$2:$A$32,MATCH(K8,'Raw lists'!$A$2:$A$32,0))&amp;" / ",""))&amp;IF(L8="","",IFERROR(INDEX('Raw lists'!$A$2:$A$32,MATCH(L8,'Raw lists'!$A$2:$A$32,0))&amp;" / ",""))&amp;IF(M8="","",IFERROR(INDEX('Raw lists'!$A$2:$A$32,MATCH(M8,'Raw lists'!$A$2:$A$32,0))&amp;" / ","")))-3))</f>
        <v/>
      </c>
      <c r="D8" s="6" t="str">
        <f aca="false">IF(LEN(IF(K8="","",IFERROR(INDEX('Raw lists'!$B$2:$B$29,MATCH(K8,'Raw lists'!$B$2:$B$29,0))&amp;" / ",""))&amp;IF(L8="","",IFERROR(INDEX('Raw lists'!$B$2:$B$29,MATCH(L8,'Raw lists'!$B$2:$B$29,0))&amp;" / ",""))&amp;IF(M8="","",IFERROR(INDEX('Raw lists'!$B$2:$B$29,MATCH(M8,'Raw lists'!$B$2:$B$29,0))&amp;" / ","")))=0,"",LEFT(IF(K8="","",IFERROR(INDEX('Raw lists'!$B$2:$B$29,MATCH(K8,'Raw lists'!$B$2:$B$29,0))&amp;" / ",""))&amp;IF(L8="","",IFERROR(INDEX('Raw lists'!$B$2:$B$29,MATCH(L8,'Raw lists'!$B$2:$B$29,0))&amp;" / ",""))&amp;IF(M8="","",IFERROR(INDEX('Raw lists'!$B$2:$B$29,MATCH(M8,'Raw lists'!$B$2:$B$29,0))&amp;" / ","")),LEN(IF(K8="","",IFERROR(INDEX('Raw lists'!$B$2:$B$29,MATCH(K8,'Raw lists'!$B$2:$B$29,0))&amp;" / ",""))&amp;IF(L8="","",IFERROR(INDEX('Raw lists'!$B$2:$B$29,MATCH(L8,'Raw lists'!$B$2:$B$29,0))&amp;" / ",""))&amp;IF(M8="","",IFERROR(INDEX('Raw lists'!$B$2:$B$29,MATCH(M8,'Raw lists'!$B$2:$B$29,0))&amp;" / ","")))-3))</f>
        <v/>
      </c>
      <c r="E8" s="6" t="str">
        <f aca="false">IF(LEN(IF(K8="","",IFERROR(INDEX('Raw lists'!$C$2:$C$23,MATCH(K8,'Raw lists'!$C$2:$C$23,0))&amp;" / ",""))&amp;IF(L8="","",IFERROR(INDEX('Raw lists'!$C$2:$C$23,MATCH(L8,'Raw lists'!$C$2:$C$23,0))&amp;" / ",""))&amp;IF(M8="","",IFERROR(INDEX('Raw lists'!$C$2:$C$23,MATCH(M8,'Raw lists'!$C$2:$C$23,0))&amp;" / ","")))=0,"",LEFT(IF(K8="","",IFERROR(INDEX('Raw lists'!$C$2:$C$23,MATCH(K8,'Raw lists'!$C$2:$C$23,0))&amp;" / ",""))&amp;IF(L8="","",IFERROR(INDEX('Raw lists'!$C$2:$C$23,MATCH(L8,'Raw lists'!$C$2:$C$23,0))&amp;" / ",""))&amp;IF(M8="","",IFERROR(INDEX('Raw lists'!$C$2:$C$23,MATCH(M8,'Raw lists'!$C$2:$C$23,0))&amp;" / ","")),LEN(IF(K8="","",IFERROR(INDEX('Raw lists'!$C$2:$C$23,MATCH(K8,'Raw lists'!$C$2:$C$23,0))&amp;" / ",""))&amp;IF(L8="","",IFERROR(INDEX('Raw lists'!$C$2:$C$23,MATCH(L8,'Raw lists'!$C$2:$C$23,0))&amp;" / ",""))&amp;IF(M8="","",IFERROR(INDEX('Raw lists'!$C$2:$C$23,MATCH(M8,'Raw lists'!$C$2:$C$23,0))&amp;" / ","")))-3))</f>
        <v/>
      </c>
      <c r="F8" s="4" t="s">
        <v>14</v>
      </c>
      <c r="G8" s="6" t="s">
        <v>42</v>
      </c>
      <c r="H8" s="4" t="n">
        <f aca="false">COUNTIF(C8:E8,"?*")</f>
        <v>0</v>
      </c>
      <c r="I8" s="7" t="str">
        <f aca="false">IF(H8=0,"None",IF(H8=3,"All three",IF(H8=1,"Only "&amp;TRIM(IF(C8&lt;&gt;"","Gemini ","")&amp;IF(D8&lt;&gt;"","RAKE ","")&amp;IF(E8&lt;&gt;"","YAKE","")),SUBSTITUTE(TRIM(IF(C8&lt;&gt;"","Gemini ","")&amp;IF(D8&lt;&gt;"","RAKE ","")&amp;IF(E8&lt;&gt;"","YAKE",""))," "," + "))))</f>
        <v>None</v>
      </c>
      <c r="K8" s="8" t="s">
        <v>43</v>
      </c>
      <c r="L8" s="8" t="s">
        <v>44</v>
      </c>
      <c r="M8" s="8"/>
      <c r="O8" s="13" t="s">
        <v>45</v>
      </c>
    </row>
    <row r="9" customFormat="false" ht="23.85" hidden="false" customHeight="false" outlineLevel="0" collapsed="false">
      <c r="A9" s="4" t="n">
        <v>8</v>
      </c>
      <c r="B9" s="5" t="s">
        <v>46</v>
      </c>
      <c r="C9" s="6" t="str">
        <f aca="false">IF(LEN(IF(K9="","",IFERROR(INDEX('Raw lists'!$A$2:$A$32,MATCH(K9,'Raw lists'!$A$2:$A$32,0))&amp;" / ",""))&amp;IF(L9="","",IFERROR(INDEX('Raw lists'!$A$2:$A$32,MATCH(L9,'Raw lists'!$A$2:$A$32,0))&amp;" / ",""))&amp;IF(M9="","",IFERROR(INDEX('Raw lists'!$A$2:$A$32,MATCH(M9,'Raw lists'!$A$2:$A$32,0))&amp;" / ","")))=0,"",LEFT(IF(K9="","",IFERROR(INDEX('Raw lists'!$A$2:$A$32,MATCH(K9,'Raw lists'!$A$2:$A$32,0))&amp;" / ",""))&amp;IF(L9="","",IFERROR(INDEX('Raw lists'!$A$2:$A$32,MATCH(L9,'Raw lists'!$A$2:$A$32,0))&amp;" / ",""))&amp;IF(M9="","",IFERROR(INDEX('Raw lists'!$A$2:$A$32,MATCH(M9,'Raw lists'!$A$2:$A$32,0))&amp;" / ","")),LEN(IF(K9="","",IFERROR(INDEX('Raw lists'!$A$2:$A$32,MATCH(K9,'Raw lists'!$A$2:$A$32,0))&amp;" / ",""))&amp;IF(L9="","",IFERROR(INDEX('Raw lists'!$A$2:$A$32,MATCH(L9,'Raw lists'!$A$2:$A$32,0))&amp;" / ",""))&amp;IF(M9="","",IFERROR(INDEX('Raw lists'!$A$2:$A$32,MATCH(M9,'Raw lists'!$A$2:$A$32,0))&amp;" / ","")))-3))</f>
        <v>Base Case</v>
      </c>
      <c r="D9" s="6" t="str">
        <f aca="false">IF(LEN(IF(K9="","",IFERROR(INDEX('Raw lists'!$B$2:$B$29,MATCH(K9,'Raw lists'!$B$2:$B$29,0))&amp;" / ",""))&amp;IF(L9="","",IFERROR(INDEX('Raw lists'!$B$2:$B$29,MATCH(L9,'Raw lists'!$B$2:$B$29,0))&amp;" / ",""))&amp;IF(M9="","",IFERROR(INDEX('Raw lists'!$B$2:$B$29,MATCH(M9,'Raw lists'!$B$2:$B$29,0))&amp;" / ","")))=0,"",LEFT(IF(K9="","",IFERROR(INDEX('Raw lists'!$B$2:$B$29,MATCH(K9,'Raw lists'!$B$2:$B$29,0))&amp;" / ",""))&amp;IF(L9="","",IFERROR(INDEX('Raw lists'!$B$2:$B$29,MATCH(L9,'Raw lists'!$B$2:$B$29,0))&amp;" / ",""))&amp;IF(M9="","",IFERROR(INDEX('Raw lists'!$B$2:$B$29,MATCH(M9,'Raw lists'!$B$2:$B$29,0))&amp;" / ","")),LEN(IF(K9="","",IFERROR(INDEX('Raw lists'!$B$2:$B$29,MATCH(K9,'Raw lists'!$B$2:$B$29,0))&amp;" / ",""))&amp;IF(L9="","",IFERROR(INDEX('Raw lists'!$B$2:$B$29,MATCH(L9,'Raw lists'!$B$2:$B$29,0))&amp;" / ",""))&amp;IF(M9="","",IFERROR(INDEX('Raw lists'!$B$2:$B$29,MATCH(M9,'Raw lists'!$B$2:$B$29,0))&amp;" / ","")))-3))</f>
        <v/>
      </c>
      <c r="E9" s="6" t="str">
        <f aca="false">IF(LEN(IF(K9="","",IFERROR(INDEX('Raw lists'!$C$2:$C$23,MATCH(K9,'Raw lists'!$C$2:$C$23,0))&amp;" / ",""))&amp;IF(L9="","",IFERROR(INDEX('Raw lists'!$C$2:$C$23,MATCH(L9,'Raw lists'!$C$2:$C$23,0))&amp;" / ",""))&amp;IF(M9="","",IFERROR(INDEX('Raw lists'!$C$2:$C$23,MATCH(M9,'Raw lists'!$C$2:$C$23,0))&amp;" / ","")))=0,"",LEFT(IF(K9="","",IFERROR(INDEX('Raw lists'!$C$2:$C$23,MATCH(K9,'Raw lists'!$C$2:$C$23,0))&amp;" / ",""))&amp;IF(L9="","",IFERROR(INDEX('Raw lists'!$C$2:$C$23,MATCH(L9,'Raw lists'!$C$2:$C$23,0))&amp;" / ",""))&amp;IF(M9="","",IFERROR(INDEX('Raw lists'!$C$2:$C$23,MATCH(M9,'Raw lists'!$C$2:$C$23,0))&amp;" / ","")),LEN(IF(K9="","",IFERROR(INDEX('Raw lists'!$C$2:$C$23,MATCH(K9,'Raw lists'!$C$2:$C$23,0))&amp;" / ",""))&amp;IF(L9="","",IFERROR(INDEX('Raw lists'!$C$2:$C$23,MATCH(L9,'Raw lists'!$C$2:$C$23,0))&amp;" / ",""))&amp;IF(M9="","",IFERROR(INDEX('Raw lists'!$C$2:$C$23,MATCH(M9,'Raw lists'!$C$2:$C$23,0))&amp;" / ","")))-3))</f>
        <v/>
      </c>
      <c r="F9" s="4" t="s">
        <v>14</v>
      </c>
      <c r="G9" s="6" t="s">
        <v>47</v>
      </c>
      <c r="H9" s="4" t="n">
        <f aca="false">COUNTIF(C9:E9,"?*")</f>
        <v>1</v>
      </c>
      <c r="I9" s="7" t="str">
        <f aca="false">IF(H9=0,"None",IF(H9=3,"All three",IF(H9=1,"Only "&amp;TRIM(IF(C9&lt;&gt;"","Gemini ","")&amp;IF(D9&lt;&gt;"","RAKE ","")&amp;IF(E9&lt;&gt;"","YAKE","")),SUBSTITUTE(TRIM(IF(C9&lt;&gt;"","Gemini ","")&amp;IF(D9&lt;&gt;"","RAKE ","")&amp;IF(E9&lt;&gt;"","YAKE",""))," "," + "))))</f>
        <v>Only Gemini</v>
      </c>
      <c r="K9" s="8" t="s">
        <v>48</v>
      </c>
      <c r="L9" s="8" t="s">
        <v>49</v>
      </c>
      <c r="M9" s="8"/>
    </row>
    <row r="10" customFormat="false" ht="23.85" hidden="false" customHeight="false" outlineLevel="0" collapsed="false">
      <c r="A10" s="4" t="n">
        <v>9</v>
      </c>
      <c r="B10" s="5" t="s">
        <v>50</v>
      </c>
      <c r="C10" s="6" t="str">
        <f aca="false">IF(LEN(IF(K10="","",IFERROR(INDEX('Raw lists'!$A$2:$A$32,MATCH(K10,'Raw lists'!$A$2:$A$32,0))&amp;" / ",""))&amp;IF(L10="","",IFERROR(INDEX('Raw lists'!$A$2:$A$32,MATCH(L10,'Raw lists'!$A$2:$A$32,0))&amp;" / ",""))&amp;IF(M10="","",IFERROR(INDEX('Raw lists'!$A$2:$A$32,MATCH(M10,'Raw lists'!$A$2:$A$32,0))&amp;" / ","")))=0,"",LEFT(IF(K10="","",IFERROR(INDEX('Raw lists'!$A$2:$A$32,MATCH(K10,'Raw lists'!$A$2:$A$32,0))&amp;" / ",""))&amp;IF(L10="","",IFERROR(INDEX('Raw lists'!$A$2:$A$32,MATCH(L10,'Raw lists'!$A$2:$A$32,0))&amp;" / ",""))&amp;IF(M10="","",IFERROR(INDEX('Raw lists'!$A$2:$A$32,MATCH(M10,'Raw lists'!$A$2:$A$32,0))&amp;" / ","")),LEN(IF(K10="","",IFERROR(INDEX('Raw lists'!$A$2:$A$32,MATCH(K10,'Raw lists'!$A$2:$A$32,0))&amp;" / ",""))&amp;IF(L10="","",IFERROR(INDEX('Raw lists'!$A$2:$A$32,MATCH(L10,'Raw lists'!$A$2:$A$32,0))&amp;" / ",""))&amp;IF(M10="","",IFERROR(INDEX('Raw lists'!$A$2:$A$32,MATCH(M10,'Raw lists'!$A$2:$A$32,0))&amp;" / ","")))-3))</f>
        <v/>
      </c>
      <c r="D10" s="6" t="str">
        <f aca="false">IF(LEN(IF(K10="","",IFERROR(INDEX('Raw lists'!$B$2:$B$29,MATCH(K10,'Raw lists'!$B$2:$B$29,0))&amp;" / ",""))&amp;IF(L10="","",IFERROR(INDEX('Raw lists'!$B$2:$B$29,MATCH(L10,'Raw lists'!$B$2:$B$29,0))&amp;" / ",""))&amp;IF(M10="","",IFERROR(INDEX('Raw lists'!$B$2:$B$29,MATCH(M10,'Raw lists'!$B$2:$B$29,0))&amp;" / ","")))=0,"",LEFT(IF(K10="","",IFERROR(INDEX('Raw lists'!$B$2:$B$29,MATCH(K10,'Raw lists'!$B$2:$B$29,0))&amp;" / ",""))&amp;IF(L10="","",IFERROR(INDEX('Raw lists'!$B$2:$B$29,MATCH(L10,'Raw lists'!$B$2:$B$29,0))&amp;" / ",""))&amp;IF(M10="","",IFERROR(INDEX('Raw lists'!$B$2:$B$29,MATCH(M10,'Raw lists'!$B$2:$B$29,0))&amp;" / ","")),LEN(IF(K10="","",IFERROR(INDEX('Raw lists'!$B$2:$B$29,MATCH(K10,'Raw lists'!$B$2:$B$29,0))&amp;" / ",""))&amp;IF(L10="","",IFERROR(INDEX('Raw lists'!$B$2:$B$29,MATCH(L10,'Raw lists'!$B$2:$B$29,0))&amp;" / ",""))&amp;IF(M10="","",IFERROR(INDEX('Raw lists'!$B$2:$B$29,MATCH(M10,'Raw lists'!$B$2:$B$29,0))&amp;" / ","")))-3))</f>
        <v/>
      </c>
      <c r="E10" s="6" t="str">
        <f aca="false">IF(LEN(IF(K10="","",IFERROR(INDEX('Raw lists'!$C$2:$C$23,MATCH(K10,'Raw lists'!$C$2:$C$23,0))&amp;" / ",""))&amp;IF(L10="","",IFERROR(INDEX('Raw lists'!$C$2:$C$23,MATCH(L10,'Raw lists'!$C$2:$C$23,0))&amp;" / ",""))&amp;IF(M10="","",IFERROR(INDEX('Raw lists'!$C$2:$C$23,MATCH(M10,'Raw lists'!$C$2:$C$23,0))&amp;" / ","")))=0,"",LEFT(IF(K10="","",IFERROR(INDEX('Raw lists'!$C$2:$C$23,MATCH(K10,'Raw lists'!$C$2:$C$23,0))&amp;" / ",""))&amp;IF(L10="","",IFERROR(INDEX('Raw lists'!$C$2:$C$23,MATCH(L10,'Raw lists'!$C$2:$C$23,0))&amp;" / ",""))&amp;IF(M10="","",IFERROR(INDEX('Raw lists'!$C$2:$C$23,MATCH(M10,'Raw lists'!$C$2:$C$23,0))&amp;" / ","")),LEN(IF(K10="","",IFERROR(INDEX('Raw lists'!$C$2:$C$23,MATCH(K10,'Raw lists'!$C$2:$C$23,0))&amp;" / ",""))&amp;IF(L10="","",IFERROR(INDEX('Raw lists'!$C$2:$C$23,MATCH(L10,'Raw lists'!$C$2:$C$23,0))&amp;" / ",""))&amp;IF(M10="","",IFERROR(INDEX('Raw lists'!$C$2:$C$23,MATCH(M10,'Raw lists'!$C$2:$C$23,0))&amp;" / ","")))-3))</f>
        <v>Original Problem</v>
      </c>
      <c r="F10" s="4" t="s">
        <v>14</v>
      </c>
      <c r="G10" s="6" t="s">
        <v>51</v>
      </c>
      <c r="H10" s="4" t="n">
        <f aca="false">COUNTIF(C10:E10,"?*")</f>
        <v>1</v>
      </c>
      <c r="I10" s="7" t="str">
        <f aca="false">IF(H10=0,"None",IF(H10=3,"All three",IF(H10=1,"Only "&amp;TRIM(IF(C10&lt;&gt;"","Gemini ","")&amp;IF(D10&lt;&gt;"","RAKE ","")&amp;IF(E10&lt;&gt;"","YAKE","")),SUBSTITUTE(TRIM(IF(C10&lt;&gt;"","Gemini ","")&amp;IF(D10&lt;&gt;"","RAKE ","")&amp;IF(E10&lt;&gt;"","YAKE",""))," "," + "))))</f>
        <v>Only YAKE</v>
      </c>
      <c r="K10" s="8" t="s">
        <v>52</v>
      </c>
      <c r="L10" s="8"/>
      <c r="M10" s="8"/>
    </row>
    <row r="11" customFormat="false" ht="23.85" hidden="false" customHeight="false" outlineLevel="0" collapsed="false">
      <c r="A11" s="4" t="n">
        <v>10</v>
      </c>
      <c r="B11" s="5" t="s">
        <v>53</v>
      </c>
      <c r="C11" s="6" t="str">
        <f aca="false">IF(LEN(IF(K11="","",IFERROR(INDEX('Raw lists'!$A$2:$A$32,MATCH(K11,'Raw lists'!$A$2:$A$32,0))&amp;" / ",""))&amp;IF(L11="","",IFERROR(INDEX('Raw lists'!$A$2:$A$32,MATCH(L11,'Raw lists'!$A$2:$A$32,0))&amp;" / ",""))&amp;IF(M11="","",IFERROR(INDEX('Raw lists'!$A$2:$A$32,MATCH(M11,'Raw lists'!$A$2:$A$32,0))&amp;" / ","")))=0,"",LEFT(IF(K11="","",IFERROR(INDEX('Raw lists'!$A$2:$A$32,MATCH(K11,'Raw lists'!$A$2:$A$32,0))&amp;" / ",""))&amp;IF(L11="","",IFERROR(INDEX('Raw lists'!$A$2:$A$32,MATCH(L11,'Raw lists'!$A$2:$A$32,0))&amp;" / ",""))&amp;IF(M11="","",IFERROR(INDEX('Raw lists'!$A$2:$A$32,MATCH(M11,'Raw lists'!$A$2:$A$32,0))&amp;" / ","")),LEN(IF(K11="","",IFERROR(INDEX('Raw lists'!$A$2:$A$32,MATCH(K11,'Raw lists'!$A$2:$A$32,0))&amp;" / ",""))&amp;IF(L11="","",IFERROR(INDEX('Raw lists'!$A$2:$A$32,MATCH(L11,'Raw lists'!$A$2:$A$32,0))&amp;" / ",""))&amp;IF(M11="","",IFERROR(INDEX('Raw lists'!$A$2:$A$32,MATCH(M11,'Raw lists'!$A$2:$A$32,0))&amp;" / ","")))-3))</f>
        <v/>
      </c>
      <c r="D11" s="6" t="str">
        <f aca="false">IF(LEN(IF(K11="","",IFERROR(INDEX('Raw lists'!$B$2:$B$29,MATCH(K11,'Raw lists'!$B$2:$B$29,0))&amp;" / ",""))&amp;IF(L11="","",IFERROR(INDEX('Raw lists'!$B$2:$B$29,MATCH(L11,'Raw lists'!$B$2:$B$29,0))&amp;" / ",""))&amp;IF(M11="","",IFERROR(INDEX('Raw lists'!$B$2:$B$29,MATCH(M11,'Raw lists'!$B$2:$B$29,0))&amp;" / ","")))=0,"",LEFT(IF(K11="","",IFERROR(INDEX('Raw lists'!$B$2:$B$29,MATCH(K11,'Raw lists'!$B$2:$B$29,0))&amp;" / ",""))&amp;IF(L11="","",IFERROR(INDEX('Raw lists'!$B$2:$B$29,MATCH(L11,'Raw lists'!$B$2:$B$29,0))&amp;" / ",""))&amp;IF(M11="","",IFERROR(INDEX('Raw lists'!$B$2:$B$29,MATCH(M11,'Raw lists'!$B$2:$B$29,0))&amp;" / ","")),LEN(IF(K11="","",IFERROR(INDEX('Raw lists'!$B$2:$B$29,MATCH(K11,'Raw lists'!$B$2:$B$29,0))&amp;" / ",""))&amp;IF(L11="","",IFERROR(INDEX('Raw lists'!$B$2:$B$29,MATCH(L11,'Raw lists'!$B$2:$B$29,0))&amp;" / ",""))&amp;IF(M11="","",IFERROR(INDEX('Raw lists'!$B$2:$B$29,MATCH(M11,'Raw lists'!$B$2:$B$29,0))&amp;" / ","")))-3))</f>
        <v/>
      </c>
      <c r="E11" s="6" t="str">
        <f aca="false">IF(LEN(IF(K11="","",IFERROR(INDEX('Raw lists'!$C$2:$C$23,MATCH(K11,'Raw lists'!$C$2:$C$23,0))&amp;" / ",""))&amp;IF(L11="","",IFERROR(INDEX('Raw lists'!$C$2:$C$23,MATCH(L11,'Raw lists'!$C$2:$C$23,0))&amp;" / ",""))&amp;IF(M11="","",IFERROR(INDEX('Raw lists'!$C$2:$C$23,MATCH(M11,'Raw lists'!$C$2:$C$23,0))&amp;" / ","")))=0,"",LEFT(IF(K11="","",IFERROR(INDEX('Raw lists'!$C$2:$C$23,MATCH(K11,'Raw lists'!$C$2:$C$23,0))&amp;" / ",""))&amp;IF(L11="","",IFERROR(INDEX('Raw lists'!$C$2:$C$23,MATCH(L11,'Raw lists'!$C$2:$C$23,0))&amp;" / ",""))&amp;IF(M11="","",IFERROR(INDEX('Raw lists'!$C$2:$C$23,MATCH(M11,'Raw lists'!$C$2:$C$23,0))&amp;" / ","")),LEN(IF(K11="","",IFERROR(INDEX('Raw lists'!$C$2:$C$23,MATCH(K11,'Raw lists'!$C$2:$C$23,0))&amp;" / ",""))&amp;IF(L11="","",IFERROR(INDEX('Raw lists'!$C$2:$C$23,MATCH(L11,'Raw lists'!$C$2:$C$23,0))&amp;" / ",""))&amp;IF(M11="","",IFERROR(INDEX('Raw lists'!$C$2:$C$23,MATCH(M11,'Raw lists'!$C$2:$C$23,0))&amp;" / ","")))-3))</f>
        <v/>
      </c>
      <c r="F11" s="4" t="s">
        <v>14</v>
      </c>
      <c r="G11" s="6" t="s">
        <v>54</v>
      </c>
      <c r="H11" s="4" t="n">
        <f aca="false">COUNTIF(C11:E11,"?*")</f>
        <v>0</v>
      </c>
      <c r="I11" s="7" t="str">
        <f aca="false">IF(H11=0,"None",IF(H11=3,"All three",IF(H11=1,"Only "&amp;TRIM(IF(C11&lt;&gt;"","Gemini ","")&amp;IF(D11&lt;&gt;"","RAKE ","")&amp;IF(E11&lt;&gt;"","YAKE","")),SUBSTITUTE(TRIM(IF(C11&lt;&gt;"","Gemini ","")&amp;IF(D11&lt;&gt;"","RAKE ","")&amp;IF(E11&lt;&gt;"","YAKE",""))," "," + "))))</f>
        <v>None</v>
      </c>
      <c r="K11" s="8" t="s">
        <v>55</v>
      </c>
      <c r="L11" s="8"/>
      <c r="M11" s="8"/>
    </row>
    <row r="12" customFormat="false" ht="23.85" hidden="false" customHeight="false" outlineLevel="0" collapsed="false">
      <c r="A12" s="4" t="n">
        <v>11</v>
      </c>
      <c r="B12" s="5" t="s">
        <v>56</v>
      </c>
      <c r="C12" s="6" t="str">
        <f aca="false">IF(LEN(IF(K12="","",IFERROR(INDEX('Raw lists'!$A$2:$A$32,MATCH(K12,'Raw lists'!$A$2:$A$32,0))&amp;" / ",""))&amp;IF(L12="","",IFERROR(INDEX('Raw lists'!$A$2:$A$32,MATCH(L12,'Raw lists'!$A$2:$A$32,0))&amp;" / ",""))&amp;IF(M12="","",IFERROR(INDEX('Raw lists'!$A$2:$A$32,MATCH(M12,'Raw lists'!$A$2:$A$32,0))&amp;" / ","")))=0,"",LEFT(IF(K12="","",IFERROR(INDEX('Raw lists'!$A$2:$A$32,MATCH(K12,'Raw lists'!$A$2:$A$32,0))&amp;" / ",""))&amp;IF(L12="","",IFERROR(INDEX('Raw lists'!$A$2:$A$32,MATCH(L12,'Raw lists'!$A$2:$A$32,0))&amp;" / ",""))&amp;IF(M12="","",IFERROR(INDEX('Raw lists'!$A$2:$A$32,MATCH(M12,'Raw lists'!$A$2:$A$32,0))&amp;" / ","")),LEN(IF(K12="","",IFERROR(INDEX('Raw lists'!$A$2:$A$32,MATCH(K12,'Raw lists'!$A$2:$A$32,0))&amp;" / ",""))&amp;IF(L12="","",IFERROR(INDEX('Raw lists'!$A$2:$A$32,MATCH(L12,'Raw lists'!$A$2:$A$32,0))&amp;" / ",""))&amp;IF(M12="","",IFERROR(INDEX('Raw lists'!$A$2:$A$32,MATCH(M12,'Raw lists'!$A$2:$A$32,0))&amp;" / ","")))-3))</f>
        <v/>
      </c>
      <c r="D12" s="6" t="str">
        <f aca="false">IF(LEN(IF(K12="","",IFERROR(INDEX('Raw lists'!$B$2:$B$29,MATCH(K12,'Raw lists'!$B$2:$B$29,0))&amp;" / ",""))&amp;IF(L12="","",IFERROR(INDEX('Raw lists'!$B$2:$B$29,MATCH(L12,'Raw lists'!$B$2:$B$29,0))&amp;" / ",""))&amp;IF(M12="","",IFERROR(INDEX('Raw lists'!$B$2:$B$29,MATCH(M12,'Raw lists'!$B$2:$B$29,0))&amp;" / ","")))=0,"",LEFT(IF(K12="","",IFERROR(INDEX('Raw lists'!$B$2:$B$29,MATCH(K12,'Raw lists'!$B$2:$B$29,0))&amp;" / ",""))&amp;IF(L12="","",IFERROR(INDEX('Raw lists'!$B$2:$B$29,MATCH(L12,'Raw lists'!$B$2:$B$29,0))&amp;" / ",""))&amp;IF(M12="","",IFERROR(INDEX('Raw lists'!$B$2:$B$29,MATCH(M12,'Raw lists'!$B$2:$B$29,0))&amp;" / ","")),LEN(IF(K12="","",IFERROR(INDEX('Raw lists'!$B$2:$B$29,MATCH(K12,'Raw lists'!$B$2:$B$29,0))&amp;" / ",""))&amp;IF(L12="","",IFERROR(INDEX('Raw lists'!$B$2:$B$29,MATCH(L12,'Raw lists'!$B$2:$B$29,0))&amp;" / ",""))&amp;IF(M12="","",IFERROR(INDEX('Raw lists'!$B$2:$B$29,MATCH(M12,'Raw lists'!$B$2:$B$29,0))&amp;" / ","")))-3))</f>
        <v/>
      </c>
      <c r="E12" s="6" t="str">
        <f aca="false">IF(LEN(IF(K12="","",IFERROR(INDEX('Raw lists'!$C$2:$C$23,MATCH(K12,'Raw lists'!$C$2:$C$23,0))&amp;" / ",""))&amp;IF(L12="","",IFERROR(INDEX('Raw lists'!$C$2:$C$23,MATCH(L12,'Raw lists'!$C$2:$C$23,0))&amp;" / ",""))&amp;IF(M12="","",IFERROR(INDEX('Raw lists'!$C$2:$C$23,MATCH(M12,'Raw lists'!$C$2:$C$23,0))&amp;" / ","")))=0,"",LEFT(IF(K12="","",IFERROR(INDEX('Raw lists'!$C$2:$C$23,MATCH(K12,'Raw lists'!$C$2:$C$23,0))&amp;" / ",""))&amp;IF(L12="","",IFERROR(INDEX('Raw lists'!$C$2:$C$23,MATCH(L12,'Raw lists'!$C$2:$C$23,0))&amp;" / ",""))&amp;IF(M12="","",IFERROR(INDEX('Raw lists'!$C$2:$C$23,MATCH(M12,'Raw lists'!$C$2:$C$23,0))&amp;" / ","")),LEN(IF(K12="","",IFERROR(INDEX('Raw lists'!$C$2:$C$23,MATCH(K12,'Raw lists'!$C$2:$C$23,0))&amp;" / ",""))&amp;IF(L12="","",IFERROR(INDEX('Raw lists'!$C$2:$C$23,MATCH(L12,'Raw lists'!$C$2:$C$23,0))&amp;" / ",""))&amp;IF(M12="","",IFERROR(INDEX('Raw lists'!$C$2:$C$23,MATCH(M12,'Raw lists'!$C$2:$C$23,0))&amp;" / ","")))-3))</f>
        <v/>
      </c>
      <c r="F12" s="4" t="s">
        <v>14</v>
      </c>
      <c r="G12" s="6" t="s">
        <v>57</v>
      </c>
      <c r="H12" s="4" t="n">
        <f aca="false">COUNTIF(C12:E12,"?*")</f>
        <v>0</v>
      </c>
      <c r="I12" s="7" t="str">
        <f aca="false">IF(H12=0,"None",IF(H12=3,"All three",IF(H12=1,"Only "&amp;TRIM(IF(C12&lt;&gt;"","Gemini ","")&amp;IF(D12&lt;&gt;"","RAKE ","")&amp;IF(E12&lt;&gt;"","YAKE","")),SUBSTITUTE(TRIM(IF(C12&lt;&gt;"","Gemini ","")&amp;IF(D12&lt;&gt;"","RAKE ","")&amp;IF(E12&lt;&gt;"","YAKE",""))," "," + "))))</f>
        <v>None</v>
      </c>
      <c r="K12" s="8" t="s">
        <v>58</v>
      </c>
      <c r="L12" s="8"/>
      <c r="M12" s="8"/>
    </row>
    <row r="13" customFormat="false" ht="23.85" hidden="false" customHeight="false" outlineLevel="0" collapsed="false">
      <c r="A13" s="4" t="n">
        <v>12</v>
      </c>
      <c r="B13" s="5" t="s">
        <v>59</v>
      </c>
      <c r="C13" s="6" t="str">
        <f aca="false">IF(LEN(IF(K13="","",IFERROR(INDEX('Raw lists'!$A$2:$A$32,MATCH(K13,'Raw lists'!$A$2:$A$32,0))&amp;" / ",""))&amp;IF(L13="","",IFERROR(INDEX('Raw lists'!$A$2:$A$32,MATCH(L13,'Raw lists'!$A$2:$A$32,0))&amp;" / ",""))&amp;IF(M13="","",IFERROR(INDEX('Raw lists'!$A$2:$A$32,MATCH(M13,'Raw lists'!$A$2:$A$32,0))&amp;" / ","")))=0,"",LEFT(IF(K13="","",IFERROR(INDEX('Raw lists'!$A$2:$A$32,MATCH(K13,'Raw lists'!$A$2:$A$32,0))&amp;" / ",""))&amp;IF(L13="","",IFERROR(INDEX('Raw lists'!$A$2:$A$32,MATCH(L13,'Raw lists'!$A$2:$A$32,0))&amp;" / ",""))&amp;IF(M13="","",IFERROR(INDEX('Raw lists'!$A$2:$A$32,MATCH(M13,'Raw lists'!$A$2:$A$32,0))&amp;" / ","")),LEN(IF(K13="","",IFERROR(INDEX('Raw lists'!$A$2:$A$32,MATCH(K13,'Raw lists'!$A$2:$A$32,0))&amp;" / ",""))&amp;IF(L13="","",IFERROR(INDEX('Raw lists'!$A$2:$A$32,MATCH(L13,'Raw lists'!$A$2:$A$32,0))&amp;" / ",""))&amp;IF(M13="","",IFERROR(INDEX('Raw lists'!$A$2:$A$32,MATCH(M13,'Raw lists'!$A$2:$A$32,0))&amp;" / ","")))-3))</f>
        <v/>
      </c>
      <c r="D13" s="6" t="str">
        <f aca="false">IF(LEN(IF(K13="","",IFERROR(INDEX('Raw lists'!$B$2:$B$29,MATCH(K13,'Raw lists'!$B$2:$B$29,0))&amp;" / ",""))&amp;IF(L13="","",IFERROR(INDEX('Raw lists'!$B$2:$B$29,MATCH(L13,'Raw lists'!$B$2:$B$29,0))&amp;" / ",""))&amp;IF(M13="","",IFERROR(INDEX('Raw lists'!$B$2:$B$29,MATCH(M13,'Raw lists'!$B$2:$B$29,0))&amp;" / ","")))=0,"",LEFT(IF(K13="","",IFERROR(INDEX('Raw lists'!$B$2:$B$29,MATCH(K13,'Raw lists'!$B$2:$B$29,0))&amp;" / ",""))&amp;IF(L13="","",IFERROR(INDEX('Raw lists'!$B$2:$B$29,MATCH(L13,'Raw lists'!$B$2:$B$29,0))&amp;" / ",""))&amp;IF(M13="","",IFERROR(INDEX('Raw lists'!$B$2:$B$29,MATCH(M13,'Raw lists'!$B$2:$B$29,0))&amp;" / ","")),LEN(IF(K13="","",IFERROR(INDEX('Raw lists'!$B$2:$B$29,MATCH(K13,'Raw lists'!$B$2:$B$29,0))&amp;" / ",""))&amp;IF(L13="","",IFERROR(INDEX('Raw lists'!$B$2:$B$29,MATCH(L13,'Raw lists'!$B$2:$B$29,0))&amp;" / ",""))&amp;IF(M13="","",IFERROR(INDEX('Raw lists'!$B$2:$B$29,MATCH(M13,'Raw lists'!$B$2:$B$29,0))&amp;" / ","")))-3))</f>
        <v/>
      </c>
      <c r="E13" s="6" t="str">
        <f aca="false">IF(LEN(IF(K13="","",IFERROR(INDEX('Raw lists'!$C$2:$C$23,MATCH(K13,'Raw lists'!$C$2:$C$23,0))&amp;" / ",""))&amp;IF(L13="","",IFERROR(INDEX('Raw lists'!$C$2:$C$23,MATCH(L13,'Raw lists'!$C$2:$C$23,0))&amp;" / ",""))&amp;IF(M13="","",IFERROR(INDEX('Raw lists'!$C$2:$C$23,MATCH(M13,'Raw lists'!$C$2:$C$23,0))&amp;" / ","")))=0,"",LEFT(IF(K13="","",IFERROR(INDEX('Raw lists'!$C$2:$C$23,MATCH(K13,'Raw lists'!$C$2:$C$23,0))&amp;" / ",""))&amp;IF(L13="","",IFERROR(INDEX('Raw lists'!$C$2:$C$23,MATCH(L13,'Raw lists'!$C$2:$C$23,0))&amp;" / ",""))&amp;IF(M13="","",IFERROR(INDEX('Raw lists'!$C$2:$C$23,MATCH(M13,'Raw lists'!$C$2:$C$23,0))&amp;" / ","")),LEN(IF(K13="","",IFERROR(INDEX('Raw lists'!$C$2:$C$23,MATCH(K13,'Raw lists'!$C$2:$C$23,0))&amp;" / ",""))&amp;IF(L13="","",IFERROR(INDEX('Raw lists'!$C$2:$C$23,MATCH(L13,'Raw lists'!$C$2:$C$23,0))&amp;" / ",""))&amp;IF(M13="","",IFERROR(INDEX('Raw lists'!$C$2:$C$23,MATCH(M13,'Raw lists'!$C$2:$C$23,0))&amp;" / ","")))-3))</f>
        <v/>
      </c>
      <c r="F13" s="4" t="s">
        <v>14</v>
      </c>
      <c r="G13" s="6" t="s">
        <v>60</v>
      </c>
      <c r="H13" s="4" t="n">
        <f aca="false">COUNTIF(C13:E13,"?*")</f>
        <v>0</v>
      </c>
      <c r="I13" s="7" t="str">
        <f aca="false">IF(H13=0,"None",IF(H13=3,"All three",IF(H13=1,"Only "&amp;TRIM(IF(C13&lt;&gt;"","Gemini ","")&amp;IF(D13&lt;&gt;"","RAKE ","")&amp;IF(E13&lt;&gt;"","YAKE","")),SUBSTITUTE(TRIM(IF(C13&lt;&gt;"","Gemini ","")&amp;IF(D13&lt;&gt;"","RAKE ","")&amp;IF(E13&lt;&gt;"","YAKE",""))," "," + "))))</f>
        <v>None</v>
      </c>
      <c r="K13" s="8" t="s">
        <v>59</v>
      </c>
      <c r="L13" s="8" t="s">
        <v>61</v>
      </c>
      <c r="M13" s="8"/>
    </row>
    <row r="14" customFormat="false" ht="15" hidden="false" customHeight="false" outlineLevel="0" collapsed="false">
      <c r="A14" s="4" t="n">
        <v>13</v>
      </c>
      <c r="B14" s="5" t="s">
        <v>62</v>
      </c>
      <c r="C14" s="6" t="str">
        <f aca="false">IF(LEN(IF(K14="","",IFERROR(INDEX('Raw lists'!$A$2:$A$32,MATCH(K14,'Raw lists'!$A$2:$A$32,0))&amp;" / ",""))&amp;IF(L14="","",IFERROR(INDEX('Raw lists'!$A$2:$A$32,MATCH(L14,'Raw lists'!$A$2:$A$32,0))&amp;" / ",""))&amp;IF(M14="","",IFERROR(INDEX('Raw lists'!$A$2:$A$32,MATCH(M14,'Raw lists'!$A$2:$A$32,0))&amp;" / ","")))=0,"",LEFT(IF(K14="","",IFERROR(INDEX('Raw lists'!$A$2:$A$32,MATCH(K14,'Raw lists'!$A$2:$A$32,0))&amp;" / ",""))&amp;IF(L14="","",IFERROR(INDEX('Raw lists'!$A$2:$A$32,MATCH(L14,'Raw lists'!$A$2:$A$32,0))&amp;" / ",""))&amp;IF(M14="","",IFERROR(INDEX('Raw lists'!$A$2:$A$32,MATCH(M14,'Raw lists'!$A$2:$A$32,0))&amp;" / ","")),LEN(IF(K14="","",IFERROR(INDEX('Raw lists'!$A$2:$A$32,MATCH(K14,'Raw lists'!$A$2:$A$32,0))&amp;" / ",""))&amp;IF(L14="","",IFERROR(INDEX('Raw lists'!$A$2:$A$32,MATCH(L14,'Raw lists'!$A$2:$A$32,0))&amp;" / ",""))&amp;IF(M14="","",IFERROR(INDEX('Raw lists'!$A$2:$A$32,MATCH(M14,'Raw lists'!$A$2:$A$32,0))&amp;" / ","")))-3))</f>
        <v/>
      </c>
      <c r="D14" s="6" t="str">
        <f aca="false">IF(LEN(IF(K14="","",IFERROR(INDEX('Raw lists'!$B$2:$B$29,MATCH(K14,'Raw lists'!$B$2:$B$29,0))&amp;" / ",""))&amp;IF(L14="","",IFERROR(INDEX('Raw lists'!$B$2:$B$29,MATCH(L14,'Raw lists'!$B$2:$B$29,0))&amp;" / ",""))&amp;IF(M14="","",IFERROR(INDEX('Raw lists'!$B$2:$B$29,MATCH(M14,'Raw lists'!$B$2:$B$29,0))&amp;" / ","")))=0,"",LEFT(IF(K14="","",IFERROR(INDEX('Raw lists'!$B$2:$B$29,MATCH(K14,'Raw lists'!$B$2:$B$29,0))&amp;" / ",""))&amp;IF(L14="","",IFERROR(INDEX('Raw lists'!$B$2:$B$29,MATCH(L14,'Raw lists'!$B$2:$B$29,0))&amp;" / ",""))&amp;IF(M14="","",IFERROR(INDEX('Raw lists'!$B$2:$B$29,MATCH(M14,'Raw lists'!$B$2:$B$29,0))&amp;" / ","")),LEN(IF(K14="","",IFERROR(INDEX('Raw lists'!$B$2:$B$29,MATCH(K14,'Raw lists'!$B$2:$B$29,0))&amp;" / ",""))&amp;IF(L14="","",IFERROR(INDEX('Raw lists'!$B$2:$B$29,MATCH(L14,'Raw lists'!$B$2:$B$29,0))&amp;" / ",""))&amp;IF(M14="","",IFERROR(INDEX('Raw lists'!$B$2:$B$29,MATCH(M14,'Raw lists'!$B$2:$B$29,0))&amp;" / ","")))-3))</f>
        <v/>
      </c>
      <c r="E14" s="6" t="str">
        <f aca="false">IF(LEN(IF(K14="","",IFERROR(INDEX('Raw lists'!$C$2:$C$23,MATCH(K14,'Raw lists'!$C$2:$C$23,0))&amp;" / ",""))&amp;IF(L14="","",IFERROR(INDEX('Raw lists'!$C$2:$C$23,MATCH(L14,'Raw lists'!$C$2:$C$23,0))&amp;" / ",""))&amp;IF(M14="","",IFERROR(INDEX('Raw lists'!$C$2:$C$23,MATCH(M14,'Raw lists'!$C$2:$C$23,0))&amp;" / ","")))=0,"",LEFT(IF(K14="","",IFERROR(INDEX('Raw lists'!$C$2:$C$23,MATCH(K14,'Raw lists'!$C$2:$C$23,0))&amp;" / ",""))&amp;IF(L14="","",IFERROR(INDEX('Raw lists'!$C$2:$C$23,MATCH(L14,'Raw lists'!$C$2:$C$23,0))&amp;" / ",""))&amp;IF(M14="","",IFERROR(INDEX('Raw lists'!$C$2:$C$23,MATCH(M14,'Raw lists'!$C$2:$C$23,0))&amp;" / ","")),LEN(IF(K14="","",IFERROR(INDEX('Raw lists'!$C$2:$C$23,MATCH(K14,'Raw lists'!$C$2:$C$23,0))&amp;" / ",""))&amp;IF(L14="","",IFERROR(INDEX('Raw lists'!$C$2:$C$23,MATCH(L14,'Raw lists'!$C$2:$C$23,0))&amp;" / ",""))&amp;IF(M14="","",IFERROR(INDEX('Raw lists'!$C$2:$C$23,MATCH(M14,'Raw lists'!$C$2:$C$23,0))&amp;" / ","")))-3))</f>
        <v/>
      </c>
      <c r="F14" s="4" t="s">
        <v>14</v>
      </c>
      <c r="G14" s="6" t="s">
        <v>63</v>
      </c>
      <c r="H14" s="4" t="n">
        <f aca="false">COUNTIF(C14:E14,"?*")</f>
        <v>0</v>
      </c>
      <c r="I14" s="7" t="str">
        <f aca="false">IF(H14=0,"None",IF(H14=3,"All three",IF(H14=1,"Only "&amp;TRIM(IF(C14&lt;&gt;"","Gemini ","")&amp;IF(D14&lt;&gt;"","RAKE ","")&amp;IF(E14&lt;&gt;"","YAKE","")),SUBSTITUTE(TRIM(IF(C14&lt;&gt;"","Gemini ","")&amp;IF(D14&lt;&gt;"","RAKE ","")&amp;IF(E14&lt;&gt;"","YAKE",""))," "," + "))))</f>
        <v>None</v>
      </c>
      <c r="K14" s="8" t="s">
        <v>64</v>
      </c>
      <c r="L14" s="8"/>
      <c r="M14" s="8"/>
    </row>
    <row r="15" customFormat="false" ht="23.85" hidden="false" customHeight="false" outlineLevel="0" collapsed="false">
      <c r="A15" s="4" t="n">
        <v>14</v>
      </c>
      <c r="B15" s="5" t="s">
        <v>65</v>
      </c>
      <c r="C15" s="6" t="str">
        <f aca="false">IF(LEN(IF(K15="","",IFERROR(INDEX('Raw lists'!$A$2:$A$32,MATCH(K15,'Raw lists'!$A$2:$A$32,0))&amp;" / ",""))&amp;IF(L15="","",IFERROR(INDEX('Raw lists'!$A$2:$A$32,MATCH(L15,'Raw lists'!$A$2:$A$32,0))&amp;" / ",""))&amp;IF(M15="","",IFERROR(INDEX('Raw lists'!$A$2:$A$32,MATCH(M15,'Raw lists'!$A$2:$A$32,0))&amp;" / ","")))=0,"",LEFT(IF(K15="","",IFERROR(INDEX('Raw lists'!$A$2:$A$32,MATCH(K15,'Raw lists'!$A$2:$A$32,0))&amp;" / ",""))&amp;IF(L15="","",IFERROR(INDEX('Raw lists'!$A$2:$A$32,MATCH(L15,'Raw lists'!$A$2:$A$32,0))&amp;" / ",""))&amp;IF(M15="","",IFERROR(INDEX('Raw lists'!$A$2:$A$32,MATCH(M15,'Raw lists'!$A$2:$A$32,0))&amp;" / ","")),LEN(IF(K15="","",IFERROR(INDEX('Raw lists'!$A$2:$A$32,MATCH(K15,'Raw lists'!$A$2:$A$32,0))&amp;" / ",""))&amp;IF(L15="","",IFERROR(INDEX('Raw lists'!$A$2:$A$32,MATCH(L15,'Raw lists'!$A$2:$A$32,0))&amp;" / ",""))&amp;IF(M15="","",IFERROR(INDEX('Raw lists'!$A$2:$A$32,MATCH(M15,'Raw lists'!$A$2:$A$32,0))&amp;" / ","")))-3))</f>
        <v>Reachable Subproblems / Solve Only Reachable</v>
      </c>
      <c r="D15" s="6" t="str">
        <f aca="false">IF(LEN(IF(K15="","",IFERROR(INDEX('Raw lists'!$B$2:$B$29,MATCH(K15,'Raw lists'!$B$2:$B$29,0))&amp;" / ",""))&amp;IF(L15="","",IFERROR(INDEX('Raw lists'!$B$2:$B$29,MATCH(L15,'Raw lists'!$B$2:$B$29,0))&amp;" / ",""))&amp;IF(M15="","",IFERROR(INDEX('Raw lists'!$B$2:$B$29,MATCH(M15,'Raw lists'!$B$2:$B$29,0))&amp;" / ","")))=0,"",LEFT(IF(K15="","",IFERROR(INDEX('Raw lists'!$B$2:$B$29,MATCH(K15,'Raw lists'!$B$2:$B$29,0))&amp;" / ",""))&amp;IF(L15="","",IFERROR(INDEX('Raw lists'!$B$2:$B$29,MATCH(L15,'Raw lists'!$B$2:$B$29,0))&amp;" / ",""))&amp;IF(M15="","",IFERROR(INDEX('Raw lists'!$B$2:$B$29,MATCH(M15,'Raw lists'!$B$2:$B$29,0))&amp;" / ","")),LEN(IF(K15="","",IFERROR(INDEX('Raw lists'!$B$2:$B$29,MATCH(K15,'Raw lists'!$B$2:$B$29,0))&amp;" / ",""))&amp;IF(L15="","",IFERROR(INDEX('Raw lists'!$B$2:$B$29,MATCH(L15,'Raw lists'!$B$2:$B$29,0))&amp;" / ",""))&amp;IF(M15="","",IFERROR(INDEX('Raw lists'!$B$2:$B$29,MATCH(M15,'Raw lists'!$B$2:$B$29,0))&amp;" / ","")))-3))</f>
        <v/>
      </c>
      <c r="E15" s="6" t="str">
        <f aca="false">IF(LEN(IF(K15="","",IFERROR(INDEX('Raw lists'!$C$2:$C$23,MATCH(K15,'Raw lists'!$C$2:$C$23,0))&amp;" / ",""))&amp;IF(L15="","",IFERROR(INDEX('Raw lists'!$C$2:$C$23,MATCH(L15,'Raw lists'!$C$2:$C$23,0))&amp;" / ",""))&amp;IF(M15="","",IFERROR(INDEX('Raw lists'!$C$2:$C$23,MATCH(M15,'Raw lists'!$C$2:$C$23,0))&amp;" / ","")))=0,"",LEFT(IF(K15="","",IFERROR(INDEX('Raw lists'!$C$2:$C$23,MATCH(K15,'Raw lists'!$C$2:$C$23,0))&amp;" / ",""))&amp;IF(L15="","",IFERROR(INDEX('Raw lists'!$C$2:$C$23,MATCH(L15,'Raw lists'!$C$2:$C$23,0))&amp;" / ",""))&amp;IF(M15="","",IFERROR(INDEX('Raw lists'!$C$2:$C$23,MATCH(M15,'Raw lists'!$C$2:$C$23,0))&amp;" / ","")),LEN(IF(K15="","",IFERROR(INDEX('Raw lists'!$C$2:$C$23,MATCH(K15,'Raw lists'!$C$2:$C$23,0))&amp;" / ",""))&amp;IF(L15="","",IFERROR(INDEX('Raw lists'!$C$2:$C$23,MATCH(L15,'Raw lists'!$C$2:$C$23,0))&amp;" / ",""))&amp;IF(M15="","",IFERROR(INDEX('Raw lists'!$C$2:$C$23,MATCH(M15,'Raw lists'!$C$2:$C$23,0))&amp;" / ","")))-3))</f>
        <v/>
      </c>
      <c r="F15" s="4" t="s">
        <v>14</v>
      </c>
      <c r="G15" s="6" t="s">
        <v>66</v>
      </c>
      <c r="H15" s="4" t="n">
        <f aca="false">COUNTIF(C15:E15,"?*")</f>
        <v>1</v>
      </c>
      <c r="I15" s="7" t="str">
        <f aca="false">IF(H15=0,"None",IF(H15=3,"All three",IF(H15=1,"Only "&amp;TRIM(IF(C15&lt;&gt;"","Gemini ","")&amp;IF(D15&lt;&gt;"","RAKE ","")&amp;IF(E15&lt;&gt;"","YAKE","")),SUBSTITUTE(TRIM(IF(C15&lt;&gt;"","Gemini ","")&amp;IF(D15&lt;&gt;"","RAKE ","")&amp;IF(E15&lt;&gt;"","YAKE",""))," "," + "))))</f>
        <v>Only Gemini</v>
      </c>
      <c r="K15" s="8" t="s">
        <v>67</v>
      </c>
      <c r="L15" s="8" t="s">
        <v>68</v>
      </c>
      <c r="M15" s="8" t="s">
        <v>69</v>
      </c>
    </row>
    <row r="16" customFormat="false" ht="15" hidden="false" customHeight="false" outlineLevel="0" collapsed="false">
      <c r="A16" s="4" t="n">
        <v>15</v>
      </c>
      <c r="B16" s="5" t="s">
        <v>70</v>
      </c>
      <c r="C16" s="6" t="str">
        <f aca="false">IF(LEN(IF(K16="","",IFERROR(INDEX('Raw lists'!$A$2:$A$32,MATCH(K16,'Raw lists'!$A$2:$A$32,0))&amp;" / ",""))&amp;IF(L16="","",IFERROR(INDEX('Raw lists'!$A$2:$A$32,MATCH(L16,'Raw lists'!$A$2:$A$32,0))&amp;" / ",""))&amp;IF(M16="","",IFERROR(INDEX('Raw lists'!$A$2:$A$32,MATCH(M16,'Raw lists'!$A$2:$A$32,0))&amp;" / ","")))=0,"",LEFT(IF(K16="","",IFERROR(INDEX('Raw lists'!$A$2:$A$32,MATCH(K16,'Raw lists'!$A$2:$A$32,0))&amp;" / ",""))&amp;IF(L16="","",IFERROR(INDEX('Raw lists'!$A$2:$A$32,MATCH(L16,'Raw lists'!$A$2:$A$32,0))&amp;" / ",""))&amp;IF(M16="","",IFERROR(INDEX('Raw lists'!$A$2:$A$32,MATCH(M16,'Raw lists'!$A$2:$A$32,0))&amp;" / ","")),LEN(IF(K16="","",IFERROR(INDEX('Raw lists'!$A$2:$A$32,MATCH(K16,'Raw lists'!$A$2:$A$32,0))&amp;" / ",""))&amp;IF(L16="","",IFERROR(INDEX('Raw lists'!$A$2:$A$32,MATCH(L16,'Raw lists'!$A$2:$A$32,0))&amp;" / ",""))&amp;IF(M16="","",IFERROR(INDEX('Raw lists'!$A$2:$A$32,MATCH(M16,'Raw lists'!$A$2:$A$32,0))&amp;" / ","")))-3))</f>
        <v>Rod Cutting / Cutting Rod</v>
      </c>
      <c r="D16" s="6" t="str">
        <f aca="false">IF(LEN(IF(K16="","",IFERROR(INDEX('Raw lists'!$B$2:$B$29,MATCH(K16,'Raw lists'!$B$2:$B$29,0))&amp;" / ",""))&amp;IF(L16="","",IFERROR(INDEX('Raw lists'!$B$2:$B$29,MATCH(L16,'Raw lists'!$B$2:$B$29,0))&amp;" / ",""))&amp;IF(M16="","",IFERROR(INDEX('Raw lists'!$B$2:$B$29,MATCH(M16,'Raw lists'!$B$2:$B$29,0))&amp;" / ","")))=0,"",LEFT(IF(K16="","",IFERROR(INDEX('Raw lists'!$B$2:$B$29,MATCH(K16,'Raw lists'!$B$2:$B$29,0))&amp;" / ",""))&amp;IF(L16="","",IFERROR(INDEX('Raw lists'!$B$2:$B$29,MATCH(L16,'Raw lists'!$B$2:$B$29,0))&amp;" / ",""))&amp;IF(M16="","",IFERROR(INDEX('Raw lists'!$B$2:$B$29,MATCH(M16,'Raw lists'!$B$2:$B$29,0))&amp;" / ","")),LEN(IF(K16="","",IFERROR(INDEX('Raw lists'!$B$2:$B$29,MATCH(K16,'Raw lists'!$B$2:$B$29,0))&amp;" / ",""))&amp;IF(L16="","",IFERROR(INDEX('Raw lists'!$B$2:$B$29,MATCH(L16,'Raw lists'!$B$2:$B$29,0))&amp;" / ",""))&amp;IF(M16="","",IFERROR(INDEX('Raw lists'!$B$2:$B$29,MATCH(M16,'Raw lists'!$B$2:$B$29,0))&amp;" / ","")))-3))</f>
        <v/>
      </c>
      <c r="E16" s="6" t="str">
        <f aca="false">IF(LEN(IF(K16="","",IFERROR(INDEX('Raw lists'!$C$2:$C$23,MATCH(K16,'Raw lists'!$C$2:$C$23,0))&amp;" / ",""))&amp;IF(L16="","",IFERROR(INDEX('Raw lists'!$C$2:$C$23,MATCH(L16,'Raw lists'!$C$2:$C$23,0))&amp;" / ",""))&amp;IF(M16="","",IFERROR(INDEX('Raw lists'!$C$2:$C$23,MATCH(M16,'Raw lists'!$C$2:$C$23,0))&amp;" / ","")))=0,"",LEFT(IF(K16="","",IFERROR(INDEX('Raw lists'!$C$2:$C$23,MATCH(K16,'Raw lists'!$C$2:$C$23,0))&amp;" / ",""))&amp;IF(L16="","",IFERROR(INDEX('Raw lists'!$C$2:$C$23,MATCH(L16,'Raw lists'!$C$2:$C$23,0))&amp;" / ",""))&amp;IF(M16="","",IFERROR(INDEX('Raw lists'!$C$2:$C$23,MATCH(M16,'Raw lists'!$C$2:$C$23,0))&amp;" / ","")),LEN(IF(K16="","",IFERROR(INDEX('Raw lists'!$C$2:$C$23,MATCH(K16,'Raw lists'!$C$2:$C$23,0))&amp;" / ",""))&amp;IF(L16="","",IFERROR(INDEX('Raw lists'!$C$2:$C$23,MATCH(L16,'Raw lists'!$C$2:$C$23,0))&amp;" / ",""))&amp;IF(M16="","",IFERROR(INDEX('Raw lists'!$C$2:$C$23,MATCH(M16,'Raw lists'!$C$2:$C$23,0))&amp;" / ","")))-3))</f>
        <v>Rod Cutting / Cutting Rod</v>
      </c>
      <c r="F16" s="4" t="s">
        <v>14</v>
      </c>
      <c r="G16" s="6" t="s">
        <v>71</v>
      </c>
      <c r="H16" s="4" t="n">
        <f aca="false">COUNTIF(C16:E16,"?*")</f>
        <v>2</v>
      </c>
      <c r="I16" s="7" t="str">
        <f aca="false">IF(H16=0,"None",IF(H16=3,"All three",IF(H16=1,"Only "&amp;TRIM(IF(C16&lt;&gt;"","Gemini ","")&amp;IF(D16&lt;&gt;"","RAKE ","")&amp;IF(E16&lt;&gt;"","YAKE","")),SUBSTITUTE(TRIM(IF(C16&lt;&gt;"","Gemini ","")&amp;IF(D16&lt;&gt;"","RAKE ","")&amp;IF(E16&lt;&gt;"","YAKE",""))," "," + "))))</f>
        <v>Gemini + YAKE</v>
      </c>
      <c r="K16" s="8" t="s">
        <v>70</v>
      </c>
      <c r="L16" s="8" t="s">
        <v>72</v>
      </c>
      <c r="M16" s="8"/>
    </row>
    <row r="17" customFormat="false" ht="23.85" hidden="false" customHeight="false" outlineLevel="0" collapsed="false">
      <c r="A17" s="4" t="n">
        <v>16</v>
      </c>
      <c r="B17" s="5" t="s">
        <v>73</v>
      </c>
      <c r="C17" s="6" t="str">
        <f aca="false">IF(LEN(IF(K17="","",IFERROR(INDEX('Raw lists'!$A$2:$A$32,MATCH(K17,'Raw lists'!$A$2:$A$32,0))&amp;" / ",""))&amp;IF(L17="","",IFERROR(INDEX('Raw lists'!$A$2:$A$32,MATCH(L17,'Raw lists'!$A$2:$A$32,0))&amp;" / ",""))&amp;IF(M17="","",IFERROR(INDEX('Raw lists'!$A$2:$A$32,MATCH(M17,'Raw lists'!$A$2:$A$32,0))&amp;" / ","")))=0,"",LEFT(IF(K17="","",IFERROR(INDEX('Raw lists'!$A$2:$A$32,MATCH(K17,'Raw lists'!$A$2:$A$32,0))&amp;" / ",""))&amp;IF(L17="","",IFERROR(INDEX('Raw lists'!$A$2:$A$32,MATCH(L17,'Raw lists'!$A$2:$A$32,0))&amp;" / ",""))&amp;IF(M17="","",IFERROR(INDEX('Raw lists'!$A$2:$A$32,MATCH(M17,'Raw lists'!$A$2:$A$32,0))&amp;" / ","")),LEN(IF(K17="","",IFERROR(INDEX('Raw lists'!$A$2:$A$32,MATCH(K17,'Raw lists'!$A$2:$A$32,0))&amp;" / ",""))&amp;IF(L17="","",IFERROR(INDEX('Raw lists'!$A$2:$A$32,MATCH(L17,'Raw lists'!$A$2:$A$32,0))&amp;" / ",""))&amp;IF(M17="","",IFERROR(INDEX('Raw lists'!$A$2:$A$32,MATCH(M17,'Raw lists'!$A$2:$A$32,0))&amp;" / ","")))-3))</f>
        <v/>
      </c>
      <c r="D17" s="6" t="str">
        <f aca="false">IF(LEN(IF(K17="","",IFERROR(INDEX('Raw lists'!$B$2:$B$29,MATCH(K17,'Raw lists'!$B$2:$B$29,0))&amp;" / ",""))&amp;IF(L17="","",IFERROR(INDEX('Raw lists'!$B$2:$B$29,MATCH(L17,'Raw lists'!$B$2:$B$29,0))&amp;" / ",""))&amp;IF(M17="","",IFERROR(INDEX('Raw lists'!$B$2:$B$29,MATCH(M17,'Raw lists'!$B$2:$B$29,0))&amp;" / ","")))=0,"",LEFT(IF(K17="","",IFERROR(INDEX('Raw lists'!$B$2:$B$29,MATCH(K17,'Raw lists'!$B$2:$B$29,0))&amp;" / ",""))&amp;IF(L17="","",IFERROR(INDEX('Raw lists'!$B$2:$B$29,MATCH(L17,'Raw lists'!$B$2:$B$29,0))&amp;" / ",""))&amp;IF(M17="","",IFERROR(INDEX('Raw lists'!$B$2:$B$29,MATCH(M17,'Raw lists'!$B$2:$B$29,0))&amp;" / ","")),LEN(IF(K17="","",IFERROR(INDEX('Raw lists'!$B$2:$B$29,MATCH(K17,'Raw lists'!$B$2:$B$29,0))&amp;" / ",""))&amp;IF(L17="","",IFERROR(INDEX('Raw lists'!$B$2:$B$29,MATCH(L17,'Raw lists'!$B$2:$B$29,0))&amp;" / ",""))&amp;IF(M17="","",IFERROR(INDEX('Raw lists'!$B$2:$B$29,MATCH(M17,'Raw lists'!$B$2:$B$29,0))&amp;" / ","")))-3))</f>
        <v/>
      </c>
      <c r="E17" s="6" t="str">
        <f aca="false">IF(LEN(IF(K17="","",IFERROR(INDEX('Raw lists'!$C$2:$C$23,MATCH(K17,'Raw lists'!$C$2:$C$23,0))&amp;" / ",""))&amp;IF(L17="","",IFERROR(INDEX('Raw lists'!$C$2:$C$23,MATCH(L17,'Raw lists'!$C$2:$C$23,0))&amp;" / ",""))&amp;IF(M17="","",IFERROR(INDEX('Raw lists'!$C$2:$C$23,MATCH(M17,'Raw lists'!$C$2:$C$23,0))&amp;" / ","")))=0,"",LEFT(IF(K17="","",IFERROR(INDEX('Raw lists'!$C$2:$C$23,MATCH(K17,'Raw lists'!$C$2:$C$23,0))&amp;" / ",""))&amp;IF(L17="","",IFERROR(INDEX('Raw lists'!$C$2:$C$23,MATCH(L17,'Raw lists'!$C$2:$C$23,0))&amp;" / ",""))&amp;IF(M17="","",IFERROR(INDEX('Raw lists'!$C$2:$C$23,MATCH(M17,'Raw lists'!$C$2:$C$23,0))&amp;" / ","")),LEN(IF(K17="","",IFERROR(INDEX('Raw lists'!$C$2:$C$23,MATCH(K17,'Raw lists'!$C$2:$C$23,0))&amp;" / ",""))&amp;IF(L17="","",IFERROR(INDEX('Raw lists'!$C$2:$C$23,MATCH(L17,'Raw lists'!$C$2:$C$23,0))&amp;" / ",""))&amp;IF(M17="","",IFERROR(INDEX('Raw lists'!$C$2:$C$23,MATCH(M17,'Raw lists'!$C$2:$C$23,0))&amp;" / ","")))-3))</f>
        <v/>
      </c>
      <c r="F17" s="4" t="s">
        <v>14</v>
      </c>
      <c r="G17" s="6" t="s">
        <v>74</v>
      </c>
      <c r="H17" s="4" t="n">
        <f aca="false">COUNTIF(C17:E17,"?*")</f>
        <v>0</v>
      </c>
      <c r="I17" s="7" t="str">
        <f aca="false">IF(H17=0,"None",IF(H17=3,"All three",IF(H17=1,"Only "&amp;TRIM(IF(C17&lt;&gt;"","Gemini ","")&amp;IF(D17&lt;&gt;"","RAKE ","")&amp;IF(E17&lt;&gt;"","YAKE","")),SUBSTITUTE(TRIM(IF(C17&lt;&gt;"","Gemini ","")&amp;IF(D17&lt;&gt;"","RAKE ","")&amp;IF(E17&lt;&gt;"","YAKE",""))," "," + "))))</f>
        <v>None</v>
      </c>
      <c r="K17" s="8" t="s">
        <v>75</v>
      </c>
      <c r="L17" s="8"/>
      <c r="M17" s="8"/>
    </row>
    <row r="18" customFormat="false" ht="15" hidden="false" customHeight="false" outlineLevel="0" collapsed="false">
      <c r="A18" s="4" t="n">
        <v>17</v>
      </c>
      <c r="B18" s="5" t="s">
        <v>76</v>
      </c>
      <c r="C18" s="6" t="str">
        <f aca="false">IF(LEN(IF(K18="","",IFERROR(INDEX('Raw lists'!$A$2:$A$32,MATCH(K18,'Raw lists'!$A$2:$A$32,0))&amp;" / ",""))&amp;IF(L18="","",IFERROR(INDEX('Raw lists'!$A$2:$A$32,MATCH(L18,'Raw lists'!$A$2:$A$32,0))&amp;" / ",""))&amp;IF(M18="","",IFERROR(INDEX('Raw lists'!$A$2:$A$32,MATCH(M18,'Raw lists'!$A$2:$A$32,0))&amp;" / ","")))=0,"",LEFT(IF(K18="","",IFERROR(INDEX('Raw lists'!$A$2:$A$32,MATCH(K18,'Raw lists'!$A$2:$A$32,0))&amp;" / ",""))&amp;IF(L18="","",IFERROR(INDEX('Raw lists'!$A$2:$A$32,MATCH(L18,'Raw lists'!$A$2:$A$32,0))&amp;" / ",""))&amp;IF(M18="","",IFERROR(INDEX('Raw lists'!$A$2:$A$32,MATCH(M18,'Raw lists'!$A$2:$A$32,0))&amp;" / ","")),LEN(IF(K18="","",IFERROR(INDEX('Raw lists'!$A$2:$A$32,MATCH(K18,'Raw lists'!$A$2:$A$32,0))&amp;" / ",""))&amp;IF(L18="","",IFERROR(INDEX('Raw lists'!$A$2:$A$32,MATCH(L18,'Raw lists'!$A$2:$A$32,0))&amp;" / ",""))&amp;IF(M18="","",IFERROR(INDEX('Raw lists'!$A$2:$A$32,MATCH(M18,'Raw lists'!$A$2:$A$32,0))&amp;" / ","")))-3))</f>
        <v/>
      </c>
      <c r="D18" s="6" t="str">
        <f aca="false">IF(LEN(IF(K18="","",IFERROR(INDEX('Raw lists'!$B$2:$B$29,MATCH(K18,'Raw lists'!$B$2:$B$29,0))&amp;" / ",""))&amp;IF(L18="","",IFERROR(INDEX('Raw lists'!$B$2:$B$29,MATCH(L18,'Raw lists'!$B$2:$B$29,0))&amp;" / ",""))&amp;IF(M18="","",IFERROR(INDEX('Raw lists'!$B$2:$B$29,MATCH(M18,'Raw lists'!$B$2:$B$29,0))&amp;" / ","")))=0,"",LEFT(IF(K18="","",IFERROR(INDEX('Raw lists'!$B$2:$B$29,MATCH(K18,'Raw lists'!$B$2:$B$29,0))&amp;" / ",""))&amp;IF(L18="","",IFERROR(INDEX('Raw lists'!$B$2:$B$29,MATCH(L18,'Raw lists'!$B$2:$B$29,0))&amp;" / ",""))&amp;IF(M18="","",IFERROR(INDEX('Raw lists'!$B$2:$B$29,MATCH(M18,'Raw lists'!$B$2:$B$29,0))&amp;" / ","")),LEN(IF(K18="","",IFERROR(INDEX('Raw lists'!$B$2:$B$29,MATCH(K18,'Raw lists'!$B$2:$B$29,0))&amp;" / ",""))&amp;IF(L18="","",IFERROR(INDEX('Raw lists'!$B$2:$B$29,MATCH(L18,'Raw lists'!$B$2:$B$29,0))&amp;" / ",""))&amp;IF(M18="","",IFERROR(INDEX('Raw lists'!$B$2:$B$29,MATCH(M18,'Raw lists'!$B$2:$B$29,0))&amp;" / ","")))-3))</f>
        <v/>
      </c>
      <c r="E18" s="6" t="str">
        <f aca="false">IF(LEN(IF(K18="","",IFERROR(INDEX('Raw lists'!$C$2:$C$23,MATCH(K18,'Raw lists'!$C$2:$C$23,0))&amp;" / ",""))&amp;IF(L18="","",IFERROR(INDEX('Raw lists'!$C$2:$C$23,MATCH(L18,'Raw lists'!$C$2:$C$23,0))&amp;" / ",""))&amp;IF(M18="","",IFERROR(INDEX('Raw lists'!$C$2:$C$23,MATCH(M18,'Raw lists'!$C$2:$C$23,0))&amp;" / ","")))=0,"",LEFT(IF(K18="","",IFERROR(INDEX('Raw lists'!$C$2:$C$23,MATCH(K18,'Raw lists'!$C$2:$C$23,0))&amp;" / ",""))&amp;IF(L18="","",IFERROR(INDEX('Raw lists'!$C$2:$C$23,MATCH(L18,'Raw lists'!$C$2:$C$23,0))&amp;" / ",""))&amp;IF(M18="","",IFERROR(INDEX('Raw lists'!$C$2:$C$23,MATCH(M18,'Raw lists'!$C$2:$C$23,0))&amp;" / ","")),LEN(IF(K18="","",IFERROR(INDEX('Raw lists'!$C$2:$C$23,MATCH(K18,'Raw lists'!$C$2:$C$23,0))&amp;" / ",""))&amp;IF(L18="","",IFERROR(INDEX('Raw lists'!$C$2:$C$23,MATCH(L18,'Raw lists'!$C$2:$C$23,0))&amp;" / ",""))&amp;IF(M18="","",IFERROR(INDEX('Raw lists'!$C$2:$C$23,MATCH(M18,'Raw lists'!$C$2:$C$23,0))&amp;" / ","")))-3))</f>
        <v/>
      </c>
      <c r="F18" s="4" t="s">
        <v>14</v>
      </c>
      <c r="G18" s="6" t="s">
        <v>77</v>
      </c>
      <c r="H18" s="4" t="n">
        <f aca="false">COUNTIF(C18:E18,"?*")</f>
        <v>0</v>
      </c>
      <c r="I18" s="7" t="str">
        <f aca="false">IF(H18=0,"None",IF(H18=3,"All three",IF(H18=1,"Only "&amp;TRIM(IF(C18&lt;&gt;"","Gemini ","")&amp;IF(D18&lt;&gt;"","RAKE ","")&amp;IF(E18&lt;&gt;"","YAKE","")),SUBSTITUTE(TRIM(IF(C18&lt;&gt;"","Gemini ","")&amp;IF(D18&lt;&gt;"","RAKE ","")&amp;IF(E18&lt;&gt;"","YAKE",""))," "," + "))))</f>
        <v>None</v>
      </c>
      <c r="K18" s="8" t="s">
        <v>78</v>
      </c>
      <c r="L18" s="8"/>
      <c r="M18" s="8"/>
    </row>
    <row r="19" customFormat="false" ht="23.85" hidden="false" customHeight="false" outlineLevel="0" collapsed="false">
      <c r="A19" s="4" t="n">
        <v>18</v>
      </c>
      <c r="B19" s="5" t="s">
        <v>79</v>
      </c>
      <c r="C19" s="6" t="str">
        <f aca="false">IF(LEN(IF(K19="","",IFERROR(INDEX('Raw lists'!$A$2:$A$32,MATCH(K19,'Raw lists'!$A$2:$A$32,0))&amp;" / ",""))&amp;IF(L19="","",IFERROR(INDEX('Raw lists'!$A$2:$A$32,MATCH(L19,'Raw lists'!$A$2:$A$32,0))&amp;" / ",""))&amp;IF(M19="","",IFERROR(INDEX('Raw lists'!$A$2:$A$32,MATCH(M19,'Raw lists'!$A$2:$A$32,0))&amp;" / ","")))=0,"",LEFT(IF(K19="","",IFERROR(INDEX('Raw lists'!$A$2:$A$32,MATCH(K19,'Raw lists'!$A$2:$A$32,0))&amp;" / ",""))&amp;IF(L19="","",IFERROR(INDEX('Raw lists'!$A$2:$A$32,MATCH(L19,'Raw lists'!$A$2:$A$32,0))&amp;" / ",""))&amp;IF(M19="","",IFERROR(INDEX('Raw lists'!$A$2:$A$32,MATCH(M19,'Raw lists'!$A$2:$A$32,0))&amp;" / ","")),LEN(IF(K19="","",IFERROR(INDEX('Raw lists'!$A$2:$A$32,MATCH(K19,'Raw lists'!$A$2:$A$32,0))&amp;" / ",""))&amp;IF(L19="","",IFERROR(INDEX('Raw lists'!$A$2:$A$32,MATCH(L19,'Raw lists'!$A$2:$A$32,0))&amp;" / ",""))&amp;IF(M19="","",IFERROR(INDEX('Raw lists'!$A$2:$A$32,MATCH(M19,'Raw lists'!$A$2:$A$32,0))&amp;" / ","")))-3))</f>
        <v>Subset Sum</v>
      </c>
      <c r="D19" s="6" t="str">
        <f aca="false">IF(LEN(IF(K19="","",IFERROR(INDEX('Raw lists'!$B$2:$B$29,MATCH(K19,'Raw lists'!$B$2:$B$29,0))&amp;" / ",""))&amp;IF(L19="","",IFERROR(INDEX('Raw lists'!$B$2:$B$29,MATCH(L19,'Raw lists'!$B$2:$B$29,0))&amp;" / ",""))&amp;IF(M19="","",IFERROR(INDEX('Raw lists'!$B$2:$B$29,MATCH(M19,'Raw lists'!$B$2:$B$29,0))&amp;" / ","")))=0,"",LEFT(IF(K19="","",IFERROR(INDEX('Raw lists'!$B$2:$B$29,MATCH(K19,'Raw lists'!$B$2:$B$29,0))&amp;" / ",""))&amp;IF(L19="","",IFERROR(INDEX('Raw lists'!$B$2:$B$29,MATCH(L19,'Raw lists'!$B$2:$B$29,0))&amp;" / ",""))&amp;IF(M19="","",IFERROR(INDEX('Raw lists'!$B$2:$B$29,MATCH(M19,'Raw lists'!$B$2:$B$29,0))&amp;" / ","")),LEN(IF(K19="","",IFERROR(INDEX('Raw lists'!$B$2:$B$29,MATCH(K19,'Raw lists'!$B$2:$B$29,0))&amp;" / ",""))&amp;IF(L19="","",IFERROR(INDEX('Raw lists'!$B$2:$B$29,MATCH(L19,'Raw lists'!$B$2:$B$29,0))&amp;" / ",""))&amp;IF(M19="","",IFERROR(INDEX('Raw lists'!$B$2:$B$29,MATCH(M19,'Raw lists'!$B$2:$B$29,0))&amp;" / ","")))-3))</f>
        <v/>
      </c>
      <c r="E19" s="6" t="str">
        <f aca="false">IF(LEN(IF(K19="","",IFERROR(INDEX('Raw lists'!$C$2:$C$23,MATCH(K19,'Raw lists'!$C$2:$C$23,0))&amp;" / ",""))&amp;IF(L19="","",IFERROR(INDEX('Raw lists'!$C$2:$C$23,MATCH(L19,'Raw lists'!$C$2:$C$23,0))&amp;" / ",""))&amp;IF(M19="","",IFERROR(INDEX('Raw lists'!$C$2:$C$23,MATCH(M19,'Raw lists'!$C$2:$C$23,0))&amp;" / ","")))=0,"",LEFT(IF(K19="","",IFERROR(INDEX('Raw lists'!$C$2:$C$23,MATCH(K19,'Raw lists'!$C$2:$C$23,0))&amp;" / ",""))&amp;IF(L19="","",IFERROR(INDEX('Raw lists'!$C$2:$C$23,MATCH(L19,'Raw lists'!$C$2:$C$23,0))&amp;" / ",""))&amp;IF(M19="","",IFERROR(INDEX('Raw lists'!$C$2:$C$23,MATCH(M19,'Raw lists'!$C$2:$C$23,0))&amp;" / ","")),LEN(IF(K19="","",IFERROR(INDEX('Raw lists'!$C$2:$C$23,MATCH(K19,'Raw lists'!$C$2:$C$23,0))&amp;" / ",""))&amp;IF(L19="","",IFERROR(INDEX('Raw lists'!$C$2:$C$23,MATCH(L19,'Raw lists'!$C$2:$C$23,0))&amp;" / ",""))&amp;IF(M19="","",IFERROR(INDEX('Raw lists'!$C$2:$C$23,MATCH(M19,'Raw lists'!$C$2:$C$23,0))&amp;" / ","")))-3))</f>
        <v>Subset Sum</v>
      </c>
      <c r="F19" s="4" t="s">
        <v>14</v>
      </c>
      <c r="G19" s="6" t="s">
        <v>80</v>
      </c>
      <c r="H19" s="4" t="n">
        <f aca="false">COUNTIF(C19:E19,"?*")</f>
        <v>2</v>
      </c>
      <c r="I19" s="7" t="str">
        <f aca="false">IF(H19=0,"None",IF(H19=3,"All three",IF(H19=1,"Only "&amp;TRIM(IF(C19&lt;&gt;"","Gemini ","")&amp;IF(D19&lt;&gt;"","RAKE ","")&amp;IF(E19&lt;&gt;"","YAKE","")),SUBSTITUTE(TRIM(IF(C19&lt;&gt;"","Gemini ","")&amp;IF(D19&lt;&gt;"","RAKE ","")&amp;IF(E19&lt;&gt;"","YAKE",""))," "," + "))))</f>
        <v>Gemini + YAKE</v>
      </c>
      <c r="K19" s="8" t="s">
        <v>79</v>
      </c>
      <c r="L19" s="8"/>
      <c r="M19" s="8"/>
    </row>
    <row r="20" customFormat="false" ht="15" hidden="false" customHeight="false" outlineLevel="0" collapsed="false">
      <c r="A20" s="4" t="n">
        <v>19</v>
      </c>
      <c r="B20" s="5" t="s">
        <v>81</v>
      </c>
      <c r="C20" s="6" t="str">
        <f aca="false">IF(LEN(IF(K20="","",IFERROR(INDEX('Raw lists'!$A$2:$A$32,MATCH(K20,'Raw lists'!$A$2:$A$32,0))&amp;" / ",""))&amp;IF(L20="","",IFERROR(INDEX('Raw lists'!$A$2:$A$32,MATCH(L20,'Raw lists'!$A$2:$A$32,0))&amp;" / ",""))&amp;IF(M20="","",IFERROR(INDEX('Raw lists'!$A$2:$A$32,MATCH(M20,'Raw lists'!$A$2:$A$32,0))&amp;" / ","")))=0,"",LEFT(IF(K20="","",IFERROR(INDEX('Raw lists'!$A$2:$A$32,MATCH(K20,'Raw lists'!$A$2:$A$32,0))&amp;" / ",""))&amp;IF(L20="","",IFERROR(INDEX('Raw lists'!$A$2:$A$32,MATCH(L20,'Raw lists'!$A$2:$A$32,0))&amp;" / ",""))&amp;IF(M20="","",IFERROR(INDEX('Raw lists'!$A$2:$A$32,MATCH(M20,'Raw lists'!$A$2:$A$32,0))&amp;" / ","")),LEN(IF(K20="","",IFERROR(INDEX('Raw lists'!$A$2:$A$32,MATCH(K20,'Raw lists'!$A$2:$A$32,0))&amp;" / ",""))&amp;IF(L20="","",IFERROR(INDEX('Raw lists'!$A$2:$A$32,MATCH(L20,'Raw lists'!$A$2:$A$32,0))&amp;" / ",""))&amp;IF(M20="","",IFERROR(INDEX('Raw lists'!$A$2:$A$32,MATCH(M20,'Raw lists'!$A$2:$A$32,0))&amp;" / ","")))-3))</f>
        <v/>
      </c>
      <c r="D20" s="6" t="str">
        <f aca="false">IF(LEN(IF(K20="","",IFERROR(INDEX('Raw lists'!$B$2:$B$29,MATCH(K20,'Raw lists'!$B$2:$B$29,0))&amp;" / ",""))&amp;IF(L20="","",IFERROR(INDEX('Raw lists'!$B$2:$B$29,MATCH(L20,'Raw lists'!$B$2:$B$29,0))&amp;" / ",""))&amp;IF(M20="","",IFERROR(INDEX('Raw lists'!$B$2:$B$29,MATCH(M20,'Raw lists'!$B$2:$B$29,0))&amp;" / ","")))=0,"",LEFT(IF(K20="","",IFERROR(INDEX('Raw lists'!$B$2:$B$29,MATCH(K20,'Raw lists'!$B$2:$B$29,0))&amp;" / ",""))&amp;IF(L20="","",IFERROR(INDEX('Raw lists'!$B$2:$B$29,MATCH(L20,'Raw lists'!$B$2:$B$29,0))&amp;" / ",""))&amp;IF(M20="","",IFERROR(INDEX('Raw lists'!$B$2:$B$29,MATCH(M20,'Raw lists'!$B$2:$B$29,0))&amp;" / ","")),LEN(IF(K20="","",IFERROR(INDEX('Raw lists'!$B$2:$B$29,MATCH(K20,'Raw lists'!$B$2:$B$29,0))&amp;" / ",""))&amp;IF(L20="","",IFERROR(INDEX('Raw lists'!$B$2:$B$29,MATCH(L20,'Raw lists'!$B$2:$B$29,0))&amp;" / ",""))&amp;IF(M20="","",IFERROR(INDEX('Raw lists'!$B$2:$B$29,MATCH(M20,'Raw lists'!$B$2:$B$29,0))&amp;" / ","")))-3))</f>
        <v/>
      </c>
      <c r="E20" s="6" t="str">
        <f aca="false">IF(LEN(IF(K20="","",IFERROR(INDEX('Raw lists'!$C$2:$C$23,MATCH(K20,'Raw lists'!$C$2:$C$23,0))&amp;" / ",""))&amp;IF(L20="","",IFERROR(INDEX('Raw lists'!$C$2:$C$23,MATCH(L20,'Raw lists'!$C$2:$C$23,0))&amp;" / ",""))&amp;IF(M20="","",IFERROR(INDEX('Raw lists'!$C$2:$C$23,MATCH(M20,'Raw lists'!$C$2:$C$23,0))&amp;" / ","")))=0,"",LEFT(IF(K20="","",IFERROR(INDEX('Raw lists'!$C$2:$C$23,MATCH(K20,'Raw lists'!$C$2:$C$23,0))&amp;" / ",""))&amp;IF(L20="","",IFERROR(INDEX('Raw lists'!$C$2:$C$23,MATCH(L20,'Raw lists'!$C$2:$C$23,0))&amp;" / ",""))&amp;IF(M20="","",IFERROR(INDEX('Raw lists'!$C$2:$C$23,MATCH(M20,'Raw lists'!$C$2:$C$23,0))&amp;" / ","")),LEN(IF(K20="","",IFERROR(INDEX('Raw lists'!$C$2:$C$23,MATCH(K20,'Raw lists'!$C$2:$C$23,0))&amp;" / ",""))&amp;IF(L20="","",IFERROR(INDEX('Raw lists'!$C$2:$C$23,MATCH(L20,'Raw lists'!$C$2:$C$23,0))&amp;" / ",""))&amp;IF(M20="","",IFERROR(INDEX('Raw lists'!$C$2:$C$23,MATCH(M20,'Raw lists'!$C$2:$C$23,0))&amp;" / ","")))-3))</f>
        <v/>
      </c>
      <c r="F20" s="4" t="s">
        <v>14</v>
      </c>
      <c r="G20" s="6" t="s">
        <v>82</v>
      </c>
      <c r="H20" s="4" t="n">
        <f aca="false">COUNTIF(C20:E20,"?*")</f>
        <v>0</v>
      </c>
      <c r="I20" s="7" t="str">
        <f aca="false">IF(H20=0,"None",IF(H20=3,"All three",IF(H20=1,"Only "&amp;TRIM(IF(C20&lt;&gt;"","Gemini ","")&amp;IF(D20&lt;&gt;"","RAKE ","")&amp;IF(E20&lt;&gt;"","YAKE","")),SUBSTITUTE(TRIM(IF(C20&lt;&gt;"","Gemini ","")&amp;IF(D20&lt;&gt;"","RAKE ","")&amp;IF(E20&lt;&gt;"","YAKE",""))," "," + "))))</f>
        <v>None</v>
      </c>
      <c r="K20" s="8" t="s">
        <v>83</v>
      </c>
      <c r="L20" s="8"/>
      <c r="M20" s="8"/>
    </row>
    <row r="21" customFormat="false" ht="23.85" hidden="false" customHeight="false" outlineLevel="0" collapsed="false">
      <c r="A21" s="4" t="n">
        <v>20</v>
      </c>
      <c r="B21" s="5" t="s">
        <v>84</v>
      </c>
      <c r="C21" s="6" t="str">
        <f aca="false">IF(LEN(IF(K21="","",IFERROR(INDEX('Raw lists'!$A$2:$A$32,MATCH(K21,'Raw lists'!$A$2:$A$32,0))&amp;" / ",""))&amp;IF(L21="","",IFERROR(INDEX('Raw lists'!$A$2:$A$32,MATCH(L21,'Raw lists'!$A$2:$A$32,0))&amp;" / ",""))&amp;IF(M21="","",IFERROR(INDEX('Raw lists'!$A$2:$A$32,MATCH(M21,'Raw lists'!$A$2:$A$32,0))&amp;" / ","")))=0,"",LEFT(IF(K21="","",IFERROR(INDEX('Raw lists'!$A$2:$A$32,MATCH(K21,'Raw lists'!$A$2:$A$32,0))&amp;" / ",""))&amp;IF(L21="","",IFERROR(INDEX('Raw lists'!$A$2:$A$32,MATCH(L21,'Raw lists'!$A$2:$A$32,0))&amp;" / ",""))&amp;IF(M21="","",IFERROR(INDEX('Raw lists'!$A$2:$A$32,MATCH(M21,'Raw lists'!$A$2:$A$32,0))&amp;" / ","")),LEN(IF(K21="","",IFERROR(INDEX('Raw lists'!$A$2:$A$32,MATCH(K21,'Raw lists'!$A$2:$A$32,0))&amp;" / ",""))&amp;IF(L21="","",IFERROR(INDEX('Raw lists'!$A$2:$A$32,MATCH(L21,'Raw lists'!$A$2:$A$32,0))&amp;" / ",""))&amp;IF(M21="","",IFERROR(INDEX('Raw lists'!$A$2:$A$32,MATCH(M21,'Raw lists'!$A$2:$A$32,0))&amp;" / ","")))-3))</f>
        <v>Polynomial Time / Polynomial</v>
      </c>
      <c r="D21" s="6" t="str">
        <f aca="false">IF(LEN(IF(K21="","",IFERROR(INDEX('Raw lists'!$B$2:$B$29,MATCH(K21,'Raw lists'!$B$2:$B$29,0))&amp;" / ",""))&amp;IF(L21="","",IFERROR(INDEX('Raw lists'!$B$2:$B$29,MATCH(L21,'Raw lists'!$B$2:$B$29,0))&amp;" / ",""))&amp;IF(M21="","",IFERROR(INDEX('Raw lists'!$B$2:$B$29,MATCH(M21,'Raw lists'!$B$2:$B$29,0))&amp;" / ","")))=0,"",LEFT(IF(K21="","",IFERROR(INDEX('Raw lists'!$B$2:$B$29,MATCH(K21,'Raw lists'!$B$2:$B$29,0))&amp;" / ",""))&amp;IF(L21="","",IFERROR(INDEX('Raw lists'!$B$2:$B$29,MATCH(L21,'Raw lists'!$B$2:$B$29,0))&amp;" / ",""))&amp;IF(M21="","",IFERROR(INDEX('Raw lists'!$B$2:$B$29,MATCH(M21,'Raw lists'!$B$2:$B$29,0))&amp;" / ","")),LEN(IF(K21="","",IFERROR(INDEX('Raw lists'!$B$2:$B$29,MATCH(K21,'Raw lists'!$B$2:$B$29,0))&amp;" / ",""))&amp;IF(L21="","",IFERROR(INDEX('Raw lists'!$B$2:$B$29,MATCH(L21,'Raw lists'!$B$2:$B$29,0))&amp;" / ",""))&amp;IF(M21="","",IFERROR(INDEX('Raw lists'!$B$2:$B$29,MATCH(M21,'Raw lists'!$B$2:$B$29,0))&amp;" / ","")))-3))</f>
        <v/>
      </c>
      <c r="E21" s="6" t="str">
        <f aca="false">IF(LEN(IF(K21="","",IFERROR(INDEX('Raw lists'!$C$2:$C$23,MATCH(K21,'Raw lists'!$C$2:$C$23,0))&amp;" / ",""))&amp;IF(L21="","",IFERROR(INDEX('Raw lists'!$C$2:$C$23,MATCH(L21,'Raw lists'!$C$2:$C$23,0))&amp;" / ",""))&amp;IF(M21="","",IFERROR(INDEX('Raw lists'!$C$2:$C$23,MATCH(M21,'Raw lists'!$C$2:$C$23,0))&amp;" / ","")))=0,"",LEFT(IF(K21="","",IFERROR(INDEX('Raw lists'!$C$2:$C$23,MATCH(K21,'Raw lists'!$C$2:$C$23,0))&amp;" / ",""))&amp;IF(L21="","",IFERROR(INDEX('Raw lists'!$C$2:$C$23,MATCH(L21,'Raw lists'!$C$2:$C$23,0))&amp;" / ",""))&amp;IF(M21="","",IFERROR(INDEX('Raw lists'!$C$2:$C$23,MATCH(M21,'Raw lists'!$C$2:$C$23,0))&amp;" / ","")),LEN(IF(K21="","",IFERROR(INDEX('Raw lists'!$C$2:$C$23,MATCH(K21,'Raw lists'!$C$2:$C$23,0))&amp;" / ",""))&amp;IF(L21="","",IFERROR(INDEX('Raw lists'!$C$2:$C$23,MATCH(L21,'Raw lists'!$C$2:$C$23,0))&amp;" / ",""))&amp;IF(M21="","",IFERROR(INDEX('Raw lists'!$C$2:$C$23,MATCH(M21,'Raw lists'!$C$2:$C$23,0))&amp;" / ","")))-3))</f>
        <v>Polynomial</v>
      </c>
      <c r="F21" s="4" t="s">
        <v>14</v>
      </c>
      <c r="G21" s="6" t="s">
        <v>85</v>
      </c>
      <c r="H21" s="4" t="n">
        <f aca="false">COUNTIF(C21:E21,"?*")</f>
        <v>2</v>
      </c>
      <c r="I21" s="7" t="str">
        <f aca="false">IF(H21=0,"None",IF(H21=3,"All three",IF(H21=1,"Only "&amp;TRIM(IF(C21&lt;&gt;"","Gemini ","")&amp;IF(D21&lt;&gt;"","RAKE ","")&amp;IF(E21&lt;&gt;"","YAKE","")),SUBSTITUTE(TRIM(IF(C21&lt;&gt;"","Gemini ","")&amp;IF(D21&lt;&gt;"","RAKE ","")&amp;IF(E21&lt;&gt;"","YAKE",""))," "," + "))))</f>
        <v>Gemini + YAKE</v>
      </c>
      <c r="K21" s="8" t="s">
        <v>86</v>
      </c>
      <c r="L21" s="8" t="s">
        <v>87</v>
      </c>
      <c r="M21" s="8" t="s">
        <v>88</v>
      </c>
    </row>
    <row r="22" customFormat="false" ht="23.85" hidden="false" customHeight="false" outlineLevel="0" collapsed="false">
      <c r="A22" s="4" t="n">
        <v>21</v>
      </c>
      <c r="B22" s="5" t="s">
        <v>89</v>
      </c>
      <c r="C22" s="6" t="str">
        <f aca="false">IF(LEN(IF(K22="","",IFERROR(INDEX('Raw lists'!$A$2:$A$32,MATCH(K22,'Raw lists'!$A$2:$A$32,0))&amp;" / ",""))&amp;IF(L22="","",IFERROR(INDEX('Raw lists'!$A$2:$A$32,MATCH(L22,'Raw lists'!$A$2:$A$32,0))&amp;" / ",""))&amp;IF(M22="","",IFERROR(INDEX('Raw lists'!$A$2:$A$32,MATCH(M22,'Raw lists'!$A$2:$A$32,0))&amp;" / ","")))=0,"",LEFT(IF(K22="","",IFERROR(INDEX('Raw lists'!$A$2:$A$32,MATCH(K22,'Raw lists'!$A$2:$A$32,0))&amp;" / ",""))&amp;IF(L22="","",IFERROR(INDEX('Raw lists'!$A$2:$A$32,MATCH(L22,'Raw lists'!$A$2:$A$32,0))&amp;" / ",""))&amp;IF(M22="","",IFERROR(INDEX('Raw lists'!$A$2:$A$32,MATCH(M22,'Raw lists'!$A$2:$A$32,0))&amp;" / ","")),LEN(IF(K22="","",IFERROR(INDEX('Raw lists'!$A$2:$A$32,MATCH(K22,'Raw lists'!$A$2:$A$32,0))&amp;" / ",""))&amp;IF(L22="","",IFERROR(INDEX('Raw lists'!$A$2:$A$32,MATCH(L22,'Raw lists'!$A$2:$A$32,0))&amp;" / ",""))&amp;IF(M22="","",IFERROR(INDEX('Raw lists'!$A$2:$A$32,MATCH(M22,'Raw lists'!$A$2:$A$32,0))&amp;" / ","")))-3))</f>
        <v>Input Size</v>
      </c>
      <c r="D22" s="6" t="str">
        <f aca="false">IF(LEN(IF(K22="","",IFERROR(INDEX('Raw lists'!$B$2:$B$29,MATCH(K22,'Raw lists'!$B$2:$B$29,0))&amp;" / ",""))&amp;IF(L22="","",IFERROR(INDEX('Raw lists'!$B$2:$B$29,MATCH(L22,'Raw lists'!$B$2:$B$29,0))&amp;" / ",""))&amp;IF(M22="","",IFERROR(INDEX('Raw lists'!$B$2:$B$29,MATCH(M22,'Raw lists'!$B$2:$B$29,0))&amp;" / ","")))=0,"",LEFT(IF(K22="","",IFERROR(INDEX('Raw lists'!$B$2:$B$29,MATCH(K22,'Raw lists'!$B$2:$B$29,0))&amp;" / ",""))&amp;IF(L22="","",IFERROR(INDEX('Raw lists'!$B$2:$B$29,MATCH(L22,'Raw lists'!$B$2:$B$29,0))&amp;" / ",""))&amp;IF(M22="","",IFERROR(INDEX('Raw lists'!$B$2:$B$29,MATCH(M22,'Raw lists'!$B$2:$B$29,0))&amp;" / ","")),LEN(IF(K22="","",IFERROR(INDEX('Raw lists'!$B$2:$B$29,MATCH(K22,'Raw lists'!$B$2:$B$29,0))&amp;" / ",""))&amp;IF(L22="","",IFERROR(INDEX('Raw lists'!$B$2:$B$29,MATCH(L22,'Raw lists'!$B$2:$B$29,0))&amp;" / ",""))&amp;IF(M22="","",IFERROR(INDEX('Raw lists'!$B$2:$B$29,MATCH(M22,'Raw lists'!$B$2:$B$29,0))&amp;" / ","")))-3))</f>
        <v/>
      </c>
      <c r="E22" s="6" t="str">
        <f aca="false">IF(LEN(IF(K22="","",IFERROR(INDEX('Raw lists'!$C$2:$C$23,MATCH(K22,'Raw lists'!$C$2:$C$23,0))&amp;" / ",""))&amp;IF(L22="","",IFERROR(INDEX('Raw lists'!$C$2:$C$23,MATCH(L22,'Raw lists'!$C$2:$C$23,0))&amp;" / ",""))&amp;IF(M22="","",IFERROR(INDEX('Raw lists'!$C$2:$C$23,MATCH(M22,'Raw lists'!$C$2:$C$23,0))&amp;" / ","")))=0,"",LEFT(IF(K22="","",IFERROR(INDEX('Raw lists'!$C$2:$C$23,MATCH(K22,'Raw lists'!$C$2:$C$23,0))&amp;" / ",""))&amp;IF(L22="","",IFERROR(INDEX('Raw lists'!$C$2:$C$23,MATCH(L22,'Raw lists'!$C$2:$C$23,0))&amp;" / ",""))&amp;IF(M22="","",IFERROR(INDEX('Raw lists'!$C$2:$C$23,MATCH(M22,'Raw lists'!$C$2:$C$23,0))&amp;" / ","")),LEN(IF(K22="","",IFERROR(INDEX('Raw lists'!$C$2:$C$23,MATCH(K22,'Raw lists'!$C$2:$C$23,0))&amp;" / ",""))&amp;IF(L22="","",IFERROR(INDEX('Raw lists'!$C$2:$C$23,MATCH(L22,'Raw lists'!$C$2:$C$23,0))&amp;" / ",""))&amp;IF(M22="","",IFERROR(INDEX('Raw lists'!$C$2:$C$23,MATCH(M22,'Raw lists'!$C$2:$C$23,0))&amp;" / ","")))-3))</f>
        <v/>
      </c>
      <c r="F22" s="4" t="s">
        <v>14</v>
      </c>
      <c r="G22" s="6" t="s">
        <v>90</v>
      </c>
      <c r="H22" s="4" t="n">
        <f aca="false">COUNTIF(C22:E22,"?*")</f>
        <v>1</v>
      </c>
      <c r="I22" s="7" t="str">
        <f aca="false">IF(H22=0,"None",IF(H22=3,"All three",IF(H22=1,"Only "&amp;TRIM(IF(C22&lt;&gt;"","Gemini ","")&amp;IF(D22&lt;&gt;"","RAKE ","")&amp;IF(E22&lt;&gt;"","YAKE","")),SUBSTITUTE(TRIM(IF(C22&lt;&gt;"","Gemini ","")&amp;IF(D22&lt;&gt;"","RAKE ","")&amp;IF(E22&lt;&gt;"","YAKE",""))," "," + "))))</f>
        <v>Only Gemini</v>
      </c>
      <c r="K22" s="8" t="s">
        <v>91</v>
      </c>
      <c r="L22" s="8"/>
      <c r="M22" s="8"/>
    </row>
    <row r="23" customFormat="false" ht="23.85" hidden="false" customHeight="false" outlineLevel="0" collapsed="false">
      <c r="A23" s="4" t="n">
        <v>22</v>
      </c>
      <c r="B23" s="5" t="s">
        <v>92</v>
      </c>
      <c r="C23" s="6" t="str">
        <f aca="false">IF(LEN(IF(K23="","",IFERROR(INDEX('Raw lists'!$A$2:$A$32,MATCH(K23,'Raw lists'!$A$2:$A$32,0))&amp;" / ",""))&amp;IF(L23="","",IFERROR(INDEX('Raw lists'!$A$2:$A$32,MATCH(L23,'Raw lists'!$A$2:$A$32,0))&amp;" / ",""))&amp;IF(M23="","",IFERROR(INDEX('Raw lists'!$A$2:$A$32,MATCH(M23,'Raw lists'!$A$2:$A$32,0))&amp;" / ","")))=0,"",LEFT(IF(K23="","",IFERROR(INDEX('Raw lists'!$A$2:$A$32,MATCH(K23,'Raw lists'!$A$2:$A$32,0))&amp;" / ",""))&amp;IF(L23="","",IFERROR(INDEX('Raw lists'!$A$2:$A$32,MATCH(L23,'Raw lists'!$A$2:$A$32,0))&amp;" / ",""))&amp;IF(M23="","",IFERROR(INDEX('Raw lists'!$A$2:$A$32,MATCH(M23,'Raw lists'!$A$2:$A$32,0))&amp;" / ","")),LEN(IF(K23="","",IFERROR(INDEX('Raw lists'!$A$2:$A$32,MATCH(K23,'Raw lists'!$A$2:$A$32,0))&amp;" / ",""))&amp;IF(L23="","",IFERROR(INDEX('Raw lists'!$A$2:$A$32,MATCH(L23,'Raw lists'!$A$2:$A$32,0))&amp;" / ",""))&amp;IF(M23="","",IFERROR(INDEX('Raw lists'!$A$2:$A$32,MATCH(M23,'Raw lists'!$A$2:$A$32,0))&amp;" / ","")))-3))</f>
        <v/>
      </c>
      <c r="D23" s="6" t="str">
        <f aca="false">IF(LEN(IF(K23="","",IFERROR(INDEX('Raw lists'!$B$2:$B$29,MATCH(K23,'Raw lists'!$B$2:$B$29,0))&amp;" / ",""))&amp;IF(L23="","",IFERROR(INDEX('Raw lists'!$B$2:$B$29,MATCH(L23,'Raw lists'!$B$2:$B$29,0))&amp;" / ",""))&amp;IF(M23="","",IFERROR(INDEX('Raw lists'!$B$2:$B$29,MATCH(M23,'Raw lists'!$B$2:$B$29,0))&amp;" / ","")))=0,"",LEFT(IF(K23="","",IFERROR(INDEX('Raw lists'!$B$2:$B$29,MATCH(K23,'Raw lists'!$B$2:$B$29,0))&amp;" / ",""))&amp;IF(L23="","",IFERROR(INDEX('Raw lists'!$B$2:$B$29,MATCH(L23,'Raw lists'!$B$2:$B$29,0))&amp;" / ",""))&amp;IF(M23="","",IFERROR(INDEX('Raw lists'!$B$2:$B$29,MATCH(M23,'Raw lists'!$B$2:$B$29,0))&amp;" / ","")),LEN(IF(K23="","",IFERROR(INDEX('Raw lists'!$B$2:$B$29,MATCH(K23,'Raw lists'!$B$2:$B$29,0))&amp;" / ",""))&amp;IF(L23="","",IFERROR(INDEX('Raw lists'!$B$2:$B$29,MATCH(L23,'Raw lists'!$B$2:$B$29,0))&amp;" / ",""))&amp;IF(M23="","",IFERROR(INDEX('Raw lists'!$B$2:$B$29,MATCH(M23,'Raw lists'!$B$2:$B$29,0))&amp;" / ","")))-3))</f>
        <v>Bit Word RAM</v>
      </c>
      <c r="E23" s="6" t="str">
        <f aca="false">IF(LEN(IF(K23="","",IFERROR(INDEX('Raw lists'!$C$2:$C$23,MATCH(K23,'Raw lists'!$C$2:$C$23,0))&amp;" / ",""))&amp;IF(L23="","",IFERROR(INDEX('Raw lists'!$C$2:$C$23,MATCH(L23,'Raw lists'!$C$2:$C$23,0))&amp;" / ",""))&amp;IF(M23="","",IFERROR(INDEX('Raw lists'!$C$2:$C$23,MATCH(M23,'Raw lists'!$C$2:$C$23,0))&amp;" / ","")))=0,"",LEFT(IF(K23="","",IFERROR(INDEX('Raw lists'!$C$2:$C$23,MATCH(K23,'Raw lists'!$C$2:$C$23,0))&amp;" / ",""))&amp;IF(L23="","",IFERROR(INDEX('Raw lists'!$C$2:$C$23,MATCH(L23,'Raw lists'!$C$2:$C$23,0))&amp;" / ",""))&amp;IF(M23="","",IFERROR(INDEX('Raw lists'!$C$2:$C$23,MATCH(M23,'Raw lists'!$C$2:$C$23,0))&amp;" / ","")),LEN(IF(K23="","",IFERROR(INDEX('Raw lists'!$C$2:$C$23,MATCH(K23,'Raw lists'!$C$2:$C$23,0))&amp;" / ",""))&amp;IF(L23="","",IFERROR(INDEX('Raw lists'!$C$2:$C$23,MATCH(L23,'Raw lists'!$C$2:$C$23,0))&amp;" / ",""))&amp;IF(M23="","",IFERROR(INDEX('Raw lists'!$C$2:$C$23,MATCH(M23,'Raw lists'!$C$2:$C$23,0))&amp;" / ","")))-3))</f>
        <v/>
      </c>
      <c r="F23" s="4" t="s">
        <v>14</v>
      </c>
      <c r="G23" s="6" t="s">
        <v>93</v>
      </c>
      <c r="H23" s="4" t="n">
        <f aca="false">COUNTIF(C23:E23,"?*")</f>
        <v>1</v>
      </c>
      <c r="I23" s="7" t="str">
        <f aca="false">IF(H23=0,"None",IF(H23=3,"All three",IF(H23=1,"Only "&amp;TRIM(IF(C23&lt;&gt;"","Gemini ","")&amp;IF(D23&lt;&gt;"","RAKE ","")&amp;IF(E23&lt;&gt;"","YAKE","")),SUBSTITUTE(TRIM(IF(C23&lt;&gt;"","Gemini ","")&amp;IF(D23&lt;&gt;"","RAKE ","")&amp;IF(E23&lt;&gt;"","YAKE",""))," "," + "))))</f>
        <v>Only RAKE</v>
      </c>
      <c r="K23" s="8" t="s">
        <v>94</v>
      </c>
      <c r="L23" s="8" t="s">
        <v>95</v>
      </c>
      <c r="M23" s="8"/>
    </row>
    <row r="24" customFormat="false" ht="23.85" hidden="false" customHeight="false" outlineLevel="0" collapsed="false">
      <c r="A24" s="4" t="n">
        <v>23</v>
      </c>
      <c r="B24" s="5" t="s">
        <v>96</v>
      </c>
      <c r="C24" s="6" t="str">
        <f aca="false">IF(LEN(IF(K24="","",IFERROR(INDEX('Raw lists'!$A$2:$A$32,MATCH(K24,'Raw lists'!$A$2:$A$32,0))&amp;" / ",""))&amp;IF(L24="","",IFERROR(INDEX('Raw lists'!$A$2:$A$32,MATCH(L24,'Raw lists'!$A$2:$A$32,0))&amp;" / ",""))&amp;IF(M24="","",IFERROR(INDEX('Raw lists'!$A$2:$A$32,MATCH(M24,'Raw lists'!$A$2:$A$32,0))&amp;" / ","")))=0,"",LEFT(IF(K24="","",IFERROR(INDEX('Raw lists'!$A$2:$A$32,MATCH(K24,'Raw lists'!$A$2:$A$32,0))&amp;" / ",""))&amp;IF(L24="","",IFERROR(INDEX('Raw lists'!$A$2:$A$32,MATCH(L24,'Raw lists'!$A$2:$A$32,0))&amp;" / ",""))&amp;IF(M24="","",IFERROR(INDEX('Raw lists'!$A$2:$A$32,MATCH(M24,'Raw lists'!$A$2:$A$32,0))&amp;" / ","")),LEN(IF(K24="","",IFERROR(INDEX('Raw lists'!$A$2:$A$32,MATCH(K24,'Raw lists'!$A$2:$A$32,0))&amp;" / ",""))&amp;IF(L24="","",IFERROR(INDEX('Raw lists'!$A$2:$A$32,MATCH(L24,'Raw lists'!$A$2:$A$32,0))&amp;" / ",""))&amp;IF(M24="","",IFERROR(INDEX('Raw lists'!$A$2:$A$32,MATCH(M24,'Raw lists'!$A$2:$A$32,0))&amp;" / ","")))-3))</f>
        <v>Pseudopolynomial</v>
      </c>
      <c r="D24" s="6" t="str">
        <f aca="false">IF(LEN(IF(K24="","",IFERROR(INDEX('Raw lists'!$B$2:$B$29,MATCH(K24,'Raw lists'!$B$2:$B$29,0))&amp;" / ",""))&amp;IF(L24="","",IFERROR(INDEX('Raw lists'!$B$2:$B$29,MATCH(L24,'Raw lists'!$B$2:$B$29,0))&amp;" / ",""))&amp;IF(M24="","",IFERROR(INDEX('Raw lists'!$B$2:$B$29,MATCH(M24,'Raw lists'!$B$2:$B$29,0))&amp;" / ","")))=0,"",LEFT(IF(K24="","",IFERROR(INDEX('Raw lists'!$B$2:$B$29,MATCH(K24,'Raw lists'!$B$2:$B$29,0))&amp;" / ",""))&amp;IF(L24="","",IFERROR(INDEX('Raw lists'!$B$2:$B$29,MATCH(L24,'Raw lists'!$B$2:$B$29,0))&amp;" / ",""))&amp;IF(M24="","",IFERROR(INDEX('Raw lists'!$B$2:$B$29,MATCH(M24,'Raw lists'!$B$2:$B$29,0))&amp;" / ","")),LEN(IF(K24="","",IFERROR(INDEX('Raw lists'!$B$2:$B$29,MATCH(K24,'Raw lists'!$B$2:$B$29,0))&amp;" / ",""))&amp;IF(L24="","",IFERROR(INDEX('Raw lists'!$B$2:$B$29,MATCH(L24,'Raw lists'!$B$2:$B$29,0))&amp;" / ",""))&amp;IF(M24="","",IFERROR(INDEX('Raw lists'!$B$2:$B$29,MATCH(M24,'Raw lists'!$B$2:$B$29,0))&amp;" / ","")))-3))</f>
        <v>Pseudopolynomial</v>
      </c>
      <c r="E24" s="6" t="str">
        <f aca="false">IF(LEN(IF(K24="","",IFERROR(INDEX('Raw lists'!$C$2:$C$23,MATCH(K24,'Raw lists'!$C$2:$C$23,0))&amp;" / ",""))&amp;IF(L24="","",IFERROR(INDEX('Raw lists'!$C$2:$C$23,MATCH(L24,'Raw lists'!$C$2:$C$23,0))&amp;" / ",""))&amp;IF(M24="","",IFERROR(INDEX('Raw lists'!$C$2:$C$23,MATCH(M24,'Raw lists'!$C$2:$C$23,0))&amp;" / ","")))=0,"",LEFT(IF(K24="","",IFERROR(INDEX('Raw lists'!$C$2:$C$23,MATCH(K24,'Raw lists'!$C$2:$C$23,0))&amp;" / ",""))&amp;IF(L24="","",IFERROR(INDEX('Raw lists'!$C$2:$C$23,MATCH(L24,'Raw lists'!$C$2:$C$23,0))&amp;" / ",""))&amp;IF(M24="","",IFERROR(INDEX('Raw lists'!$C$2:$C$23,MATCH(M24,'Raw lists'!$C$2:$C$23,0))&amp;" / ","")),LEN(IF(K24="","",IFERROR(INDEX('Raw lists'!$C$2:$C$23,MATCH(K24,'Raw lists'!$C$2:$C$23,0))&amp;" / ",""))&amp;IF(L24="","",IFERROR(INDEX('Raw lists'!$C$2:$C$23,MATCH(L24,'Raw lists'!$C$2:$C$23,0))&amp;" / ",""))&amp;IF(M24="","",IFERROR(INDEX('Raw lists'!$C$2:$C$23,MATCH(M24,'Raw lists'!$C$2:$C$23,0))&amp;" / ","")))-3))</f>
        <v>Pseudopolynomial</v>
      </c>
      <c r="F24" s="4" t="s">
        <v>14</v>
      </c>
      <c r="G24" s="6" t="s">
        <v>97</v>
      </c>
      <c r="H24" s="4" t="n">
        <f aca="false">COUNTIF(C24:E24,"?*")</f>
        <v>3</v>
      </c>
      <c r="I24" s="7" t="str">
        <f aca="false">IF(H24=0,"None",IF(H24=3,"All three",IF(H24=1,"Only "&amp;TRIM(IF(C24&lt;&gt;"","Gemini ","")&amp;IF(D24&lt;&gt;"","RAKE ","")&amp;IF(E24&lt;&gt;"","YAKE","")),SUBSTITUTE(TRIM(IF(C24&lt;&gt;"","Gemini ","")&amp;IF(D24&lt;&gt;"","RAKE ","")&amp;IF(E24&lt;&gt;"","YAKE",""))," "," + "))))</f>
        <v>All three</v>
      </c>
      <c r="K24" s="8" t="s">
        <v>98</v>
      </c>
      <c r="L24" s="8" t="s">
        <v>99</v>
      </c>
      <c r="M24" s="8"/>
    </row>
    <row r="25" customFormat="false" ht="23.85" hidden="false" customHeight="false" outlineLevel="0" collapsed="false">
      <c r="A25" s="4" t="n">
        <v>24</v>
      </c>
      <c r="B25" s="5" t="s">
        <v>100</v>
      </c>
      <c r="C25" s="6" t="str">
        <f aca="false">IF(LEN(IF(K25="","",IFERROR(INDEX('Raw lists'!$A$2:$A$32,MATCH(K25,'Raw lists'!$A$2:$A$32,0))&amp;" / ",""))&amp;IF(L25="","",IFERROR(INDEX('Raw lists'!$A$2:$A$32,MATCH(L25,'Raw lists'!$A$2:$A$32,0))&amp;" / ",""))&amp;IF(M25="","",IFERROR(INDEX('Raw lists'!$A$2:$A$32,MATCH(M25,'Raw lists'!$A$2:$A$32,0))&amp;" / ","")))=0,"",LEFT(IF(K25="","",IFERROR(INDEX('Raw lists'!$A$2:$A$32,MATCH(K25,'Raw lists'!$A$2:$A$32,0))&amp;" / ",""))&amp;IF(L25="","",IFERROR(INDEX('Raw lists'!$A$2:$A$32,MATCH(L25,'Raw lists'!$A$2:$A$32,0))&amp;" / ",""))&amp;IF(M25="","",IFERROR(INDEX('Raw lists'!$A$2:$A$32,MATCH(M25,'Raw lists'!$A$2:$A$32,0))&amp;" / ","")),LEN(IF(K25="","",IFERROR(INDEX('Raw lists'!$A$2:$A$32,MATCH(K25,'Raw lists'!$A$2:$A$32,0))&amp;" / ",""))&amp;IF(L25="","",IFERROR(INDEX('Raw lists'!$A$2:$A$32,MATCH(L25,'Raw lists'!$A$2:$A$32,0))&amp;" / ",""))&amp;IF(M25="","",IFERROR(INDEX('Raw lists'!$A$2:$A$32,MATCH(M25,'Raw lists'!$A$2:$A$32,0))&amp;" / ","")))-3))</f>
        <v/>
      </c>
      <c r="D25" s="6" t="str">
        <f aca="false">IF(LEN(IF(K25="","",IFERROR(INDEX('Raw lists'!$B$2:$B$29,MATCH(K25,'Raw lists'!$B$2:$B$29,0))&amp;" / ",""))&amp;IF(L25="","",IFERROR(INDEX('Raw lists'!$B$2:$B$29,MATCH(L25,'Raw lists'!$B$2:$B$29,0))&amp;" / ",""))&amp;IF(M25="","",IFERROR(INDEX('Raw lists'!$B$2:$B$29,MATCH(M25,'Raw lists'!$B$2:$B$29,0))&amp;" / ","")))=0,"",LEFT(IF(K25="","",IFERROR(INDEX('Raw lists'!$B$2:$B$29,MATCH(K25,'Raw lists'!$B$2:$B$29,0))&amp;" / ",""))&amp;IF(L25="","",IFERROR(INDEX('Raw lists'!$B$2:$B$29,MATCH(L25,'Raw lists'!$B$2:$B$29,0))&amp;" / ",""))&amp;IF(M25="","",IFERROR(INDEX('Raw lists'!$B$2:$B$29,MATCH(M25,'Raw lists'!$B$2:$B$29,0))&amp;" / ","")),LEN(IF(K25="","",IFERROR(INDEX('Raw lists'!$B$2:$B$29,MATCH(K25,'Raw lists'!$B$2:$B$29,0))&amp;" / ",""))&amp;IF(L25="","",IFERROR(INDEX('Raw lists'!$B$2:$B$29,MATCH(L25,'Raw lists'!$B$2:$B$29,0))&amp;" / ",""))&amp;IF(M25="","",IFERROR(INDEX('Raw lists'!$B$2:$B$29,MATCH(M25,'Raw lists'!$B$2:$B$29,0))&amp;" / ","")))-3))</f>
        <v/>
      </c>
      <c r="E25" s="6" t="str">
        <f aca="false">IF(LEN(IF(K25="","",IFERROR(INDEX('Raw lists'!$C$2:$C$23,MATCH(K25,'Raw lists'!$C$2:$C$23,0))&amp;" / ",""))&amp;IF(L25="","",IFERROR(INDEX('Raw lists'!$C$2:$C$23,MATCH(L25,'Raw lists'!$C$2:$C$23,0))&amp;" / ",""))&amp;IF(M25="","",IFERROR(INDEX('Raw lists'!$C$2:$C$23,MATCH(M25,'Raw lists'!$C$2:$C$23,0))&amp;" / ","")))=0,"",LEFT(IF(K25="","",IFERROR(INDEX('Raw lists'!$C$2:$C$23,MATCH(K25,'Raw lists'!$C$2:$C$23,0))&amp;" / ",""))&amp;IF(L25="","",IFERROR(INDEX('Raw lists'!$C$2:$C$23,MATCH(L25,'Raw lists'!$C$2:$C$23,0))&amp;" / ",""))&amp;IF(M25="","",IFERROR(INDEX('Raw lists'!$C$2:$C$23,MATCH(M25,'Raw lists'!$C$2:$C$23,0))&amp;" / ","")),LEN(IF(K25="","",IFERROR(INDEX('Raw lists'!$C$2:$C$23,MATCH(K25,'Raw lists'!$C$2:$C$23,0))&amp;" / ",""))&amp;IF(L25="","",IFERROR(INDEX('Raw lists'!$C$2:$C$23,MATCH(L25,'Raw lists'!$C$2:$C$23,0))&amp;" / ",""))&amp;IF(M25="","",IFERROR(INDEX('Raw lists'!$C$2:$C$23,MATCH(M25,'Raw lists'!$C$2:$C$23,0))&amp;" / ","")))-3))</f>
        <v/>
      </c>
      <c r="F25" s="4" t="s">
        <v>14</v>
      </c>
      <c r="G25" s="6" t="s">
        <v>101</v>
      </c>
      <c r="H25" s="4" t="n">
        <f aca="false">COUNTIF(C25:E25,"?*")</f>
        <v>0</v>
      </c>
      <c r="I25" s="7" t="str">
        <f aca="false">IF(H25=0,"None",IF(H25=3,"All three",IF(H25=1,"Only "&amp;TRIM(IF(C25&lt;&gt;"","Gemini ","")&amp;IF(D25&lt;&gt;"","RAKE ","")&amp;IF(E25&lt;&gt;"","YAKE","")),SUBSTITUTE(TRIM(IF(C25&lt;&gt;"","Gemini ","")&amp;IF(D25&lt;&gt;"","RAKE ","")&amp;IF(E25&lt;&gt;"","YAKE",""))," "," + "))))</f>
        <v>None</v>
      </c>
      <c r="K25" s="8" t="s">
        <v>102</v>
      </c>
      <c r="L25" s="8"/>
      <c r="M25" s="8"/>
    </row>
    <row r="26" customFormat="false" ht="23.85" hidden="false" customHeight="false" outlineLevel="0" collapsed="false">
      <c r="A26" s="4" t="n">
        <v>25</v>
      </c>
      <c r="B26" s="5" t="s">
        <v>103</v>
      </c>
      <c r="C26" s="6" t="str">
        <f aca="false">IF(LEN(IF(K26="","",IFERROR(INDEX('Raw lists'!$A$2:$A$32,MATCH(K26,'Raw lists'!$A$2:$A$32,0))&amp;" / ",""))&amp;IF(L26="","",IFERROR(INDEX('Raw lists'!$A$2:$A$32,MATCH(L26,'Raw lists'!$A$2:$A$32,0))&amp;" / ",""))&amp;IF(M26="","",IFERROR(INDEX('Raw lists'!$A$2:$A$32,MATCH(M26,'Raw lists'!$A$2:$A$32,0))&amp;" / ","")))=0,"",LEFT(IF(K26="","",IFERROR(INDEX('Raw lists'!$A$2:$A$32,MATCH(K26,'Raw lists'!$A$2:$A$32,0))&amp;" / ",""))&amp;IF(L26="","",IFERROR(INDEX('Raw lists'!$A$2:$A$32,MATCH(L26,'Raw lists'!$A$2:$A$32,0))&amp;" / ",""))&amp;IF(M26="","",IFERROR(INDEX('Raw lists'!$A$2:$A$32,MATCH(M26,'Raw lists'!$A$2:$A$32,0))&amp;" / ","")),LEN(IF(K26="","",IFERROR(INDEX('Raw lists'!$A$2:$A$32,MATCH(K26,'Raw lists'!$A$2:$A$32,0))&amp;" / ",""))&amp;IF(L26="","",IFERROR(INDEX('Raw lists'!$A$2:$A$32,MATCH(L26,'Raw lists'!$A$2:$A$32,0))&amp;" / ",""))&amp;IF(M26="","",IFERROR(INDEX('Raw lists'!$A$2:$A$32,MATCH(M26,'Raw lists'!$A$2:$A$32,0))&amp;" / ","")))-3))</f>
        <v/>
      </c>
      <c r="D26" s="6" t="str">
        <f aca="false">IF(LEN(IF(K26="","",IFERROR(INDEX('Raw lists'!$B$2:$B$29,MATCH(K26,'Raw lists'!$B$2:$B$29,0))&amp;" / ",""))&amp;IF(L26="","",IFERROR(INDEX('Raw lists'!$B$2:$B$29,MATCH(L26,'Raw lists'!$B$2:$B$29,0))&amp;" / ",""))&amp;IF(M26="","",IFERROR(INDEX('Raw lists'!$B$2:$B$29,MATCH(M26,'Raw lists'!$B$2:$B$29,0))&amp;" / ","")))=0,"",LEFT(IF(K26="","",IFERROR(INDEX('Raw lists'!$B$2:$B$29,MATCH(K26,'Raw lists'!$B$2:$B$29,0))&amp;" / ",""))&amp;IF(L26="","",IFERROR(INDEX('Raw lists'!$B$2:$B$29,MATCH(L26,'Raw lists'!$B$2:$B$29,0))&amp;" / ",""))&amp;IF(M26="","",IFERROR(INDEX('Raw lists'!$B$2:$B$29,MATCH(M26,'Raw lists'!$B$2:$B$29,0))&amp;" / ","")),LEN(IF(K26="","",IFERROR(INDEX('Raw lists'!$B$2:$B$29,MATCH(K26,'Raw lists'!$B$2:$B$29,0))&amp;" / ",""))&amp;IF(L26="","",IFERROR(INDEX('Raw lists'!$B$2:$B$29,MATCH(L26,'Raw lists'!$B$2:$B$29,0))&amp;" / ",""))&amp;IF(M26="","",IFERROR(INDEX('Raw lists'!$B$2:$B$29,MATCH(M26,'Raw lists'!$B$2:$B$29,0))&amp;" / ","")))-3))</f>
        <v/>
      </c>
      <c r="E26" s="6" t="str">
        <f aca="false">IF(LEN(IF(K26="","",IFERROR(INDEX('Raw lists'!$C$2:$C$23,MATCH(K26,'Raw lists'!$C$2:$C$23,0))&amp;" / ",""))&amp;IF(L26="","",IFERROR(INDEX('Raw lists'!$C$2:$C$23,MATCH(L26,'Raw lists'!$C$2:$C$23,0))&amp;" / ",""))&amp;IF(M26="","",IFERROR(INDEX('Raw lists'!$C$2:$C$23,MATCH(M26,'Raw lists'!$C$2:$C$23,0))&amp;" / ","")))=0,"",LEFT(IF(K26="","",IFERROR(INDEX('Raw lists'!$C$2:$C$23,MATCH(K26,'Raw lists'!$C$2:$C$23,0))&amp;" / ",""))&amp;IF(L26="","",IFERROR(INDEX('Raw lists'!$C$2:$C$23,MATCH(L26,'Raw lists'!$C$2:$C$23,0))&amp;" / ",""))&amp;IF(M26="","",IFERROR(INDEX('Raw lists'!$C$2:$C$23,MATCH(M26,'Raw lists'!$C$2:$C$23,0))&amp;" / ","")),LEN(IF(K26="","",IFERROR(INDEX('Raw lists'!$C$2:$C$23,MATCH(K26,'Raw lists'!$C$2:$C$23,0))&amp;" / ",""))&amp;IF(L26="","",IFERROR(INDEX('Raw lists'!$C$2:$C$23,MATCH(L26,'Raw lists'!$C$2:$C$23,0))&amp;" / ",""))&amp;IF(M26="","",IFERROR(INDEX('Raw lists'!$C$2:$C$23,MATCH(M26,'Raw lists'!$C$2:$C$23,0))&amp;" / ","")))-3))</f>
        <v/>
      </c>
      <c r="F26" s="4" t="s">
        <v>14</v>
      </c>
      <c r="G26" s="6" t="s">
        <v>104</v>
      </c>
      <c r="H26" s="4" t="n">
        <f aca="false">COUNTIF(C26:E26,"?*")</f>
        <v>0</v>
      </c>
      <c r="I26" s="7" t="str">
        <f aca="false">IF(H26=0,"None",IF(H26=3,"All three",IF(H26=1,"Only "&amp;TRIM(IF(C26&lt;&gt;"","Gemini ","")&amp;IF(D26&lt;&gt;"","RAKE ","")&amp;IF(E26&lt;&gt;"","YAKE","")),SUBSTITUTE(TRIM(IF(C26&lt;&gt;"","Gemini ","")&amp;IF(D26&lt;&gt;"","RAKE ","")&amp;IF(E26&lt;&gt;"","YAKE",""))," "," + "))))</f>
        <v>None</v>
      </c>
      <c r="K26" s="8" t="s">
        <v>105</v>
      </c>
      <c r="L26" s="8"/>
      <c r="M26" s="8"/>
    </row>
    <row r="27" customFormat="false" ht="23.85" hidden="false" customHeight="false" outlineLevel="0" collapsed="false">
      <c r="A27" s="4" t="n">
        <v>26</v>
      </c>
      <c r="B27" s="5" t="s">
        <v>106</v>
      </c>
      <c r="C27" s="6" t="str">
        <f aca="false">IF(LEN(IF(K27="","",IFERROR(INDEX('Raw lists'!$A$2:$A$32,MATCH(K27,'Raw lists'!$A$2:$A$32,0))&amp;" / ",""))&amp;IF(L27="","",IFERROR(INDEX('Raw lists'!$A$2:$A$32,MATCH(L27,'Raw lists'!$A$2:$A$32,0))&amp;" / ",""))&amp;IF(M27="","",IFERROR(INDEX('Raw lists'!$A$2:$A$32,MATCH(M27,'Raw lists'!$A$2:$A$32,0))&amp;" / ","")))=0,"",LEFT(IF(K27="","",IFERROR(INDEX('Raw lists'!$A$2:$A$32,MATCH(K27,'Raw lists'!$A$2:$A$32,0))&amp;" / ",""))&amp;IF(L27="","",IFERROR(INDEX('Raw lists'!$A$2:$A$32,MATCH(L27,'Raw lists'!$A$2:$A$32,0))&amp;" / ",""))&amp;IF(M27="","",IFERROR(INDEX('Raw lists'!$A$2:$A$32,MATCH(M27,'Raw lists'!$A$2:$A$32,0))&amp;" / ","")),LEN(IF(K27="","",IFERROR(INDEX('Raw lists'!$A$2:$A$32,MATCH(K27,'Raw lists'!$A$2:$A$32,0))&amp;" / ",""))&amp;IF(L27="","",IFERROR(INDEX('Raw lists'!$A$2:$A$32,MATCH(L27,'Raw lists'!$A$2:$A$32,0))&amp;" / ",""))&amp;IF(M27="","",IFERROR(INDEX('Raw lists'!$A$2:$A$32,MATCH(M27,'Raw lists'!$A$2:$A$32,0))&amp;" / ","")))-3))</f>
        <v/>
      </c>
      <c r="D27" s="6" t="str">
        <f aca="false">IF(LEN(IF(K27="","",IFERROR(INDEX('Raw lists'!$B$2:$B$29,MATCH(K27,'Raw lists'!$B$2:$B$29,0))&amp;" / ",""))&amp;IF(L27="","",IFERROR(INDEX('Raw lists'!$B$2:$B$29,MATCH(L27,'Raw lists'!$B$2:$B$29,0))&amp;" / ",""))&amp;IF(M27="","",IFERROR(INDEX('Raw lists'!$B$2:$B$29,MATCH(M27,'Raw lists'!$B$2:$B$29,0))&amp;" / ","")))=0,"",LEFT(IF(K27="","",IFERROR(INDEX('Raw lists'!$B$2:$B$29,MATCH(K27,'Raw lists'!$B$2:$B$29,0))&amp;" / ",""))&amp;IF(L27="","",IFERROR(INDEX('Raw lists'!$B$2:$B$29,MATCH(L27,'Raw lists'!$B$2:$B$29,0))&amp;" / ",""))&amp;IF(M27="","",IFERROR(INDEX('Raw lists'!$B$2:$B$29,MATCH(M27,'Raw lists'!$B$2:$B$29,0))&amp;" / ","")),LEN(IF(K27="","",IFERROR(INDEX('Raw lists'!$B$2:$B$29,MATCH(K27,'Raw lists'!$B$2:$B$29,0))&amp;" / ",""))&amp;IF(L27="","",IFERROR(INDEX('Raw lists'!$B$2:$B$29,MATCH(L27,'Raw lists'!$B$2:$B$29,0))&amp;" / ",""))&amp;IF(M27="","",IFERROR(INDEX('Raw lists'!$B$2:$B$29,MATCH(M27,'Raw lists'!$B$2:$B$29,0))&amp;" / ","")))-3))</f>
        <v/>
      </c>
      <c r="E27" s="6" t="str">
        <f aca="false">IF(LEN(IF(K27="","",IFERROR(INDEX('Raw lists'!$C$2:$C$23,MATCH(K27,'Raw lists'!$C$2:$C$23,0))&amp;" / ",""))&amp;IF(L27="","",IFERROR(INDEX('Raw lists'!$C$2:$C$23,MATCH(L27,'Raw lists'!$C$2:$C$23,0))&amp;" / ",""))&amp;IF(M27="","",IFERROR(INDEX('Raw lists'!$C$2:$C$23,MATCH(M27,'Raw lists'!$C$2:$C$23,0))&amp;" / ","")))=0,"",LEFT(IF(K27="","",IFERROR(INDEX('Raw lists'!$C$2:$C$23,MATCH(K27,'Raw lists'!$C$2:$C$23,0))&amp;" / ",""))&amp;IF(L27="","",IFERROR(INDEX('Raw lists'!$C$2:$C$23,MATCH(L27,'Raw lists'!$C$2:$C$23,0))&amp;" / ",""))&amp;IF(M27="","",IFERROR(INDEX('Raw lists'!$C$2:$C$23,MATCH(M27,'Raw lists'!$C$2:$C$23,0))&amp;" / ","")),LEN(IF(K27="","",IFERROR(INDEX('Raw lists'!$C$2:$C$23,MATCH(K27,'Raw lists'!$C$2:$C$23,0))&amp;" / ",""))&amp;IF(L27="","",IFERROR(INDEX('Raw lists'!$C$2:$C$23,MATCH(L27,'Raw lists'!$C$2:$C$23,0))&amp;" / ",""))&amp;IF(M27="","",IFERROR(INDEX('Raw lists'!$C$2:$C$23,MATCH(M27,'Raw lists'!$C$2:$C$23,0))&amp;" / ","")))-3))</f>
        <v/>
      </c>
      <c r="F27" s="4" t="s">
        <v>14</v>
      </c>
      <c r="G27" s="6" t="s">
        <v>107</v>
      </c>
      <c r="H27" s="4" t="n">
        <f aca="false">COUNTIF(C27:E27,"?*")</f>
        <v>0</v>
      </c>
      <c r="I27" s="7" t="str">
        <f aca="false">IF(H27=0,"None",IF(H27=3,"All three",IF(H27=1,"Only "&amp;TRIM(IF(C27&lt;&gt;"","Gemini ","")&amp;IF(D27&lt;&gt;"","RAKE ","")&amp;IF(E27&lt;&gt;"","YAKE","")),SUBSTITUTE(TRIM(IF(C27&lt;&gt;"","Gemini ","")&amp;IF(D27&lt;&gt;"","RAKE ","")&amp;IF(E27&lt;&gt;"","YAKE",""))," "," + "))))</f>
        <v>None</v>
      </c>
      <c r="K27" s="8" t="s">
        <v>106</v>
      </c>
      <c r="L27" s="8" t="s">
        <v>108</v>
      </c>
      <c r="M27" s="8"/>
    </row>
    <row r="28" customFormat="false" ht="23.85" hidden="false" customHeight="false" outlineLevel="0" collapsed="false">
      <c r="A28" s="4" t="n">
        <v>27</v>
      </c>
      <c r="B28" s="5" t="s">
        <v>109</v>
      </c>
      <c r="C28" s="6" t="str">
        <f aca="false">IF(LEN(IF(K28="","",IFERROR(INDEX('Raw lists'!$A$2:$A$32,MATCH(K28,'Raw lists'!$A$2:$A$32,0))&amp;" / ",""))&amp;IF(L28="","",IFERROR(INDEX('Raw lists'!$A$2:$A$32,MATCH(L28,'Raw lists'!$A$2:$A$32,0))&amp;" / ",""))&amp;IF(M28="","",IFERROR(INDEX('Raw lists'!$A$2:$A$32,MATCH(M28,'Raw lists'!$A$2:$A$32,0))&amp;" / ","")))=0,"",LEFT(IF(K28="","",IFERROR(INDEX('Raw lists'!$A$2:$A$32,MATCH(K28,'Raw lists'!$A$2:$A$32,0))&amp;" / ",""))&amp;IF(L28="","",IFERROR(INDEX('Raw lists'!$A$2:$A$32,MATCH(L28,'Raw lists'!$A$2:$A$32,0))&amp;" / ",""))&amp;IF(M28="","",IFERROR(INDEX('Raw lists'!$A$2:$A$32,MATCH(M28,'Raw lists'!$A$2:$A$32,0))&amp;" / ","")),LEN(IF(K28="","",IFERROR(INDEX('Raw lists'!$A$2:$A$32,MATCH(K28,'Raw lists'!$A$2:$A$32,0))&amp;" / ",""))&amp;IF(L28="","",IFERROR(INDEX('Raw lists'!$A$2:$A$32,MATCH(L28,'Raw lists'!$A$2:$A$32,0))&amp;" / ",""))&amp;IF(M28="","",IFERROR(INDEX('Raw lists'!$A$2:$A$32,MATCH(M28,'Raw lists'!$A$2:$A$32,0))&amp;" / ","")))-3))</f>
        <v/>
      </c>
      <c r="D28" s="6" t="str">
        <f aca="false">IF(LEN(IF(K28="","",IFERROR(INDEX('Raw lists'!$B$2:$B$29,MATCH(K28,'Raw lists'!$B$2:$B$29,0))&amp;" / ",""))&amp;IF(L28="","",IFERROR(INDEX('Raw lists'!$B$2:$B$29,MATCH(L28,'Raw lists'!$B$2:$B$29,0))&amp;" / ",""))&amp;IF(M28="","",IFERROR(INDEX('Raw lists'!$B$2:$B$29,MATCH(M28,'Raw lists'!$B$2:$B$29,0))&amp;" / ","")))=0,"",LEFT(IF(K28="","",IFERROR(INDEX('Raw lists'!$B$2:$B$29,MATCH(K28,'Raw lists'!$B$2:$B$29,0))&amp;" / ",""))&amp;IF(L28="","",IFERROR(INDEX('Raw lists'!$B$2:$B$29,MATCH(L28,'Raw lists'!$B$2:$B$29,0))&amp;" / ",""))&amp;IF(M28="","",IFERROR(INDEX('Raw lists'!$B$2:$B$29,MATCH(M28,'Raw lists'!$B$2:$B$29,0))&amp;" / ","")),LEN(IF(K28="","",IFERROR(INDEX('Raw lists'!$B$2:$B$29,MATCH(K28,'Raw lists'!$B$2:$B$29,0))&amp;" / ",""))&amp;IF(L28="","",IFERROR(INDEX('Raw lists'!$B$2:$B$29,MATCH(L28,'Raw lists'!$B$2:$B$29,0))&amp;" / ",""))&amp;IF(M28="","",IFERROR(INDEX('Raw lists'!$B$2:$B$29,MATCH(M28,'Raw lists'!$B$2:$B$29,0))&amp;" / ","")))-3))</f>
        <v/>
      </c>
      <c r="E28" s="6" t="str">
        <f aca="false">IF(LEN(IF(K28="","",IFERROR(INDEX('Raw lists'!$C$2:$C$23,MATCH(K28,'Raw lists'!$C$2:$C$23,0))&amp;" / ",""))&amp;IF(L28="","",IFERROR(INDEX('Raw lists'!$C$2:$C$23,MATCH(L28,'Raw lists'!$C$2:$C$23,0))&amp;" / ",""))&amp;IF(M28="","",IFERROR(INDEX('Raw lists'!$C$2:$C$23,MATCH(M28,'Raw lists'!$C$2:$C$23,0))&amp;" / ","")))=0,"",LEFT(IF(K28="","",IFERROR(INDEX('Raw lists'!$C$2:$C$23,MATCH(K28,'Raw lists'!$C$2:$C$23,0))&amp;" / ",""))&amp;IF(L28="","",IFERROR(INDEX('Raw lists'!$C$2:$C$23,MATCH(L28,'Raw lists'!$C$2:$C$23,0))&amp;" / ",""))&amp;IF(M28="","",IFERROR(INDEX('Raw lists'!$C$2:$C$23,MATCH(M28,'Raw lists'!$C$2:$C$23,0))&amp;" / ","")),LEN(IF(K28="","",IFERROR(INDEX('Raw lists'!$C$2:$C$23,MATCH(K28,'Raw lists'!$C$2:$C$23,0))&amp;" / ",""))&amp;IF(L28="","",IFERROR(INDEX('Raw lists'!$C$2:$C$23,MATCH(L28,'Raw lists'!$C$2:$C$23,0))&amp;" / ",""))&amp;IF(M28="","",IFERROR(INDEX('Raw lists'!$C$2:$C$23,MATCH(M28,'Raw lists'!$C$2:$C$23,0))&amp;" / ","")))-3))</f>
        <v/>
      </c>
      <c r="F28" s="4" t="s">
        <v>14</v>
      </c>
      <c r="G28" s="6" t="s">
        <v>110</v>
      </c>
      <c r="H28" s="4" t="n">
        <f aca="false">COUNTIF(C28:E28,"?*")</f>
        <v>0</v>
      </c>
      <c r="I28" s="7" t="str">
        <f aca="false">IF(H28=0,"None",IF(H28=3,"All three",IF(H28=1,"Only "&amp;TRIM(IF(C28&lt;&gt;"","Gemini ","")&amp;IF(D28&lt;&gt;"","RAKE ","")&amp;IF(E28&lt;&gt;"","YAKE","")),SUBSTITUTE(TRIM(IF(C28&lt;&gt;"","Gemini ","")&amp;IF(D28&lt;&gt;"","RAKE ","")&amp;IF(E28&lt;&gt;"","YAKE",""))," "," + "))))</f>
        <v>None</v>
      </c>
      <c r="K28" s="8" t="s">
        <v>111</v>
      </c>
      <c r="L28" s="8"/>
      <c r="M28" s="8"/>
    </row>
    <row r="29" customFormat="false" ht="23.85" hidden="false" customHeight="false" outlineLevel="0" collapsed="false">
      <c r="A29" s="4" t="n">
        <v>28</v>
      </c>
      <c r="B29" s="5" t="s">
        <v>112</v>
      </c>
      <c r="C29" s="6" t="str">
        <f aca="false">IF(LEN(IF(K29="","",IFERROR(INDEX('Raw lists'!$A$2:$A$32,MATCH(K29,'Raw lists'!$A$2:$A$32,0))&amp;" / ",""))&amp;IF(L29="","",IFERROR(INDEX('Raw lists'!$A$2:$A$32,MATCH(L29,'Raw lists'!$A$2:$A$32,0))&amp;" / ",""))&amp;IF(M29="","",IFERROR(INDEX('Raw lists'!$A$2:$A$32,MATCH(M29,'Raw lists'!$A$2:$A$32,0))&amp;" / ","")))=0,"",LEFT(IF(K29="","",IFERROR(INDEX('Raw lists'!$A$2:$A$32,MATCH(K29,'Raw lists'!$A$2:$A$32,0))&amp;" / ",""))&amp;IF(L29="","",IFERROR(INDEX('Raw lists'!$A$2:$A$32,MATCH(L29,'Raw lists'!$A$2:$A$32,0))&amp;" / ",""))&amp;IF(M29="","",IFERROR(INDEX('Raw lists'!$A$2:$A$32,MATCH(M29,'Raw lists'!$A$2:$A$32,0))&amp;" / ","")),LEN(IF(K29="","",IFERROR(INDEX('Raw lists'!$A$2:$A$32,MATCH(K29,'Raw lists'!$A$2:$A$32,0))&amp;" / ",""))&amp;IF(L29="","",IFERROR(INDEX('Raw lists'!$A$2:$A$32,MATCH(L29,'Raw lists'!$A$2:$A$32,0))&amp;" / ",""))&amp;IF(M29="","",IFERROR(INDEX('Raw lists'!$A$2:$A$32,MATCH(M29,'Raw lists'!$A$2:$A$32,0))&amp;" / ","")))-3))</f>
        <v/>
      </c>
      <c r="D29" s="6" t="str">
        <f aca="false">IF(LEN(IF(K29="","",IFERROR(INDEX('Raw lists'!$B$2:$B$29,MATCH(K29,'Raw lists'!$B$2:$B$29,0))&amp;" / ",""))&amp;IF(L29="","",IFERROR(INDEX('Raw lists'!$B$2:$B$29,MATCH(L29,'Raw lists'!$B$2:$B$29,0))&amp;" / ",""))&amp;IF(M29="","",IFERROR(INDEX('Raw lists'!$B$2:$B$29,MATCH(M29,'Raw lists'!$B$2:$B$29,0))&amp;" / ","")))=0,"",LEFT(IF(K29="","",IFERROR(INDEX('Raw lists'!$B$2:$B$29,MATCH(K29,'Raw lists'!$B$2:$B$29,0))&amp;" / ",""))&amp;IF(L29="","",IFERROR(INDEX('Raw lists'!$B$2:$B$29,MATCH(L29,'Raw lists'!$B$2:$B$29,0))&amp;" / ",""))&amp;IF(M29="","",IFERROR(INDEX('Raw lists'!$B$2:$B$29,MATCH(M29,'Raw lists'!$B$2:$B$29,0))&amp;" / ","")),LEN(IF(K29="","",IFERROR(INDEX('Raw lists'!$B$2:$B$29,MATCH(K29,'Raw lists'!$B$2:$B$29,0))&amp;" / ",""))&amp;IF(L29="","",IFERROR(INDEX('Raw lists'!$B$2:$B$29,MATCH(L29,'Raw lists'!$B$2:$B$29,0))&amp;" / ",""))&amp;IF(M29="","",IFERROR(INDEX('Raw lists'!$B$2:$B$29,MATCH(M29,'Raw lists'!$B$2:$B$29,0))&amp;" / ","")))-3))</f>
        <v/>
      </c>
      <c r="E29" s="6" t="str">
        <f aca="false">IF(LEN(IF(K29="","",IFERROR(INDEX('Raw lists'!$C$2:$C$23,MATCH(K29,'Raw lists'!$C$2:$C$23,0))&amp;" / ",""))&amp;IF(L29="","",IFERROR(INDEX('Raw lists'!$C$2:$C$23,MATCH(L29,'Raw lists'!$C$2:$C$23,0))&amp;" / ",""))&amp;IF(M29="","",IFERROR(INDEX('Raw lists'!$C$2:$C$23,MATCH(M29,'Raw lists'!$C$2:$C$23,0))&amp;" / ","")))=0,"",LEFT(IF(K29="","",IFERROR(INDEX('Raw lists'!$C$2:$C$23,MATCH(K29,'Raw lists'!$C$2:$C$23,0))&amp;" / ",""))&amp;IF(L29="","",IFERROR(INDEX('Raw lists'!$C$2:$C$23,MATCH(L29,'Raw lists'!$C$2:$C$23,0))&amp;" / ",""))&amp;IF(M29="","",IFERROR(INDEX('Raw lists'!$C$2:$C$23,MATCH(M29,'Raw lists'!$C$2:$C$23,0))&amp;" / ","")),LEN(IF(K29="","",IFERROR(INDEX('Raw lists'!$C$2:$C$23,MATCH(K29,'Raw lists'!$C$2:$C$23,0))&amp;" / ",""))&amp;IF(L29="","",IFERROR(INDEX('Raw lists'!$C$2:$C$23,MATCH(L29,'Raw lists'!$C$2:$C$23,0))&amp;" / ",""))&amp;IF(M29="","",IFERROR(INDEX('Raw lists'!$C$2:$C$23,MATCH(M29,'Raw lists'!$C$2:$C$23,0))&amp;" / ","")))-3))</f>
        <v/>
      </c>
      <c r="F29" s="4" t="s">
        <v>14</v>
      </c>
      <c r="G29" s="6" t="s">
        <v>113</v>
      </c>
      <c r="H29" s="4" t="n">
        <f aca="false">COUNTIF(C29:E29,"?*")</f>
        <v>0</v>
      </c>
      <c r="I29" s="7" t="str">
        <f aca="false">IF(H29=0,"None",IF(H29=3,"All three",IF(H29=1,"Only "&amp;TRIM(IF(C29&lt;&gt;"","Gemini ","")&amp;IF(D29&lt;&gt;"","RAKE ","")&amp;IF(E29&lt;&gt;"","YAKE","")),SUBSTITUTE(TRIM(IF(C29&lt;&gt;"","Gemini ","")&amp;IF(D29&lt;&gt;"","RAKE ","")&amp;IF(E29&lt;&gt;"","YAKE",""))," "," + "))))</f>
        <v>None</v>
      </c>
      <c r="K29" s="8" t="s">
        <v>114</v>
      </c>
      <c r="L29" s="8"/>
      <c r="M29" s="8"/>
    </row>
    <row r="30" customFormat="false" ht="15" hidden="false" customHeight="false" outlineLevel="0" collapsed="false">
      <c r="A30" s="4" t="n">
        <v>29</v>
      </c>
      <c r="B30" s="5" t="s">
        <v>115</v>
      </c>
      <c r="C30" s="6" t="str">
        <f aca="false">IF(LEN(IF(K30="","",IFERROR(INDEX('Raw lists'!$A$2:$A$32,MATCH(K30,'Raw lists'!$A$2:$A$32,0))&amp;" / ",""))&amp;IF(L30="","",IFERROR(INDEX('Raw lists'!$A$2:$A$32,MATCH(L30,'Raw lists'!$A$2:$A$32,0))&amp;" / ",""))&amp;IF(M30="","",IFERROR(INDEX('Raw lists'!$A$2:$A$32,MATCH(M30,'Raw lists'!$A$2:$A$32,0))&amp;" / ","")))=0,"",LEFT(IF(K30="","",IFERROR(INDEX('Raw lists'!$A$2:$A$32,MATCH(K30,'Raw lists'!$A$2:$A$32,0))&amp;" / ",""))&amp;IF(L30="","",IFERROR(INDEX('Raw lists'!$A$2:$A$32,MATCH(L30,'Raw lists'!$A$2:$A$32,0))&amp;" / ",""))&amp;IF(M30="","",IFERROR(INDEX('Raw lists'!$A$2:$A$32,MATCH(M30,'Raw lists'!$A$2:$A$32,0))&amp;" / ","")),LEN(IF(K30="","",IFERROR(INDEX('Raw lists'!$A$2:$A$32,MATCH(K30,'Raw lists'!$A$2:$A$32,0))&amp;" / ",""))&amp;IF(L30="","",IFERROR(INDEX('Raw lists'!$A$2:$A$32,MATCH(L30,'Raw lists'!$A$2:$A$32,0))&amp;" / ",""))&amp;IF(M30="","",IFERROR(INDEX('Raw lists'!$A$2:$A$32,MATCH(M30,'Raw lists'!$A$2:$A$32,0))&amp;" / ","")))-3))</f>
        <v/>
      </c>
      <c r="D30" s="6" t="str">
        <f aca="false">IF(LEN(IF(K30="","",IFERROR(INDEX('Raw lists'!$B$2:$B$29,MATCH(K30,'Raw lists'!$B$2:$B$29,0))&amp;" / ",""))&amp;IF(L30="","",IFERROR(INDEX('Raw lists'!$B$2:$B$29,MATCH(L30,'Raw lists'!$B$2:$B$29,0))&amp;" / ",""))&amp;IF(M30="","",IFERROR(INDEX('Raw lists'!$B$2:$B$29,MATCH(M30,'Raw lists'!$B$2:$B$29,0))&amp;" / ","")))=0,"",LEFT(IF(K30="","",IFERROR(INDEX('Raw lists'!$B$2:$B$29,MATCH(K30,'Raw lists'!$B$2:$B$29,0))&amp;" / ",""))&amp;IF(L30="","",IFERROR(INDEX('Raw lists'!$B$2:$B$29,MATCH(L30,'Raw lists'!$B$2:$B$29,0))&amp;" / ",""))&amp;IF(M30="","",IFERROR(INDEX('Raw lists'!$B$2:$B$29,MATCH(M30,'Raw lists'!$B$2:$B$29,0))&amp;" / ","")),LEN(IF(K30="","",IFERROR(INDEX('Raw lists'!$B$2:$B$29,MATCH(K30,'Raw lists'!$B$2:$B$29,0))&amp;" / ",""))&amp;IF(L30="","",IFERROR(INDEX('Raw lists'!$B$2:$B$29,MATCH(L30,'Raw lists'!$B$2:$B$29,0))&amp;" / ",""))&amp;IF(M30="","",IFERROR(INDEX('Raw lists'!$B$2:$B$29,MATCH(M30,'Raw lists'!$B$2:$B$29,0))&amp;" / ","")))-3))</f>
        <v/>
      </c>
      <c r="E30" s="6" t="str">
        <f aca="false">IF(LEN(IF(K30="","",IFERROR(INDEX('Raw lists'!$C$2:$C$23,MATCH(K30,'Raw lists'!$C$2:$C$23,0))&amp;" / ",""))&amp;IF(L30="","",IFERROR(INDEX('Raw lists'!$C$2:$C$23,MATCH(L30,'Raw lists'!$C$2:$C$23,0))&amp;" / ",""))&amp;IF(M30="","",IFERROR(INDEX('Raw lists'!$C$2:$C$23,MATCH(M30,'Raw lists'!$C$2:$C$23,0))&amp;" / ","")))=0,"",LEFT(IF(K30="","",IFERROR(INDEX('Raw lists'!$C$2:$C$23,MATCH(K30,'Raw lists'!$C$2:$C$23,0))&amp;" / ",""))&amp;IF(L30="","",IFERROR(INDEX('Raw lists'!$C$2:$C$23,MATCH(L30,'Raw lists'!$C$2:$C$23,0))&amp;" / ",""))&amp;IF(M30="","",IFERROR(INDEX('Raw lists'!$C$2:$C$23,MATCH(M30,'Raw lists'!$C$2:$C$23,0))&amp;" / ","")),LEN(IF(K30="","",IFERROR(INDEX('Raw lists'!$C$2:$C$23,MATCH(K30,'Raw lists'!$C$2:$C$23,0))&amp;" / ",""))&amp;IF(L30="","",IFERROR(INDEX('Raw lists'!$C$2:$C$23,MATCH(L30,'Raw lists'!$C$2:$C$23,0))&amp;" / ",""))&amp;IF(M30="","",IFERROR(INDEX('Raw lists'!$C$2:$C$23,MATCH(M30,'Raw lists'!$C$2:$C$23,0))&amp;" / ","")))-3))</f>
        <v/>
      </c>
      <c r="F30" s="4" t="s">
        <v>14</v>
      </c>
      <c r="G30" s="6" t="s">
        <v>116</v>
      </c>
      <c r="H30" s="4" t="n">
        <f aca="false">COUNTIF(C30:E30,"?*")</f>
        <v>0</v>
      </c>
      <c r="I30" s="7" t="str">
        <f aca="false">IF(H30=0,"None",IF(H30=3,"All three",IF(H30=1,"Only "&amp;TRIM(IF(C30&lt;&gt;"","Gemini ","")&amp;IF(D30&lt;&gt;"","RAKE ","")&amp;IF(E30&lt;&gt;"","YAKE","")),SUBSTITUTE(TRIM(IF(C30&lt;&gt;"","Gemini ","")&amp;IF(D30&lt;&gt;"","RAKE ","")&amp;IF(E30&lt;&gt;"","YAKE",""))," "," + "))))</f>
        <v>None</v>
      </c>
      <c r="K30" s="8" t="s">
        <v>117</v>
      </c>
      <c r="L30" s="8"/>
      <c r="M30" s="8"/>
    </row>
    <row r="31" customFormat="false" ht="15" hidden="false" customHeight="false" outlineLevel="0" collapsed="false">
      <c r="A31" s="4" t="n">
        <v>30</v>
      </c>
      <c r="B31" s="5" t="s">
        <v>118</v>
      </c>
      <c r="C31" s="6" t="str">
        <f aca="false">IF(LEN(IF(K31="","",IFERROR(INDEX('Raw lists'!$A$2:$A$32,MATCH(K31,'Raw lists'!$A$2:$A$32,0))&amp;" / ",""))&amp;IF(L31="","",IFERROR(INDEX('Raw lists'!$A$2:$A$32,MATCH(L31,'Raw lists'!$A$2:$A$32,0))&amp;" / ",""))&amp;IF(M31="","",IFERROR(INDEX('Raw lists'!$A$2:$A$32,MATCH(M31,'Raw lists'!$A$2:$A$32,0))&amp;" / ","")))=0,"",LEFT(IF(K31="","",IFERROR(INDEX('Raw lists'!$A$2:$A$32,MATCH(K31,'Raw lists'!$A$2:$A$32,0))&amp;" / ",""))&amp;IF(L31="","",IFERROR(INDEX('Raw lists'!$A$2:$A$32,MATCH(L31,'Raw lists'!$A$2:$A$32,0))&amp;" / ",""))&amp;IF(M31="","",IFERROR(INDEX('Raw lists'!$A$2:$A$32,MATCH(M31,'Raw lists'!$A$2:$A$32,0))&amp;" / ","")),LEN(IF(K31="","",IFERROR(INDEX('Raw lists'!$A$2:$A$32,MATCH(K31,'Raw lists'!$A$2:$A$32,0))&amp;" / ",""))&amp;IF(L31="","",IFERROR(INDEX('Raw lists'!$A$2:$A$32,MATCH(L31,'Raw lists'!$A$2:$A$32,0))&amp;" / ",""))&amp;IF(M31="","",IFERROR(INDEX('Raw lists'!$A$2:$A$32,MATCH(M31,'Raw lists'!$A$2:$A$32,0))&amp;" / ","")))-3))</f>
        <v/>
      </c>
      <c r="D31" s="6" t="str">
        <f aca="false">IF(LEN(IF(K31="","",IFERROR(INDEX('Raw lists'!$B$2:$B$29,MATCH(K31,'Raw lists'!$B$2:$B$29,0))&amp;" / ",""))&amp;IF(L31="","",IFERROR(INDEX('Raw lists'!$B$2:$B$29,MATCH(L31,'Raw lists'!$B$2:$B$29,0))&amp;" / ",""))&amp;IF(M31="","",IFERROR(INDEX('Raw lists'!$B$2:$B$29,MATCH(M31,'Raw lists'!$B$2:$B$29,0))&amp;" / ","")))=0,"",LEFT(IF(K31="","",IFERROR(INDEX('Raw lists'!$B$2:$B$29,MATCH(K31,'Raw lists'!$B$2:$B$29,0))&amp;" / ",""))&amp;IF(L31="","",IFERROR(INDEX('Raw lists'!$B$2:$B$29,MATCH(L31,'Raw lists'!$B$2:$B$29,0))&amp;" / ",""))&amp;IF(M31="","",IFERROR(INDEX('Raw lists'!$B$2:$B$29,MATCH(M31,'Raw lists'!$B$2:$B$29,0))&amp;" / ","")),LEN(IF(K31="","",IFERROR(INDEX('Raw lists'!$B$2:$B$29,MATCH(K31,'Raw lists'!$B$2:$B$29,0))&amp;" / ",""))&amp;IF(L31="","",IFERROR(INDEX('Raw lists'!$B$2:$B$29,MATCH(L31,'Raw lists'!$B$2:$B$29,0))&amp;" / ",""))&amp;IF(M31="","",IFERROR(INDEX('Raw lists'!$B$2:$B$29,MATCH(M31,'Raw lists'!$B$2:$B$29,0))&amp;" / ","")))-3))</f>
        <v/>
      </c>
      <c r="E31" s="6" t="str">
        <f aca="false">IF(LEN(IF(K31="","",IFERROR(INDEX('Raw lists'!$C$2:$C$23,MATCH(K31,'Raw lists'!$C$2:$C$23,0))&amp;" / ",""))&amp;IF(L31="","",IFERROR(INDEX('Raw lists'!$C$2:$C$23,MATCH(L31,'Raw lists'!$C$2:$C$23,0))&amp;" / ",""))&amp;IF(M31="","",IFERROR(INDEX('Raw lists'!$C$2:$C$23,MATCH(M31,'Raw lists'!$C$2:$C$23,0))&amp;" / ","")))=0,"",LEFT(IF(K31="","",IFERROR(INDEX('Raw lists'!$C$2:$C$23,MATCH(K31,'Raw lists'!$C$2:$C$23,0))&amp;" / ",""))&amp;IF(L31="","",IFERROR(INDEX('Raw lists'!$C$2:$C$23,MATCH(L31,'Raw lists'!$C$2:$C$23,0))&amp;" / ",""))&amp;IF(M31="","",IFERROR(INDEX('Raw lists'!$C$2:$C$23,MATCH(M31,'Raw lists'!$C$2:$C$23,0))&amp;" / ","")),LEN(IF(K31="","",IFERROR(INDEX('Raw lists'!$C$2:$C$23,MATCH(K31,'Raw lists'!$C$2:$C$23,0))&amp;" / ",""))&amp;IF(L31="","",IFERROR(INDEX('Raw lists'!$C$2:$C$23,MATCH(L31,'Raw lists'!$C$2:$C$23,0))&amp;" / ",""))&amp;IF(M31="","",IFERROR(INDEX('Raw lists'!$C$2:$C$23,MATCH(M31,'Raw lists'!$C$2:$C$23,0))&amp;" / ","")))-3))</f>
        <v/>
      </c>
      <c r="F31" s="4" t="s">
        <v>14</v>
      </c>
      <c r="G31" s="6" t="s">
        <v>119</v>
      </c>
      <c r="H31" s="4" t="n">
        <f aca="false">COUNTIF(C31:E31,"?*")</f>
        <v>0</v>
      </c>
      <c r="I31" s="7" t="str">
        <f aca="false">IF(H31=0,"None",IF(H31=3,"All three",IF(H31=1,"Only "&amp;TRIM(IF(C31&lt;&gt;"","Gemini ","")&amp;IF(D31&lt;&gt;"","RAKE ","")&amp;IF(E31&lt;&gt;"","YAKE","")),SUBSTITUTE(TRIM(IF(C31&lt;&gt;"","Gemini ","")&amp;IF(D31&lt;&gt;"","RAKE ","")&amp;IF(E31&lt;&gt;"","YAKE",""))," "," + "))))</f>
        <v>None</v>
      </c>
      <c r="K31" s="8" t="s">
        <v>120</v>
      </c>
      <c r="L31" s="8"/>
      <c r="M31" s="8"/>
    </row>
    <row r="32" customFormat="false" ht="15" hidden="false" customHeight="false" outlineLevel="0" collapsed="false">
      <c r="A32" s="4" t="n">
        <v>31</v>
      </c>
      <c r="B32" s="5" t="s">
        <v>121</v>
      </c>
      <c r="C32" s="6" t="str">
        <f aca="false">IF(LEN(IF(K32="","",IFERROR(INDEX('Raw lists'!$A$2:$A$32,MATCH(K32,'Raw lists'!$A$2:$A$32,0))&amp;" / ",""))&amp;IF(L32="","",IFERROR(INDEX('Raw lists'!$A$2:$A$32,MATCH(L32,'Raw lists'!$A$2:$A$32,0))&amp;" / ",""))&amp;IF(M32="","",IFERROR(INDEX('Raw lists'!$A$2:$A$32,MATCH(M32,'Raw lists'!$A$2:$A$32,0))&amp;" / ","")))=0,"",LEFT(IF(K32="","",IFERROR(INDEX('Raw lists'!$A$2:$A$32,MATCH(K32,'Raw lists'!$A$2:$A$32,0))&amp;" / ",""))&amp;IF(L32="","",IFERROR(INDEX('Raw lists'!$A$2:$A$32,MATCH(L32,'Raw lists'!$A$2:$A$32,0))&amp;" / ",""))&amp;IF(M32="","",IFERROR(INDEX('Raw lists'!$A$2:$A$32,MATCH(M32,'Raw lists'!$A$2:$A$32,0))&amp;" / ","")),LEN(IF(K32="","",IFERROR(INDEX('Raw lists'!$A$2:$A$32,MATCH(K32,'Raw lists'!$A$2:$A$32,0))&amp;" / ",""))&amp;IF(L32="","",IFERROR(INDEX('Raw lists'!$A$2:$A$32,MATCH(L32,'Raw lists'!$A$2:$A$32,0))&amp;" / ",""))&amp;IF(M32="","",IFERROR(INDEX('Raw lists'!$A$2:$A$32,MATCH(M32,'Raw lists'!$A$2:$A$32,0))&amp;" / ","")))-3))</f>
        <v/>
      </c>
      <c r="D32" s="6" t="str">
        <f aca="false">IF(LEN(IF(K32="","",IFERROR(INDEX('Raw lists'!$B$2:$B$29,MATCH(K32,'Raw lists'!$B$2:$B$29,0))&amp;" / ",""))&amp;IF(L32="","",IFERROR(INDEX('Raw lists'!$B$2:$B$29,MATCH(L32,'Raw lists'!$B$2:$B$29,0))&amp;" / ",""))&amp;IF(M32="","",IFERROR(INDEX('Raw lists'!$B$2:$B$29,MATCH(M32,'Raw lists'!$B$2:$B$29,0))&amp;" / ","")))=0,"",LEFT(IF(K32="","",IFERROR(INDEX('Raw lists'!$B$2:$B$29,MATCH(K32,'Raw lists'!$B$2:$B$29,0))&amp;" / ",""))&amp;IF(L32="","",IFERROR(INDEX('Raw lists'!$B$2:$B$29,MATCH(L32,'Raw lists'!$B$2:$B$29,0))&amp;" / ",""))&amp;IF(M32="","",IFERROR(INDEX('Raw lists'!$B$2:$B$29,MATCH(M32,'Raw lists'!$B$2:$B$29,0))&amp;" / ","")),LEN(IF(K32="","",IFERROR(INDEX('Raw lists'!$B$2:$B$29,MATCH(K32,'Raw lists'!$B$2:$B$29,0))&amp;" / ",""))&amp;IF(L32="","",IFERROR(INDEX('Raw lists'!$B$2:$B$29,MATCH(L32,'Raw lists'!$B$2:$B$29,0))&amp;" / ",""))&amp;IF(M32="","",IFERROR(INDEX('Raw lists'!$B$2:$B$29,MATCH(M32,'Raw lists'!$B$2:$B$29,0))&amp;" / ","")))-3))</f>
        <v/>
      </c>
      <c r="E32" s="6" t="str">
        <f aca="false">IF(LEN(IF(K32="","",IFERROR(INDEX('Raw lists'!$C$2:$C$23,MATCH(K32,'Raw lists'!$C$2:$C$23,0))&amp;" / ",""))&amp;IF(L32="","",IFERROR(INDEX('Raw lists'!$C$2:$C$23,MATCH(L32,'Raw lists'!$C$2:$C$23,0))&amp;" / ",""))&amp;IF(M32="","",IFERROR(INDEX('Raw lists'!$C$2:$C$23,MATCH(M32,'Raw lists'!$C$2:$C$23,0))&amp;" / ","")))=0,"",LEFT(IF(K32="","",IFERROR(INDEX('Raw lists'!$C$2:$C$23,MATCH(K32,'Raw lists'!$C$2:$C$23,0))&amp;" / ",""))&amp;IF(L32="","",IFERROR(INDEX('Raw lists'!$C$2:$C$23,MATCH(L32,'Raw lists'!$C$2:$C$23,0))&amp;" / ",""))&amp;IF(M32="","",IFERROR(INDEX('Raw lists'!$C$2:$C$23,MATCH(M32,'Raw lists'!$C$2:$C$23,0))&amp;" / ","")),LEN(IF(K32="","",IFERROR(INDEX('Raw lists'!$C$2:$C$23,MATCH(K32,'Raw lists'!$C$2:$C$23,0))&amp;" / ",""))&amp;IF(L32="","",IFERROR(INDEX('Raw lists'!$C$2:$C$23,MATCH(L32,'Raw lists'!$C$2:$C$23,0))&amp;" / ",""))&amp;IF(M32="","",IFERROR(INDEX('Raw lists'!$C$2:$C$23,MATCH(M32,'Raw lists'!$C$2:$C$23,0))&amp;" / ","")))-3))</f>
        <v/>
      </c>
      <c r="F32" s="4" t="s">
        <v>14</v>
      </c>
      <c r="G32" s="6" t="s">
        <v>122</v>
      </c>
      <c r="H32" s="4" t="n">
        <f aca="false">COUNTIF(C32:E32,"?*")</f>
        <v>0</v>
      </c>
      <c r="I32" s="7" t="str">
        <f aca="false">IF(H32=0,"None",IF(H32=3,"All three",IF(H32=1,"Only "&amp;TRIM(IF(C32&lt;&gt;"","Gemini ","")&amp;IF(D32&lt;&gt;"","RAKE ","")&amp;IF(E32&lt;&gt;"","YAKE","")),SUBSTITUTE(TRIM(IF(C32&lt;&gt;"","Gemini ","")&amp;IF(D32&lt;&gt;"","RAKE ","")&amp;IF(E32&lt;&gt;"","YAKE",""))," "," + "))))</f>
        <v>None</v>
      </c>
      <c r="K32" s="8" t="s">
        <v>123</v>
      </c>
      <c r="L32" s="8"/>
      <c r="M32" s="8"/>
    </row>
    <row r="33" customFormat="false" ht="23.85" hidden="false" customHeight="false" outlineLevel="0" collapsed="false">
      <c r="A33" s="4" t="n">
        <v>32</v>
      </c>
      <c r="B33" s="5" t="s">
        <v>124</v>
      </c>
      <c r="C33" s="6" t="str">
        <f aca="false">IF(LEN(IF(K33="","",IFERROR(INDEX('Raw lists'!$A$2:$A$32,MATCH(K33,'Raw lists'!$A$2:$A$32,0))&amp;" / ",""))&amp;IF(L33="","",IFERROR(INDEX('Raw lists'!$A$2:$A$32,MATCH(L33,'Raw lists'!$A$2:$A$32,0))&amp;" / ",""))&amp;IF(M33="","",IFERROR(INDEX('Raw lists'!$A$2:$A$32,MATCH(M33,'Raw lists'!$A$2:$A$32,0))&amp;" / ","")))=0,"",LEFT(IF(K33="","",IFERROR(INDEX('Raw lists'!$A$2:$A$32,MATCH(K33,'Raw lists'!$A$2:$A$32,0))&amp;" / ",""))&amp;IF(L33="","",IFERROR(INDEX('Raw lists'!$A$2:$A$32,MATCH(L33,'Raw lists'!$A$2:$A$32,0))&amp;" / ",""))&amp;IF(M33="","",IFERROR(INDEX('Raw lists'!$A$2:$A$32,MATCH(M33,'Raw lists'!$A$2:$A$32,0))&amp;" / ","")),LEN(IF(K33="","",IFERROR(INDEX('Raw lists'!$A$2:$A$32,MATCH(K33,'Raw lists'!$A$2:$A$32,0))&amp;" / ",""))&amp;IF(L33="","",IFERROR(INDEX('Raw lists'!$A$2:$A$32,MATCH(L33,'Raw lists'!$A$2:$A$32,0))&amp;" / ",""))&amp;IF(M33="","",IFERROR(INDEX('Raw lists'!$A$2:$A$32,MATCH(M33,'Raw lists'!$A$2:$A$32,0))&amp;" / ","")))-3))</f>
        <v/>
      </c>
      <c r="D33" s="6" t="str">
        <f aca="false">IF(LEN(IF(K33="","",IFERROR(INDEX('Raw lists'!$B$2:$B$29,MATCH(K33,'Raw lists'!$B$2:$B$29,0))&amp;" / ",""))&amp;IF(L33="","",IFERROR(INDEX('Raw lists'!$B$2:$B$29,MATCH(L33,'Raw lists'!$B$2:$B$29,0))&amp;" / ",""))&amp;IF(M33="","",IFERROR(INDEX('Raw lists'!$B$2:$B$29,MATCH(M33,'Raw lists'!$B$2:$B$29,0))&amp;" / ","")))=0,"",LEFT(IF(K33="","",IFERROR(INDEX('Raw lists'!$B$2:$B$29,MATCH(K33,'Raw lists'!$B$2:$B$29,0))&amp;" / ",""))&amp;IF(L33="","",IFERROR(INDEX('Raw lists'!$B$2:$B$29,MATCH(L33,'Raw lists'!$B$2:$B$29,0))&amp;" / ",""))&amp;IF(M33="","",IFERROR(INDEX('Raw lists'!$B$2:$B$29,MATCH(M33,'Raw lists'!$B$2:$B$29,0))&amp;" / ","")),LEN(IF(K33="","",IFERROR(INDEX('Raw lists'!$B$2:$B$29,MATCH(K33,'Raw lists'!$B$2:$B$29,0))&amp;" / ",""))&amp;IF(L33="","",IFERROR(INDEX('Raw lists'!$B$2:$B$29,MATCH(L33,'Raw lists'!$B$2:$B$29,0))&amp;" / ",""))&amp;IF(M33="","",IFERROR(INDEX('Raw lists'!$B$2:$B$29,MATCH(M33,'Raw lists'!$B$2:$B$29,0))&amp;" / ","")))-3))</f>
        <v/>
      </c>
      <c r="E33" s="6" t="str">
        <f aca="false">IF(LEN(IF(K33="","",IFERROR(INDEX('Raw lists'!$C$2:$C$23,MATCH(K33,'Raw lists'!$C$2:$C$23,0))&amp;" / ",""))&amp;IF(L33="","",IFERROR(INDEX('Raw lists'!$C$2:$C$23,MATCH(L33,'Raw lists'!$C$2:$C$23,0))&amp;" / ",""))&amp;IF(M33="","",IFERROR(INDEX('Raw lists'!$C$2:$C$23,MATCH(M33,'Raw lists'!$C$2:$C$23,0))&amp;" / ","")))=0,"",LEFT(IF(K33="","",IFERROR(INDEX('Raw lists'!$C$2:$C$23,MATCH(K33,'Raw lists'!$C$2:$C$23,0))&amp;" / ",""))&amp;IF(L33="","",IFERROR(INDEX('Raw lists'!$C$2:$C$23,MATCH(L33,'Raw lists'!$C$2:$C$23,0))&amp;" / ",""))&amp;IF(M33="","",IFERROR(INDEX('Raw lists'!$C$2:$C$23,MATCH(M33,'Raw lists'!$C$2:$C$23,0))&amp;" / ","")),LEN(IF(K33="","",IFERROR(INDEX('Raw lists'!$C$2:$C$23,MATCH(K33,'Raw lists'!$C$2:$C$23,0))&amp;" / ",""))&amp;IF(L33="","",IFERROR(INDEX('Raw lists'!$C$2:$C$23,MATCH(L33,'Raw lists'!$C$2:$C$23,0))&amp;" / ",""))&amp;IF(M33="","",IFERROR(INDEX('Raw lists'!$C$2:$C$23,MATCH(M33,'Raw lists'!$C$2:$C$23,0))&amp;" / ","")))-3))</f>
        <v/>
      </c>
      <c r="F33" s="4" t="s">
        <v>14</v>
      </c>
      <c r="G33" s="6" t="s">
        <v>125</v>
      </c>
      <c r="H33" s="4" t="n">
        <f aca="false">COUNTIF(C33:E33,"?*")</f>
        <v>0</v>
      </c>
      <c r="I33" s="7" t="str">
        <f aca="false">IF(H33=0,"None",IF(H33=3,"All three",IF(H33=1,"Only "&amp;TRIM(IF(C33&lt;&gt;"","Gemini ","")&amp;IF(D33&lt;&gt;"","RAKE ","")&amp;IF(E33&lt;&gt;"","YAKE","")),SUBSTITUTE(TRIM(IF(C33&lt;&gt;"","Gemini ","")&amp;IF(D33&lt;&gt;"","RAKE ","")&amp;IF(E33&lt;&gt;"","YAKE",""))," "," + "))))</f>
        <v>None</v>
      </c>
      <c r="K33" s="8" t="s">
        <v>126</v>
      </c>
      <c r="L33" s="8"/>
      <c r="M33" s="8"/>
    </row>
    <row r="34" customFormat="false" ht="23.85" hidden="false" customHeight="false" outlineLevel="0" collapsed="false">
      <c r="A34" s="4" t="n">
        <v>33</v>
      </c>
      <c r="B34" s="5" t="s">
        <v>127</v>
      </c>
      <c r="C34" s="6" t="str">
        <f aca="false">IF(LEN(IF(K34="","",IFERROR(INDEX('Raw lists'!$A$2:$A$32,MATCH(K34,'Raw lists'!$A$2:$A$32,0))&amp;" / ",""))&amp;IF(L34="","",IFERROR(INDEX('Raw lists'!$A$2:$A$32,MATCH(L34,'Raw lists'!$A$2:$A$32,0))&amp;" / ",""))&amp;IF(M34="","",IFERROR(INDEX('Raw lists'!$A$2:$A$32,MATCH(M34,'Raw lists'!$A$2:$A$32,0))&amp;" / ","")))=0,"",LEFT(IF(K34="","",IFERROR(INDEX('Raw lists'!$A$2:$A$32,MATCH(K34,'Raw lists'!$A$2:$A$32,0))&amp;" / ",""))&amp;IF(L34="","",IFERROR(INDEX('Raw lists'!$A$2:$A$32,MATCH(L34,'Raw lists'!$A$2:$A$32,0))&amp;" / ",""))&amp;IF(M34="","",IFERROR(INDEX('Raw lists'!$A$2:$A$32,MATCH(M34,'Raw lists'!$A$2:$A$32,0))&amp;" / ","")),LEN(IF(K34="","",IFERROR(INDEX('Raw lists'!$A$2:$A$32,MATCH(K34,'Raw lists'!$A$2:$A$32,0))&amp;" / ",""))&amp;IF(L34="","",IFERROR(INDEX('Raw lists'!$A$2:$A$32,MATCH(L34,'Raw lists'!$A$2:$A$32,0))&amp;" / ",""))&amp;IF(M34="","",IFERROR(INDEX('Raw lists'!$A$2:$A$32,MATCH(M34,'Raw lists'!$A$2:$A$32,0))&amp;" / ","")))-3))</f>
        <v/>
      </c>
      <c r="D34" s="6" t="str">
        <f aca="false">IF(LEN(IF(K34="","",IFERROR(INDEX('Raw lists'!$B$2:$B$29,MATCH(K34,'Raw lists'!$B$2:$B$29,0))&amp;" / ",""))&amp;IF(L34="","",IFERROR(INDEX('Raw lists'!$B$2:$B$29,MATCH(L34,'Raw lists'!$B$2:$B$29,0))&amp;" / ",""))&amp;IF(M34="","",IFERROR(INDEX('Raw lists'!$B$2:$B$29,MATCH(M34,'Raw lists'!$B$2:$B$29,0))&amp;" / ","")))=0,"",LEFT(IF(K34="","",IFERROR(INDEX('Raw lists'!$B$2:$B$29,MATCH(K34,'Raw lists'!$B$2:$B$29,0))&amp;" / ",""))&amp;IF(L34="","",IFERROR(INDEX('Raw lists'!$B$2:$B$29,MATCH(L34,'Raw lists'!$B$2:$B$29,0))&amp;" / ",""))&amp;IF(M34="","",IFERROR(INDEX('Raw lists'!$B$2:$B$29,MATCH(M34,'Raw lists'!$B$2:$B$29,0))&amp;" / ","")),LEN(IF(K34="","",IFERROR(INDEX('Raw lists'!$B$2:$B$29,MATCH(K34,'Raw lists'!$B$2:$B$29,0))&amp;" / ",""))&amp;IF(L34="","",IFERROR(INDEX('Raw lists'!$B$2:$B$29,MATCH(L34,'Raw lists'!$B$2:$B$29,0))&amp;" / ",""))&amp;IF(M34="","",IFERROR(INDEX('Raw lists'!$B$2:$B$29,MATCH(M34,'Raw lists'!$B$2:$B$29,0))&amp;" / ","")))-3))</f>
        <v>Nonexpansive Constraint</v>
      </c>
      <c r="E34" s="6" t="str">
        <f aca="false">IF(LEN(IF(K34="","",IFERROR(INDEX('Raw lists'!$C$2:$C$23,MATCH(K34,'Raw lists'!$C$2:$C$23,0))&amp;" / ",""))&amp;IF(L34="","",IFERROR(INDEX('Raw lists'!$C$2:$C$23,MATCH(L34,'Raw lists'!$C$2:$C$23,0))&amp;" / ",""))&amp;IF(M34="","",IFERROR(INDEX('Raw lists'!$C$2:$C$23,MATCH(M34,'Raw lists'!$C$2:$C$23,0))&amp;" / ","")))=0,"",LEFT(IF(K34="","",IFERROR(INDEX('Raw lists'!$C$2:$C$23,MATCH(K34,'Raw lists'!$C$2:$C$23,0))&amp;" / ",""))&amp;IF(L34="","",IFERROR(INDEX('Raw lists'!$C$2:$C$23,MATCH(L34,'Raw lists'!$C$2:$C$23,0))&amp;" / ",""))&amp;IF(M34="","",IFERROR(INDEX('Raw lists'!$C$2:$C$23,MATCH(M34,'Raw lists'!$C$2:$C$23,0))&amp;" / ","")),LEN(IF(K34="","",IFERROR(INDEX('Raw lists'!$C$2:$C$23,MATCH(K34,'Raw lists'!$C$2:$C$23,0))&amp;" / ",""))&amp;IF(L34="","",IFERROR(INDEX('Raw lists'!$C$2:$C$23,MATCH(L34,'Raw lists'!$C$2:$C$23,0))&amp;" / ",""))&amp;IF(M34="","",IFERROR(INDEX('Raw lists'!$C$2:$C$23,MATCH(M34,'Raw lists'!$C$2:$C$23,0))&amp;" / ","")))-3))</f>
        <v/>
      </c>
      <c r="F34" s="4" t="s">
        <v>14</v>
      </c>
      <c r="G34" s="6" t="s">
        <v>128</v>
      </c>
      <c r="H34" s="4" t="n">
        <f aca="false">COUNTIF(C34:E34,"?*")</f>
        <v>1</v>
      </c>
      <c r="I34" s="7" t="str">
        <f aca="false">IF(H34=0,"None",IF(H34=3,"All three",IF(H34=1,"Only "&amp;TRIM(IF(C34&lt;&gt;"","Gemini ","")&amp;IF(D34&lt;&gt;"","RAKE ","")&amp;IF(E34&lt;&gt;"","YAKE","")),SUBSTITUTE(TRIM(IF(C34&lt;&gt;"","Gemini ","")&amp;IF(D34&lt;&gt;"","RAKE ","")&amp;IF(E34&lt;&gt;"","YAKE",""))," "," + "))))</f>
        <v>Only RAKE</v>
      </c>
      <c r="K34" s="8" t="s">
        <v>129</v>
      </c>
      <c r="L34" s="8"/>
      <c r="M34" s="8"/>
    </row>
    <row r="35" customFormat="false" ht="23.85" hidden="false" customHeight="false" outlineLevel="0" collapsed="false">
      <c r="A35" s="4" t="n">
        <v>34</v>
      </c>
      <c r="B35" s="5" t="s">
        <v>130</v>
      </c>
      <c r="C35" s="6" t="str">
        <f aca="false">IF(LEN(IF(K35="","",IFERROR(INDEX('Raw lists'!$A$2:$A$32,MATCH(K35,'Raw lists'!$A$2:$A$32,0))&amp;" / ",""))&amp;IF(L35="","",IFERROR(INDEX('Raw lists'!$A$2:$A$32,MATCH(L35,'Raw lists'!$A$2:$A$32,0))&amp;" / ",""))&amp;IF(M35="","",IFERROR(INDEX('Raw lists'!$A$2:$A$32,MATCH(M35,'Raw lists'!$A$2:$A$32,0))&amp;" / ","")))=0,"",LEFT(IF(K35="","",IFERROR(INDEX('Raw lists'!$A$2:$A$32,MATCH(K35,'Raw lists'!$A$2:$A$32,0))&amp;" / ",""))&amp;IF(L35="","",IFERROR(INDEX('Raw lists'!$A$2:$A$32,MATCH(L35,'Raw lists'!$A$2:$A$32,0))&amp;" / ",""))&amp;IF(M35="","",IFERROR(INDEX('Raw lists'!$A$2:$A$32,MATCH(M35,'Raw lists'!$A$2:$A$32,0))&amp;" / ","")),LEN(IF(K35="","",IFERROR(INDEX('Raw lists'!$A$2:$A$32,MATCH(K35,'Raw lists'!$A$2:$A$32,0))&amp;" / ",""))&amp;IF(L35="","",IFERROR(INDEX('Raw lists'!$A$2:$A$32,MATCH(L35,'Raw lists'!$A$2:$A$32,0))&amp;" / ",""))&amp;IF(M35="","",IFERROR(INDEX('Raw lists'!$A$2:$A$32,MATCH(M35,'Raw lists'!$A$2:$A$32,0))&amp;" / ","")))-3))</f>
        <v/>
      </c>
      <c r="D35" s="6" t="str">
        <f aca="false">IF(LEN(IF(K35="","",IFERROR(INDEX('Raw lists'!$B$2:$B$29,MATCH(K35,'Raw lists'!$B$2:$B$29,0))&amp;" / ",""))&amp;IF(L35="","",IFERROR(INDEX('Raw lists'!$B$2:$B$29,MATCH(L35,'Raw lists'!$B$2:$B$29,0))&amp;" / ",""))&amp;IF(M35="","",IFERROR(INDEX('Raw lists'!$B$2:$B$29,MATCH(M35,'Raw lists'!$B$2:$B$29,0))&amp;" / ","")))=0,"",LEFT(IF(K35="","",IFERROR(INDEX('Raw lists'!$B$2:$B$29,MATCH(K35,'Raw lists'!$B$2:$B$29,0))&amp;" / ",""))&amp;IF(L35="","",IFERROR(INDEX('Raw lists'!$B$2:$B$29,MATCH(L35,'Raw lists'!$B$2:$B$29,0))&amp;" / ",""))&amp;IF(M35="","",IFERROR(INDEX('Raw lists'!$B$2:$B$29,MATCH(M35,'Raw lists'!$B$2:$B$29,0))&amp;" / ","")),LEN(IF(K35="","",IFERROR(INDEX('Raw lists'!$B$2:$B$29,MATCH(K35,'Raw lists'!$B$2:$B$29,0))&amp;" / ",""))&amp;IF(L35="","",IFERROR(INDEX('Raw lists'!$B$2:$B$29,MATCH(L35,'Raw lists'!$B$2:$B$29,0))&amp;" / ",""))&amp;IF(M35="","",IFERROR(INDEX('Raw lists'!$B$2:$B$29,MATCH(M35,'Raw lists'!$B$2:$B$29,0))&amp;" / ","")))-3))</f>
        <v/>
      </c>
      <c r="E35" s="6" t="str">
        <f aca="false">IF(LEN(IF(K35="","",IFERROR(INDEX('Raw lists'!$C$2:$C$23,MATCH(K35,'Raw lists'!$C$2:$C$23,0))&amp;" / ",""))&amp;IF(L35="","",IFERROR(INDEX('Raw lists'!$C$2:$C$23,MATCH(L35,'Raw lists'!$C$2:$C$23,0))&amp;" / ",""))&amp;IF(M35="","",IFERROR(INDEX('Raw lists'!$C$2:$C$23,MATCH(M35,'Raw lists'!$C$2:$C$23,0))&amp;" / ","")))=0,"",LEFT(IF(K35="","",IFERROR(INDEX('Raw lists'!$C$2:$C$23,MATCH(K35,'Raw lists'!$C$2:$C$23,0))&amp;" / ",""))&amp;IF(L35="","",IFERROR(INDEX('Raw lists'!$C$2:$C$23,MATCH(L35,'Raw lists'!$C$2:$C$23,0))&amp;" / ",""))&amp;IF(M35="","",IFERROR(INDEX('Raw lists'!$C$2:$C$23,MATCH(M35,'Raw lists'!$C$2:$C$23,0))&amp;" / ","")),LEN(IF(K35="","",IFERROR(INDEX('Raw lists'!$C$2:$C$23,MATCH(K35,'Raw lists'!$C$2:$C$23,0))&amp;" / ",""))&amp;IF(L35="","",IFERROR(INDEX('Raw lists'!$C$2:$C$23,MATCH(L35,'Raw lists'!$C$2:$C$23,0))&amp;" / ",""))&amp;IF(M35="","",IFERROR(INDEX('Raw lists'!$C$2:$C$23,MATCH(M35,'Raw lists'!$C$2:$C$23,0))&amp;" / ","")))-3))</f>
        <v/>
      </c>
      <c r="F35" s="4" t="s">
        <v>14</v>
      </c>
      <c r="G35" s="6" t="s">
        <v>131</v>
      </c>
      <c r="H35" s="4" t="n">
        <f aca="false">COUNTIF(C35:E35,"?*")</f>
        <v>0</v>
      </c>
      <c r="I35" s="7" t="str">
        <f aca="false">IF(H35=0,"None",IF(H35=3,"All three",IF(H35=1,"Only "&amp;TRIM(IF(C35&lt;&gt;"","Gemini ","")&amp;IF(D35&lt;&gt;"","RAKE ","")&amp;IF(E35&lt;&gt;"","YAKE","")),SUBSTITUTE(TRIM(IF(C35&lt;&gt;"","Gemini ","")&amp;IF(D35&lt;&gt;"","RAKE ","")&amp;IF(E35&lt;&gt;"","YAKE",""))," "," + "))))</f>
        <v>None</v>
      </c>
      <c r="K35" s="8" t="s">
        <v>130</v>
      </c>
      <c r="L35" s="8"/>
      <c r="M35" s="8"/>
    </row>
    <row r="36" customFormat="false" ht="15" hidden="false" customHeight="false" outlineLevel="0" collapsed="false">
      <c r="A36" s="4" t="n">
        <v>35</v>
      </c>
      <c r="B36" s="5" t="s">
        <v>132</v>
      </c>
      <c r="C36" s="6" t="str">
        <f aca="false">IF(LEN(IF(K36="","",IFERROR(INDEX('Raw lists'!$A$2:$A$32,MATCH(K36,'Raw lists'!$A$2:$A$32,0))&amp;" / ",""))&amp;IF(L36="","",IFERROR(INDEX('Raw lists'!$A$2:$A$32,MATCH(L36,'Raw lists'!$A$2:$A$32,0))&amp;" / ",""))&amp;IF(M36="","",IFERROR(INDEX('Raw lists'!$A$2:$A$32,MATCH(M36,'Raw lists'!$A$2:$A$32,0))&amp;" / ","")))=0,"",LEFT(IF(K36="","",IFERROR(INDEX('Raw lists'!$A$2:$A$32,MATCH(K36,'Raw lists'!$A$2:$A$32,0))&amp;" / ",""))&amp;IF(L36="","",IFERROR(INDEX('Raw lists'!$A$2:$A$32,MATCH(L36,'Raw lists'!$A$2:$A$32,0))&amp;" / ",""))&amp;IF(M36="","",IFERROR(INDEX('Raw lists'!$A$2:$A$32,MATCH(M36,'Raw lists'!$A$2:$A$32,0))&amp;" / ","")),LEN(IF(K36="","",IFERROR(INDEX('Raw lists'!$A$2:$A$32,MATCH(K36,'Raw lists'!$A$2:$A$32,0))&amp;" / ",""))&amp;IF(L36="","",IFERROR(INDEX('Raw lists'!$A$2:$A$32,MATCH(L36,'Raw lists'!$A$2:$A$32,0))&amp;" / ",""))&amp;IF(M36="","",IFERROR(INDEX('Raw lists'!$A$2:$A$32,MATCH(M36,'Raw lists'!$A$2:$A$32,0))&amp;" / ","")))-3))</f>
        <v/>
      </c>
      <c r="D36" s="6" t="str">
        <f aca="false">IF(LEN(IF(K36="","",IFERROR(INDEX('Raw lists'!$B$2:$B$29,MATCH(K36,'Raw lists'!$B$2:$B$29,0))&amp;" / ",""))&amp;IF(L36="","",IFERROR(INDEX('Raw lists'!$B$2:$B$29,MATCH(L36,'Raw lists'!$B$2:$B$29,0))&amp;" / ",""))&amp;IF(M36="","",IFERROR(INDEX('Raw lists'!$B$2:$B$29,MATCH(M36,'Raw lists'!$B$2:$B$29,0))&amp;" / ","")))=0,"",LEFT(IF(K36="","",IFERROR(INDEX('Raw lists'!$B$2:$B$29,MATCH(K36,'Raw lists'!$B$2:$B$29,0))&amp;" / ",""))&amp;IF(L36="","",IFERROR(INDEX('Raw lists'!$B$2:$B$29,MATCH(L36,'Raw lists'!$B$2:$B$29,0))&amp;" / ",""))&amp;IF(M36="","",IFERROR(INDEX('Raw lists'!$B$2:$B$29,MATCH(M36,'Raw lists'!$B$2:$B$29,0))&amp;" / ","")),LEN(IF(K36="","",IFERROR(INDEX('Raw lists'!$B$2:$B$29,MATCH(K36,'Raw lists'!$B$2:$B$29,0))&amp;" / ",""))&amp;IF(L36="","",IFERROR(INDEX('Raw lists'!$B$2:$B$29,MATCH(L36,'Raw lists'!$B$2:$B$29,0))&amp;" / ",""))&amp;IF(M36="","",IFERROR(INDEX('Raw lists'!$B$2:$B$29,MATCH(M36,'Raw lists'!$B$2:$B$29,0))&amp;" / ","")))-3))</f>
        <v/>
      </c>
      <c r="E36" s="6" t="str">
        <f aca="false">IF(LEN(IF(K36="","",IFERROR(INDEX('Raw lists'!$C$2:$C$23,MATCH(K36,'Raw lists'!$C$2:$C$23,0))&amp;" / ",""))&amp;IF(L36="","",IFERROR(INDEX('Raw lists'!$C$2:$C$23,MATCH(L36,'Raw lists'!$C$2:$C$23,0))&amp;" / ",""))&amp;IF(M36="","",IFERROR(INDEX('Raw lists'!$C$2:$C$23,MATCH(M36,'Raw lists'!$C$2:$C$23,0))&amp;" / ","")))=0,"",LEFT(IF(K36="","",IFERROR(INDEX('Raw lists'!$C$2:$C$23,MATCH(K36,'Raw lists'!$C$2:$C$23,0))&amp;" / ",""))&amp;IF(L36="","",IFERROR(INDEX('Raw lists'!$C$2:$C$23,MATCH(L36,'Raw lists'!$C$2:$C$23,0))&amp;" / ",""))&amp;IF(M36="","",IFERROR(INDEX('Raw lists'!$C$2:$C$23,MATCH(M36,'Raw lists'!$C$2:$C$23,0))&amp;" / ","")),LEN(IF(K36="","",IFERROR(INDEX('Raw lists'!$C$2:$C$23,MATCH(K36,'Raw lists'!$C$2:$C$23,0))&amp;" / ",""))&amp;IF(L36="","",IFERROR(INDEX('Raw lists'!$C$2:$C$23,MATCH(L36,'Raw lists'!$C$2:$C$23,0))&amp;" / ",""))&amp;IF(M36="","",IFERROR(INDEX('Raw lists'!$C$2:$C$23,MATCH(M36,'Raw lists'!$C$2:$C$23,0))&amp;" / ","")))-3))</f>
        <v/>
      </c>
      <c r="F36" s="4" t="s">
        <v>133</v>
      </c>
      <c r="G36" s="6" t="s">
        <v>134</v>
      </c>
      <c r="H36" s="4" t="n">
        <f aca="false">COUNTIF(C36:E36,"?*")</f>
        <v>0</v>
      </c>
      <c r="I36" s="7" t="str">
        <f aca="false">IF(H36=0,"None",IF(H36=3,"All three",IF(H36=1,"Only "&amp;TRIM(IF(C36&lt;&gt;"","Gemini ","")&amp;IF(D36&lt;&gt;"","RAKE ","")&amp;IF(E36&lt;&gt;"","YAKE","")),SUBSTITUTE(TRIM(IF(C36&lt;&gt;"","Gemini ","")&amp;IF(D36&lt;&gt;"","RAKE ","")&amp;IF(E36&lt;&gt;"","YAKE",""))," "," + "))))</f>
        <v>None</v>
      </c>
      <c r="K36" s="8" t="s">
        <v>135</v>
      </c>
      <c r="L36" s="8"/>
      <c r="M36" s="8"/>
    </row>
    <row r="37" customFormat="false" ht="23.85" hidden="false" customHeight="false" outlineLevel="0" collapsed="false">
      <c r="A37" s="4" t="n">
        <v>36</v>
      </c>
      <c r="B37" s="5" t="s">
        <v>136</v>
      </c>
      <c r="C37" s="6" t="str">
        <f aca="false">IF(LEN(IF(K37="","",IFERROR(INDEX('Raw lists'!$A$2:$A$32,MATCH(K37,'Raw lists'!$A$2:$A$32,0))&amp;" / ",""))&amp;IF(L37="","",IFERROR(INDEX('Raw lists'!$A$2:$A$32,MATCH(L37,'Raw lists'!$A$2:$A$32,0))&amp;" / ",""))&amp;IF(M37="","",IFERROR(INDEX('Raw lists'!$A$2:$A$32,MATCH(M37,'Raw lists'!$A$2:$A$32,0))&amp;" / ","")))=0,"",LEFT(IF(K37="","",IFERROR(INDEX('Raw lists'!$A$2:$A$32,MATCH(K37,'Raw lists'!$A$2:$A$32,0))&amp;" / ",""))&amp;IF(L37="","",IFERROR(INDEX('Raw lists'!$A$2:$A$32,MATCH(L37,'Raw lists'!$A$2:$A$32,0))&amp;" / ",""))&amp;IF(M37="","",IFERROR(INDEX('Raw lists'!$A$2:$A$32,MATCH(M37,'Raw lists'!$A$2:$A$32,0))&amp;" / ","")),LEN(IF(K37="","",IFERROR(INDEX('Raw lists'!$A$2:$A$32,MATCH(K37,'Raw lists'!$A$2:$A$32,0))&amp;" / ",""))&amp;IF(L37="","",IFERROR(INDEX('Raw lists'!$A$2:$A$32,MATCH(L37,'Raw lists'!$A$2:$A$32,0))&amp;" / ",""))&amp;IF(M37="","",IFERROR(INDEX('Raw lists'!$A$2:$A$32,MATCH(M37,'Raw lists'!$A$2:$A$32,0))&amp;" / ","")))-3))</f>
        <v>Radix Sort</v>
      </c>
      <c r="D37" s="6" t="str">
        <f aca="false">IF(LEN(IF(K37="","",IFERROR(INDEX('Raw lists'!$B$2:$B$29,MATCH(K37,'Raw lists'!$B$2:$B$29,0))&amp;" / ",""))&amp;IF(L37="","",IFERROR(INDEX('Raw lists'!$B$2:$B$29,MATCH(L37,'Raw lists'!$B$2:$B$29,0))&amp;" / ",""))&amp;IF(M37="","",IFERROR(INDEX('Raw lists'!$B$2:$B$29,MATCH(M37,'Raw lists'!$B$2:$B$29,0))&amp;" / ","")))=0,"",LEFT(IF(K37="","",IFERROR(INDEX('Raw lists'!$B$2:$B$29,MATCH(K37,'Raw lists'!$B$2:$B$29,0))&amp;" / ",""))&amp;IF(L37="","",IFERROR(INDEX('Raw lists'!$B$2:$B$29,MATCH(L37,'Raw lists'!$B$2:$B$29,0))&amp;" / ",""))&amp;IF(M37="","",IFERROR(INDEX('Raw lists'!$B$2:$B$29,MATCH(M37,'Raw lists'!$B$2:$B$29,0))&amp;" / ","")),LEN(IF(K37="","",IFERROR(INDEX('Raw lists'!$B$2:$B$29,MATCH(K37,'Raw lists'!$B$2:$B$29,0))&amp;" / ",""))&amp;IF(L37="","",IFERROR(INDEX('Raw lists'!$B$2:$B$29,MATCH(L37,'Raw lists'!$B$2:$B$29,0))&amp;" / ",""))&amp;IF(M37="","",IFERROR(INDEX('Raw lists'!$B$2:$B$29,MATCH(M37,'Raw lists'!$B$2:$B$29,0))&amp;" / ","")))-3))</f>
        <v/>
      </c>
      <c r="E37" s="6" t="str">
        <f aca="false">IF(LEN(IF(K37="","",IFERROR(INDEX('Raw lists'!$C$2:$C$23,MATCH(K37,'Raw lists'!$C$2:$C$23,0))&amp;" / ",""))&amp;IF(L37="","",IFERROR(INDEX('Raw lists'!$C$2:$C$23,MATCH(L37,'Raw lists'!$C$2:$C$23,0))&amp;" / ",""))&amp;IF(M37="","",IFERROR(INDEX('Raw lists'!$C$2:$C$23,MATCH(M37,'Raw lists'!$C$2:$C$23,0))&amp;" / ","")))=0,"",LEFT(IF(K37="","",IFERROR(INDEX('Raw lists'!$C$2:$C$23,MATCH(K37,'Raw lists'!$C$2:$C$23,0))&amp;" / ",""))&amp;IF(L37="","",IFERROR(INDEX('Raw lists'!$C$2:$C$23,MATCH(L37,'Raw lists'!$C$2:$C$23,0))&amp;" / ",""))&amp;IF(M37="","",IFERROR(INDEX('Raw lists'!$C$2:$C$23,MATCH(M37,'Raw lists'!$C$2:$C$23,0))&amp;" / ","")),LEN(IF(K37="","",IFERROR(INDEX('Raw lists'!$C$2:$C$23,MATCH(K37,'Raw lists'!$C$2:$C$23,0))&amp;" / ",""))&amp;IF(L37="","",IFERROR(INDEX('Raw lists'!$C$2:$C$23,MATCH(L37,'Raw lists'!$C$2:$C$23,0))&amp;" / ",""))&amp;IF(M37="","",IFERROR(INDEX('Raw lists'!$C$2:$C$23,MATCH(M37,'Raw lists'!$C$2:$C$23,0))&amp;" / ","")))-3))</f>
        <v/>
      </c>
      <c r="F37" s="4" t="s">
        <v>133</v>
      </c>
      <c r="G37" s="6" t="s">
        <v>137</v>
      </c>
      <c r="H37" s="4" t="n">
        <f aca="false">COUNTIF(C37:E37,"?*")</f>
        <v>1</v>
      </c>
      <c r="I37" s="7" t="str">
        <f aca="false">IF(H37=0,"None",IF(H37=3,"All three",IF(H37=1,"Only "&amp;TRIM(IF(C37&lt;&gt;"","Gemini ","")&amp;IF(D37&lt;&gt;"","RAKE ","")&amp;IF(E37&lt;&gt;"","YAKE","")),SUBSTITUTE(TRIM(IF(C37&lt;&gt;"","Gemini ","")&amp;IF(D37&lt;&gt;"","RAKE ","")&amp;IF(E37&lt;&gt;"","YAKE",""))," "," + "))))</f>
        <v>Only Gemini</v>
      </c>
      <c r="K37" s="8" t="s">
        <v>138</v>
      </c>
      <c r="L37" s="8"/>
      <c r="M37" s="8"/>
    </row>
    <row r="38" customFormat="false" ht="15" hidden="false" customHeight="false" outlineLevel="0" collapsed="false">
      <c r="A38" s="4" t="n">
        <v>37</v>
      </c>
      <c r="B38" s="5" t="s">
        <v>139</v>
      </c>
      <c r="C38" s="6" t="str">
        <f aca="false">IF(LEN(IF(K38="","",IFERROR(INDEX('Raw lists'!$A$2:$A$32,MATCH(K38,'Raw lists'!$A$2:$A$32,0))&amp;" / ",""))&amp;IF(L38="","",IFERROR(INDEX('Raw lists'!$A$2:$A$32,MATCH(L38,'Raw lists'!$A$2:$A$32,0))&amp;" / ",""))&amp;IF(M38="","",IFERROR(INDEX('Raw lists'!$A$2:$A$32,MATCH(M38,'Raw lists'!$A$2:$A$32,0))&amp;" / ","")))=0,"",LEFT(IF(K38="","",IFERROR(INDEX('Raw lists'!$A$2:$A$32,MATCH(K38,'Raw lists'!$A$2:$A$32,0))&amp;" / ",""))&amp;IF(L38="","",IFERROR(INDEX('Raw lists'!$A$2:$A$32,MATCH(L38,'Raw lists'!$A$2:$A$32,0))&amp;" / ",""))&amp;IF(M38="","",IFERROR(INDEX('Raw lists'!$A$2:$A$32,MATCH(M38,'Raw lists'!$A$2:$A$32,0))&amp;" / ","")),LEN(IF(K38="","",IFERROR(INDEX('Raw lists'!$A$2:$A$32,MATCH(K38,'Raw lists'!$A$2:$A$32,0))&amp;" / ",""))&amp;IF(L38="","",IFERROR(INDEX('Raw lists'!$A$2:$A$32,MATCH(L38,'Raw lists'!$A$2:$A$32,0))&amp;" / ",""))&amp;IF(M38="","",IFERROR(INDEX('Raw lists'!$A$2:$A$32,MATCH(M38,'Raw lists'!$A$2:$A$32,0))&amp;" / ","")))-3))</f>
        <v/>
      </c>
      <c r="D38" s="6" t="str">
        <f aca="false">IF(LEN(IF(K38="","",IFERROR(INDEX('Raw lists'!$B$2:$B$29,MATCH(K38,'Raw lists'!$B$2:$B$29,0))&amp;" / ",""))&amp;IF(L38="","",IFERROR(INDEX('Raw lists'!$B$2:$B$29,MATCH(L38,'Raw lists'!$B$2:$B$29,0))&amp;" / ",""))&amp;IF(M38="","",IFERROR(INDEX('Raw lists'!$B$2:$B$29,MATCH(M38,'Raw lists'!$B$2:$B$29,0))&amp;" / ","")))=0,"",LEFT(IF(K38="","",IFERROR(INDEX('Raw lists'!$B$2:$B$29,MATCH(K38,'Raw lists'!$B$2:$B$29,0))&amp;" / ",""))&amp;IF(L38="","",IFERROR(INDEX('Raw lists'!$B$2:$B$29,MATCH(L38,'Raw lists'!$B$2:$B$29,0))&amp;" / ",""))&amp;IF(M38="","",IFERROR(INDEX('Raw lists'!$B$2:$B$29,MATCH(M38,'Raw lists'!$B$2:$B$29,0))&amp;" / ","")),LEN(IF(K38="","",IFERROR(INDEX('Raw lists'!$B$2:$B$29,MATCH(K38,'Raw lists'!$B$2:$B$29,0))&amp;" / ",""))&amp;IF(L38="","",IFERROR(INDEX('Raw lists'!$B$2:$B$29,MATCH(L38,'Raw lists'!$B$2:$B$29,0))&amp;" / ",""))&amp;IF(M38="","",IFERROR(INDEX('Raw lists'!$B$2:$B$29,MATCH(M38,'Raw lists'!$B$2:$B$29,0))&amp;" / ","")))-3))</f>
        <v/>
      </c>
      <c r="E38" s="6" t="str">
        <f aca="false">IF(LEN(IF(K38="","",IFERROR(INDEX('Raw lists'!$C$2:$C$23,MATCH(K38,'Raw lists'!$C$2:$C$23,0))&amp;" / ",""))&amp;IF(L38="","",IFERROR(INDEX('Raw lists'!$C$2:$C$23,MATCH(L38,'Raw lists'!$C$2:$C$23,0))&amp;" / ",""))&amp;IF(M38="","",IFERROR(INDEX('Raw lists'!$C$2:$C$23,MATCH(M38,'Raw lists'!$C$2:$C$23,0))&amp;" / ","")))=0,"",LEFT(IF(K38="","",IFERROR(INDEX('Raw lists'!$C$2:$C$23,MATCH(K38,'Raw lists'!$C$2:$C$23,0))&amp;" / ",""))&amp;IF(L38="","",IFERROR(INDEX('Raw lists'!$C$2:$C$23,MATCH(L38,'Raw lists'!$C$2:$C$23,0))&amp;" / ",""))&amp;IF(M38="","",IFERROR(INDEX('Raw lists'!$C$2:$C$23,MATCH(M38,'Raw lists'!$C$2:$C$23,0))&amp;" / ","")),LEN(IF(K38="","",IFERROR(INDEX('Raw lists'!$C$2:$C$23,MATCH(K38,'Raw lists'!$C$2:$C$23,0))&amp;" / ",""))&amp;IF(L38="","",IFERROR(INDEX('Raw lists'!$C$2:$C$23,MATCH(L38,'Raw lists'!$C$2:$C$23,0))&amp;" / ",""))&amp;IF(M38="","",IFERROR(INDEX('Raw lists'!$C$2:$C$23,MATCH(M38,'Raw lists'!$C$2:$C$23,0))&amp;" / ","")))-3))</f>
        <v/>
      </c>
      <c r="F38" s="4" t="s">
        <v>133</v>
      </c>
      <c r="G38" s="6" t="s">
        <v>134</v>
      </c>
      <c r="H38" s="4" t="n">
        <f aca="false">COUNTIF(C38:E38,"?*")</f>
        <v>0</v>
      </c>
      <c r="I38" s="7" t="str">
        <f aca="false">IF(H38=0,"None",IF(H38=3,"All three",IF(H38=1,"Only "&amp;TRIM(IF(C38&lt;&gt;"","Gemini ","")&amp;IF(D38&lt;&gt;"","RAKE ","")&amp;IF(E38&lt;&gt;"","YAKE","")),SUBSTITUTE(TRIM(IF(C38&lt;&gt;"","Gemini ","")&amp;IF(D38&lt;&gt;"","RAKE ","")&amp;IF(E38&lt;&gt;"","YAKE",""))," "," + "))))</f>
        <v>None</v>
      </c>
      <c r="K38" s="8" t="s">
        <v>140</v>
      </c>
      <c r="L38" s="8"/>
      <c r="M38" s="8"/>
    </row>
    <row r="39" customFormat="false" ht="15" hidden="false" customHeight="false" outlineLevel="0" collapsed="false">
      <c r="A39" s="4" t="n">
        <v>38</v>
      </c>
      <c r="B39" s="5" t="s">
        <v>141</v>
      </c>
      <c r="C39" s="6" t="str">
        <f aca="false">IF(LEN(IF(K39="","",IFERROR(INDEX('Raw lists'!$A$2:$A$32,MATCH(K39,'Raw lists'!$A$2:$A$32,0))&amp;" / ",""))&amp;IF(L39="","",IFERROR(INDEX('Raw lists'!$A$2:$A$32,MATCH(L39,'Raw lists'!$A$2:$A$32,0))&amp;" / ",""))&amp;IF(M39="","",IFERROR(INDEX('Raw lists'!$A$2:$A$32,MATCH(M39,'Raw lists'!$A$2:$A$32,0))&amp;" / ","")))=0,"",LEFT(IF(K39="","",IFERROR(INDEX('Raw lists'!$A$2:$A$32,MATCH(K39,'Raw lists'!$A$2:$A$32,0))&amp;" / ",""))&amp;IF(L39="","",IFERROR(INDEX('Raw lists'!$A$2:$A$32,MATCH(L39,'Raw lists'!$A$2:$A$32,0))&amp;" / ",""))&amp;IF(M39="","",IFERROR(INDEX('Raw lists'!$A$2:$A$32,MATCH(M39,'Raw lists'!$A$2:$A$32,0))&amp;" / ","")),LEN(IF(K39="","",IFERROR(INDEX('Raw lists'!$A$2:$A$32,MATCH(K39,'Raw lists'!$A$2:$A$32,0))&amp;" / ",""))&amp;IF(L39="","",IFERROR(INDEX('Raw lists'!$A$2:$A$32,MATCH(L39,'Raw lists'!$A$2:$A$32,0))&amp;" / ",""))&amp;IF(M39="","",IFERROR(INDEX('Raw lists'!$A$2:$A$32,MATCH(M39,'Raw lists'!$A$2:$A$32,0))&amp;" / ","")))-3))</f>
        <v/>
      </c>
      <c r="D39" s="6" t="str">
        <f aca="false">IF(LEN(IF(K39="","",IFERROR(INDEX('Raw lists'!$B$2:$B$29,MATCH(K39,'Raw lists'!$B$2:$B$29,0))&amp;" / ",""))&amp;IF(L39="","",IFERROR(INDEX('Raw lists'!$B$2:$B$29,MATCH(L39,'Raw lists'!$B$2:$B$29,0))&amp;" / ",""))&amp;IF(M39="","",IFERROR(INDEX('Raw lists'!$B$2:$B$29,MATCH(M39,'Raw lists'!$B$2:$B$29,0))&amp;" / ","")))=0,"",LEFT(IF(K39="","",IFERROR(INDEX('Raw lists'!$B$2:$B$29,MATCH(K39,'Raw lists'!$B$2:$B$29,0))&amp;" / ",""))&amp;IF(L39="","",IFERROR(INDEX('Raw lists'!$B$2:$B$29,MATCH(L39,'Raw lists'!$B$2:$B$29,0))&amp;" / ",""))&amp;IF(M39="","",IFERROR(INDEX('Raw lists'!$B$2:$B$29,MATCH(M39,'Raw lists'!$B$2:$B$29,0))&amp;" / ","")),LEN(IF(K39="","",IFERROR(INDEX('Raw lists'!$B$2:$B$29,MATCH(K39,'Raw lists'!$B$2:$B$29,0))&amp;" / ",""))&amp;IF(L39="","",IFERROR(INDEX('Raw lists'!$B$2:$B$29,MATCH(L39,'Raw lists'!$B$2:$B$29,0))&amp;" / ",""))&amp;IF(M39="","",IFERROR(INDEX('Raw lists'!$B$2:$B$29,MATCH(M39,'Raw lists'!$B$2:$B$29,0))&amp;" / ","")))-3))</f>
        <v/>
      </c>
      <c r="E39" s="6" t="str">
        <f aca="false">IF(LEN(IF(K39="","",IFERROR(INDEX('Raw lists'!$C$2:$C$23,MATCH(K39,'Raw lists'!$C$2:$C$23,0))&amp;" / ",""))&amp;IF(L39="","",IFERROR(INDEX('Raw lists'!$C$2:$C$23,MATCH(L39,'Raw lists'!$C$2:$C$23,0))&amp;" / ",""))&amp;IF(M39="","",IFERROR(INDEX('Raw lists'!$C$2:$C$23,MATCH(M39,'Raw lists'!$C$2:$C$23,0))&amp;" / ","")))=0,"",LEFT(IF(K39="","",IFERROR(INDEX('Raw lists'!$C$2:$C$23,MATCH(K39,'Raw lists'!$C$2:$C$23,0))&amp;" / ",""))&amp;IF(L39="","",IFERROR(INDEX('Raw lists'!$C$2:$C$23,MATCH(L39,'Raw lists'!$C$2:$C$23,0))&amp;" / ",""))&amp;IF(M39="","",IFERROR(INDEX('Raw lists'!$C$2:$C$23,MATCH(M39,'Raw lists'!$C$2:$C$23,0))&amp;" / ","")),LEN(IF(K39="","",IFERROR(INDEX('Raw lists'!$C$2:$C$23,MATCH(K39,'Raw lists'!$C$2:$C$23,0))&amp;" / ",""))&amp;IF(L39="","",IFERROR(INDEX('Raw lists'!$C$2:$C$23,MATCH(L39,'Raw lists'!$C$2:$C$23,0))&amp;" / ",""))&amp;IF(M39="","",IFERROR(INDEX('Raw lists'!$C$2:$C$23,MATCH(M39,'Raw lists'!$C$2:$C$23,0))&amp;" / ","")))-3))</f>
        <v/>
      </c>
      <c r="F39" s="4" t="s">
        <v>133</v>
      </c>
      <c r="G39" s="6" t="s">
        <v>142</v>
      </c>
      <c r="H39" s="4" t="n">
        <f aca="false">COUNTIF(C39:E39,"?*")</f>
        <v>0</v>
      </c>
      <c r="I39" s="7" t="str">
        <f aca="false">IF(H39=0,"None",IF(H39=3,"All three",IF(H39=1,"Only "&amp;TRIM(IF(C39&lt;&gt;"","Gemini ","")&amp;IF(D39&lt;&gt;"","RAKE ","")&amp;IF(E39&lt;&gt;"","YAKE","")),SUBSTITUTE(TRIM(IF(C39&lt;&gt;"","Gemini ","")&amp;IF(D39&lt;&gt;"","RAKE ","")&amp;IF(E39&lt;&gt;"","YAKE",""))," "," + "))))</f>
        <v>None</v>
      </c>
      <c r="K39" s="8" t="s">
        <v>141</v>
      </c>
      <c r="L39" s="8"/>
      <c r="M39" s="8"/>
    </row>
    <row r="40" customFormat="false" ht="15" hidden="false" customHeight="false" outlineLevel="0" collapsed="false">
      <c r="A40" s="4" t="n">
        <v>39</v>
      </c>
      <c r="B40" s="5" t="s">
        <v>143</v>
      </c>
      <c r="C40" s="6" t="str">
        <f aca="false">IF(LEN(IF(K40="","",IFERROR(INDEX('Raw lists'!$A$2:$A$32,MATCH(K40,'Raw lists'!$A$2:$A$32,0))&amp;" / ",""))&amp;IF(L40="","",IFERROR(INDEX('Raw lists'!$A$2:$A$32,MATCH(L40,'Raw lists'!$A$2:$A$32,0))&amp;" / ",""))&amp;IF(M40="","",IFERROR(INDEX('Raw lists'!$A$2:$A$32,MATCH(M40,'Raw lists'!$A$2:$A$32,0))&amp;" / ","")))=0,"",LEFT(IF(K40="","",IFERROR(INDEX('Raw lists'!$A$2:$A$32,MATCH(K40,'Raw lists'!$A$2:$A$32,0))&amp;" / ",""))&amp;IF(L40="","",IFERROR(INDEX('Raw lists'!$A$2:$A$32,MATCH(L40,'Raw lists'!$A$2:$A$32,0))&amp;" / ",""))&amp;IF(M40="","",IFERROR(INDEX('Raw lists'!$A$2:$A$32,MATCH(M40,'Raw lists'!$A$2:$A$32,0))&amp;" / ","")),LEN(IF(K40="","",IFERROR(INDEX('Raw lists'!$A$2:$A$32,MATCH(K40,'Raw lists'!$A$2:$A$32,0))&amp;" / ",""))&amp;IF(L40="","",IFERROR(INDEX('Raw lists'!$A$2:$A$32,MATCH(L40,'Raw lists'!$A$2:$A$32,0))&amp;" / ",""))&amp;IF(M40="","",IFERROR(INDEX('Raw lists'!$A$2:$A$32,MATCH(M40,'Raw lists'!$A$2:$A$32,0))&amp;" / ","")))-3))</f>
        <v/>
      </c>
      <c r="D40" s="6" t="str">
        <f aca="false">IF(LEN(IF(K40="","",IFERROR(INDEX('Raw lists'!$B$2:$B$29,MATCH(K40,'Raw lists'!$B$2:$B$29,0))&amp;" / ",""))&amp;IF(L40="","",IFERROR(INDEX('Raw lists'!$B$2:$B$29,MATCH(L40,'Raw lists'!$B$2:$B$29,0))&amp;" / ",""))&amp;IF(M40="","",IFERROR(INDEX('Raw lists'!$B$2:$B$29,MATCH(M40,'Raw lists'!$B$2:$B$29,0))&amp;" / ","")))=0,"",LEFT(IF(K40="","",IFERROR(INDEX('Raw lists'!$B$2:$B$29,MATCH(K40,'Raw lists'!$B$2:$B$29,0))&amp;" / ",""))&amp;IF(L40="","",IFERROR(INDEX('Raw lists'!$B$2:$B$29,MATCH(L40,'Raw lists'!$B$2:$B$29,0))&amp;" / ",""))&amp;IF(M40="","",IFERROR(INDEX('Raw lists'!$B$2:$B$29,MATCH(M40,'Raw lists'!$B$2:$B$29,0))&amp;" / ","")),LEN(IF(K40="","",IFERROR(INDEX('Raw lists'!$B$2:$B$29,MATCH(K40,'Raw lists'!$B$2:$B$29,0))&amp;" / ",""))&amp;IF(L40="","",IFERROR(INDEX('Raw lists'!$B$2:$B$29,MATCH(L40,'Raw lists'!$B$2:$B$29,0))&amp;" / ",""))&amp;IF(M40="","",IFERROR(INDEX('Raw lists'!$B$2:$B$29,MATCH(M40,'Raw lists'!$B$2:$B$29,0))&amp;" / ","")))-3))</f>
        <v/>
      </c>
      <c r="E40" s="6" t="str">
        <f aca="false">IF(LEN(IF(K40="","",IFERROR(INDEX('Raw lists'!$C$2:$C$23,MATCH(K40,'Raw lists'!$C$2:$C$23,0))&amp;" / ",""))&amp;IF(L40="","",IFERROR(INDEX('Raw lists'!$C$2:$C$23,MATCH(L40,'Raw lists'!$C$2:$C$23,0))&amp;" / ",""))&amp;IF(M40="","",IFERROR(INDEX('Raw lists'!$C$2:$C$23,MATCH(M40,'Raw lists'!$C$2:$C$23,0))&amp;" / ","")))=0,"",LEFT(IF(K40="","",IFERROR(INDEX('Raw lists'!$C$2:$C$23,MATCH(K40,'Raw lists'!$C$2:$C$23,0))&amp;" / ",""))&amp;IF(L40="","",IFERROR(INDEX('Raw lists'!$C$2:$C$23,MATCH(L40,'Raw lists'!$C$2:$C$23,0))&amp;" / ",""))&amp;IF(M40="","",IFERROR(INDEX('Raw lists'!$C$2:$C$23,MATCH(M40,'Raw lists'!$C$2:$C$23,0))&amp;" / ","")),LEN(IF(K40="","",IFERROR(INDEX('Raw lists'!$C$2:$C$23,MATCH(K40,'Raw lists'!$C$2:$C$23,0))&amp;" / ",""))&amp;IF(L40="","",IFERROR(INDEX('Raw lists'!$C$2:$C$23,MATCH(L40,'Raw lists'!$C$2:$C$23,0))&amp;" / ",""))&amp;IF(M40="","",IFERROR(INDEX('Raw lists'!$C$2:$C$23,MATCH(M40,'Raw lists'!$C$2:$C$23,0))&amp;" / ","")))-3))</f>
        <v/>
      </c>
      <c r="F40" s="4" t="s">
        <v>133</v>
      </c>
      <c r="G40" s="6" t="s">
        <v>144</v>
      </c>
      <c r="H40" s="4" t="n">
        <f aca="false">COUNTIF(C40:E40,"?*")</f>
        <v>0</v>
      </c>
      <c r="I40" s="7" t="str">
        <f aca="false">IF(H40=0,"None",IF(H40=3,"All three",IF(H40=1,"Only "&amp;TRIM(IF(C40&lt;&gt;"","Gemini ","")&amp;IF(D40&lt;&gt;"","RAKE ","")&amp;IF(E40&lt;&gt;"","YAKE","")),SUBSTITUTE(TRIM(IF(C40&lt;&gt;"","Gemini ","")&amp;IF(D40&lt;&gt;"","RAKE ","")&amp;IF(E40&lt;&gt;"","YAKE",""))," "," + "))))</f>
        <v>None</v>
      </c>
      <c r="K40" s="8" t="s">
        <v>143</v>
      </c>
      <c r="L40" s="8"/>
      <c r="M40" s="8"/>
    </row>
    <row r="41" customFormat="false" ht="23.85" hidden="false" customHeight="false" outlineLevel="0" collapsed="false">
      <c r="A41" s="4" t="n">
        <v>40</v>
      </c>
      <c r="B41" s="5" t="s">
        <v>145</v>
      </c>
      <c r="C41" s="6" t="str">
        <f aca="false">IF(LEN(IF(K41="","",IFERROR(INDEX('Raw lists'!$A$2:$A$32,MATCH(K41,'Raw lists'!$A$2:$A$32,0))&amp;" / ",""))&amp;IF(L41="","",IFERROR(INDEX('Raw lists'!$A$2:$A$32,MATCH(L41,'Raw lists'!$A$2:$A$32,0))&amp;" / ",""))&amp;IF(M41="","",IFERROR(INDEX('Raw lists'!$A$2:$A$32,MATCH(M41,'Raw lists'!$A$2:$A$32,0))&amp;" / ","")))=0,"",LEFT(IF(K41="","",IFERROR(INDEX('Raw lists'!$A$2:$A$32,MATCH(K41,'Raw lists'!$A$2:$A$32,0))&amp;" / ",""))&amp;IF(L41="","",IFERROR(INDEX('Raw lists'!$A$2:$A$32,MATCH(L41,'Raw lists'!$A$2:$A$32,0))&amp;" / ",""))&amp;IF(M41="","",IFERROR(INDEX('Raw lists'!$A$2:$A$32,MATCH(M41,'Raw lists'!$A$2:$A$32,0))&amp;" / ","")),LEN(IF(K41="","",IFERROR(INDEX('Raw lists'!$A$2:$A$32,MATCH(K41,'Raw lists'!$A$2:$A$32,0))&amp;" / ",""))&amp;IF(L41="","",IFERROR(INDEX('Raw lists'!$A$2:$A$32,MATCH(L41,'Raw lists'!$A$2:$A$32,0))&amp;" / ",""))&amp;IF(M41="","",IFERROR(INDEX('Raw lists'!$A$2:$A$32,MATCH(M41,'Raw lists'!$A$2:$A$32,0))&amp;" / ","")))-3))</f>
        <v/>
      </c>
      <c r="D41" s="6" t="str">
        <f aca="false">IF(LEN(IF(K41="","",IFERROR(INDEX('Raw lists'!$B$2:$B$29,MATCH(K41,'Raw lists'!$B$2:$B$29,0))&amp;" / ",""))&amp;IF(L41="","",IFERROR(INDEX('Raw lists'!$B$2:$B$29,MATCH(L41,'Raw lists'!$B$2:$B$29,0))&amp;" / ",""))&amp;IF(M41="","",IFERROR(INDEX('Raw lists'!$B$2:$B$29,MATCH(M41,'Raw lists'!$B$2:$B$29,0))&amp;" / ","")))=0,"",LEFT(IF(K41="","",IFERROR(INDEX('Raw lists'!$B$2:$B$29,MATCH(K41,'Raw lists'!$B$2:$B$29,0))&amp;" / ",""))&amp;IF(L41="","",IFERROR(INDEX('Raw lists'!$B$2:$B$29,MATCH(L41,'Raw lists'!$B$2:$B$29,0))&amp;" / ",""))&amp;IF(M41="","",IFERROR(INDEX('Raw lists'!$B$2:$B$29,MATCH(M41,'Raw lists'!$B$2:$B$29,0))&amp;" / ","")),LEN(IF(K41="","",IFERROR(INDEX('Raw lists'!$B$2:$B$29,MATCH(K41,'Raw lists'!$B$2:$B$29,0))&amp;" / ",""))&amp;IF(L41="","",IFERROR(INDEX('Raw lists'!$B$2:$B$29,MATCH(L41,'Raw lists'!$B$2:$B$29,0))&amp;" / ",""))&amp;IF(M41="","",IFERROR(INDEX('Raw lists'!$B$2:$B$29,MATCH(M41,'Raw lists'!$B$2:$B$29,0))&amp;" / ","")))-3))</f>
        <v/>
      </c>
      <c r="E41" s="6" t="str">
        <f aca="false">IF(LEN(IF(K41="","",IFERROR(INDEX('Raw lists'!$C$2:$C$23,MATCH(K41,'Raw lists'!$C$2:$C$23,0))&amp;" / ",""))&amp;IF(L41="","",IFERROR(INDEX('Raw lists'!$C$2:$C$23,MATCH(L41,'Raw lists'!$C$2:$C$23,0))&amp;" / ",""))&amp;IF(M41="","",IFERROR(INDEX('Raw lists'!$C$2:$C$23,MATCH(M41,'Raw lists'!$C$2:$C$23,0))&amp;" / ","")))=0,"",LEFT(IF(K41="","",IFERROR(INDEX('Raw lists'!$C$2:$C$23,MATCH(K41,'Raw lists'!$C$2:$C$23,0))&amp;" / ",""))&amp;IF(L41="","",IFERROR(INDEX('Raw lists'!$C$2:$C$23,MATCH(L41,'Raw lists'!$C$2:$C$23,0))&amp;" / ",""))&amp;IF(M41="","",IFERROR(INDEX('Raw lists'!$C$2:$C$23,MATCH(M41,'Raw lists'!$C$2:$C$23,0))&amp;" / ","")),LEN(IF(K41="","",IFERROR(INDEX('Raw lists'!$C$2:$C$23,MATCH(K41,'Raw lists'!$C$2:$C$23,0))&amp;" / ",""))&amp;IF(L41="","",IFERROR(INDEX('Raw lists'!$C$2:$C$23,MATCH(L41,'Raw lists'!$C$2:$C$23,0))&amp;" / ",""))&amp;IF(M41="","",IFERROR(INDEX('Raw lists'!$C$2:$C$23,MATCH(M41,'Raw lists'!$C$2:$C$23,0))&amp;" / ","")))-3))</f>
        <v/>
      </c>
      <c r="F41" s="4" t="s">
        <v>133</v>
      </c>
      <c r="G41" s="6" t="s">
        <v>144</v>
      </c>
      <c r="H41" s="4" t="n">
        <f aca="false">COUNTIF(C41:E41,"?*")</f>
        <v>0</v>
      </c>
      <c r="I41" s="7" t="str">
        <f aca="false">IF(H41=0,"None",IF(H41=3,"All three",IF(H41=1,"Only "&amp;TRIM(IF(C41&lt;&gt;"","Gemini ","")&amp;IF(D41&lt;&gt;"","RAKE ","")&amp;IF(E41&lt;&gt;"","YAKE","")),SUBSTITUTE(TRIM(IF(C41&lt;&gt;"","Gemini ","")&amp;IF(D41&lt;&gt;"","RAKE ","")&amp;IF(E41&lt;&gt;"","YAKE",""))," "," + "))))</f>
        <v>None</v>
      </c>
      <c r="K41" s="8" t="s">
        <v>146</v>
      </c>
      <c r="L41" s="8" t="s">
        <v>147</v>
      </c>
      <c r="M41" s="8"/>
    </row>
    <row r="42" customFormat="false" ht="23.85" hidden="false" customHeight="false" outlineLevel="0" collapsed="false">
      <c r="A42" s="4" t="n">
        <v>41</v>
      </c>
      <c r="B42" s="5" t="s">
        <v>148</v>
      </c>
      <c r="C42" s="6" t="str">
        <f aca="false">IF(LEN(IF(K42="","",IFERROR(INDEX('Raw lists'!$A$2:$A$32,MATCH(K42,'Raw lists'!$A$2:$A$32,0))&amp;" / ",""))&amp;IF(L42="","",IFERROR(INDEX('Raw lists'!$A$2:$A$32,MATCH(L42,'Raw lists'!$A$2:$A$32,0))&amp;" / ",""))&amp;IF(M42="","",IFERROR(INDEX('Raw lists'!$A$2:$A$32,MATCH(M42,'Raw lists'!$A$2:$A$32,0))&amp;" / ","")))=0,"",LEFT(IF(K42="","",IFERROR(INDEX('Raw lists'!$A$2:$A$32,MATCH(K42,'Raw lists'!$A$2:$A$32,0))&amp;" / ",""))&amp;IF(L42="","",IFERROR(INDEX('Raw lists'!$A$2:$A$32,MATCH(L42,'Raw lists'!$A$2:$A$32,0))&amp;" / ",""))&amp;IF(M42="","",IFERROR(INDEX('Raw lists'!$A$2:$A$32,MATCH(M42,'Raw lists'!$A$2:$A$32,0))&amp;" / ","")),LEN(IF(K42="","",IFERROR(INDEX('Raw lists'!$A$2:$A$32,MATCH(K42,'Raw lists'!$A$2:$A$32,0))&amp;" / ",""))&amp;IF(L42="","",IFERROR(INDEX('Raw lists'!$A$2:$A$32,MATCH(L42,'Raw lists'!$A$2:$A$32,0))&amp;" / ",""))&amp;IF(M42="","",IFERROR(INDEX('Raw lists'!$A$2:$A$32,MATCH(M42,'Raw lists'!$A$2:$A$32,0))&amp;" / ","")))-3))</f>
        <v/>
      </c>
      <c r="D42" s="6" t="str">
        <f aca="false">IF(LEN(IF(K42="","",IFERROR(INDEX('Raw lists'!$B$2:$B$29,MATCH(K42,'Raw lists'!$B$2:$B$29,0))&amp;" / ",""))&amp;IF(L42="","",IFERROR(INDEX('Raw lists'!$B$2:$B$29,MATCH(L42,'Raw lists'!$B$2:$B$29,0))&amp;" / ",""))&amp;IF(M42="","",IFERROR(INDEX('Raw lists'!$B$2:$B$29,MATCH(M42,'Raw lists'!$B$2:$B$29,0))&amp;" / ","")))=0,"",LEFT(IF(K42="","",IFERROR(INDEX('Raw lists'!$B$2:$B$29,MATCH(K42,'Raw lists'!$B$2:$B$29,0))&amp;" / ",""))&amp;IF(L42="","",IFERROR(INDEX('Raw lists'!$B$2:$B$29,MATCH(L42,'Raw lists'!$B$2:$B$29,0))&amp;" / ",""))&amp;IF(M42="","",IFERROR(INDEX('Raw lists'!$B$2:$B$29,MATCH(M42,'Raw lists'!$B$2:$B$29,0))&amp;" / ","")),LEN(IF(K42="","",IFERROR(INDEX('Raw lists'!$B$2:$B$29,MATCH(K42,'Raw lists'!$B$2:$B$29,0))&amp;" / ",""))&amp;IF(L42="","",IFERROR(INDEX('Raw lists'!$B$2:$B$29,MATCH(L42,'Raw lists'!$B$2:$B$29,0))&amp;" / ",""))&amp;IF(M42="","",IFERROR(INDEX('Raw lists'!$B$2:$B$29,MATCH(M42,'Raw lists'!$B$2:$B$29,0))&amp;" / ","")))-3))</f>
        <v/>
      </c>
      <c r="E42" s="6" t="str">
        <f aca="false">IF(LEN(IF(K42="","",IFERROR(INDEX('Raw lists'!$C$2:$C$23,MATCH(K42,'Raw lists'!$C$2:$C$23,0))&amp;" / ",""))&amp;IF(L42="","",IFERROR(INDEX('Raw lists'!$C$2:$C$23,MATCH(L42,'Raw lists'!$C$2:$C$23,0))&amp;" / ",""))&amp;IF(M42="","",IFERROR(INDEX('Raw lists'!$C$2:$C$23,MATCH(M42,'Raw lists'!$C$2:$C$23,0))&amp;" / ","")))=0,"",LEFT(IF(K42="","",IFERROR(INDEX('Raw lists'!$C$2:$C$23,MATCH(K42,'Raw lists'!$C$2:$C$23,0))&amp;" / ",""))&amp;IF(L42="","",IFERROR(INDEX('Raw lists'!$C$2:$C$23,MATCH(L42,'Raw lists'!$C$2:$C$23,0))&amp;" / ",""))&amp;IF(M42="","",IFERROR(INDEX('Raw lists'!$C$2:$C$23,MATCH(M42,'Raw lists'!$C$2:$C$23,0))&amp;" / ","")),LEN(IF(K42="","",IFERROR(INDEX('Raw lists'!$C$2:$C$23,MATCH(K42,'Raw lists'!$C$2:$C$23,0))&amp;" / ",""))&amp;IF(L42="","",IFERROR(INDEX('Raw lists'!$C$2:$C$23,MATCH(L42,'Raw lists'!$C$2:$C$23,0))&amp;" / ",""))&amp;IF(M42="","",IFERROR(INDEX('Raw lists'!$C$2:$C$23,MATCH(M42,'Raw lists'!$C$2:$C$23,0))&amp;" / ","")))-3))</f>
        <v/>
      </c>
      <c r="F42" s="4" t="s">
        <v>133</v>
      </c>
      <c r="G42" s="6" t="s">
        <v>144</v>
      </c>
      <c r="H42" s="4" t="n">
        <f aca="false">COUNTIF(C42:E42,"?*")</f>
        <v>0</v>
      </c>
      <c r="I42" s="7" t="str">
        <f aca="false">IF(H42=0,"None",IF(H42=3,"All three",IF(H42=1,"Only "&amp;TRIM(IF(C42&lt;&gt;"","Gemini ","")&amp;IF(D42&lt;&gt;"","RAKE ","")&amp;IF(E42&lt;&gt;"","YAKE","")),SUBSTITUTE(TRIM(IF(C42&lt;&gt;"","Gemini ","")&amp;IF(D42&lt;&gt;"","RAKE ","")&amp;IF(E42&lt;&gt;"","YAKE",""))," "," + "))))</f>
        <v>None</v>
      </c>
      <c r="K42" s="8" t="s">
        <v>149</v>
      </c>
      <c r="L42" s="8" t="s">
        <v>150</v>
      </c>
      <c r="M42" s="8"/>
    </row>
    <row r="43" customFormat="false" ht="15" hidden="false" customHeight="false" outlineLevel="0" collapsed="false">
      <c r="A43" s="4" t="n">
        <v>42</v>
      </c>
      <c r="B43" s="5" t="s">
        <v>151</v>
      </c>
      <c r="C43" s="6" t="str">
        <f aca="false">IF(LEN(IF(K43="","",IFERROR(INDEX('Raw lists'!$A$2:$A$32,MATCH(K43,'Raw lists'!$A$2:$A$32,0))&amp;" / ",""))&amp;IF(L43="","",IFERROR(INDEX('Raw lists'!$A$2:$A$32,MATCH(L43,'Raw lists'!$A$2:$A$32,0))&amp;" / ",""))&amp;IF(M43="","",IFERROR(INDEX('Raw lists'!$A$2:$A$32,MATCH(M43,'Raw lists'!$A$2:$A$32,0))&amp;" / ","")))=0,"",LEFT(IF(K43="","",IFERROR(INDEX('Raw lists'!$A$2:$A$32,MATCH(K43,'Raw lists'!$A$2:$A$32,0))&amp;" / ",""))&amp;IF(L43="","",IFERROR(INDEX('Raw lists'!$A$2:$A$32,MATCH(L43,'Raw lists'!$A$2:$A$32,0))&amp;" / ",""))&amp;IF(M43="","",IFERROR(INDEX('Raw lists'!$A$2:$A$32,MATCH(M43,'Raw lists'!$A$2:$A$32,0))&amp;" / ","")),LEN(IF(K43="","",IFERROR(INDEX('Raw lists'!$A$2:$A$32,MATCH(K43,'Raw lists'!$A$2:$A$32,0))&amp;" / ",""))&amp;IF(L43="","",IFERROR(INDEX('Raw lists'!$A$2:$A$32,MATCH(L43,'Raw lists'!$A$2:$A$32,0))&amp;" / ",""))&amp;IF(M43="","",IFERROR(INDEX('Raw lists'!$A$2:$A$32,MATCH(M43,'Raw lists'!$A$2:$A$32,0))&amp;" / ","")))-3))</f>
        <v/>
      </c>
      <c r="D43" s="6" t="str">
        <f aca="false">IF(LEN(IF(K43="","",IFERROR(INDEX('Raw lists'!$B$2:$B$29,MATCH(K43,'Raw lists'!$B$2:$B$29,0))&amp;" / ",""))&amp;IF(L43="","",IFERROR(INDEX('Raw lists'!$B$2:$B$29,MATCH(L43,'Raw lists'!$B$2:$B$29,0))&amp;" / ",""))&amp;IF(M43="","",IFERROR(INDEX('Raw lists'!$B$2:$B$29,MATCH(M43,'Raw lists'!$B$2:$B$29,0))&amp;" / ","")))=0,"",LEFT(IF(K43="","",IFERROR(INDEX('Raw lists'!$B$2:$B$29,MATCH(K43,'Raw lists'!$B$2:$B$29,0))&amp;" / ",""))&amp;IF(L43="","",IFERROR(INDEX('Raw lists'!$B$2:$B$29,MATCH(L43,'Raw lists'!$B$2:$B$29,0))&amp;" / ",""))&amp;IF(M43="","",IFERROR(INDEX('Raw lists'!$B$2:$B$29,MATCH(M43,'Raw lists'!$B$2:$B$29,0))&amp;" / ","")),LEN(IF(K43="","",IFERROR(INDEX('Raw lists'!$B$2:$B$29,MATCH(K43,'Raw lists'!$B$2:$B$29,0))&amp;" / ",""))&amp;IF(L43="","",IFERROR(INDEX('Raw lists'!$B$2:$B$29,MATCH(L43,'Raw lists'!$B$2:$B$29,0))&amp;" / ",""))&amp;IF(M43="","",IFERROR(INDEX('Raw lists'!$B$2:$B$29,MATCH(M43,'Raw lists'!$B$2:$B$29,0))&amp;" / ","")))-3))</f>
        <v>Floyd – Warshall</v>
      </c>
      <c r="E43" s="6" t="str">
        <f aca="false">IF(LEN(IF(K43="","",IFERROR(INDEX('Raw lists'!$C$2:$C$23,MATCH(K43,'Raw lists'!$C$2:$C$23,0))&amp;" / ",""))&amp;IF(L43="","",IFERROR(INDEX('Raw lists'!$C$2:$C$23,MATCH(L43,'Raw lists'!$C$2:$C$23,0))&amp;" / ",""))&amp;IF(M43="","",IFERROR(INDEX('Raw lists'!$C$2:$C$23,MATCH(M43,'Raw lists'!$C$2:$C$23,0))&amp;" / ","")))=0,"",LEFT(IF(K43="","",IFERROR(INDEX('Raw lists'!$C$2:$C$23,MATCH(K43,'Raw lists'!$C$2:$C$23,0))&amp;" / ",""))&amp;IF(L43="","",IFERROR(INDEX('Raw lists'!$C$2:$C$23,MATCH(L43,'Raw lists'!$C$2:$C$23,0))&amp;" / ",""))&amp;IF(M43="","",IFERROR(INDEX('Raw lists'!$C$2:$C$23,MATCH(M43,'Raw lists'!$C$2:$C$23,0))&amp;" / ","")),LEN(IF(K43="","",IFERROR(INDEX('Raw lists'!$C$2:$C$23,MATCH(K43,'Raw lists'!$C$2:$C$23,0))&amp;" / ",""))&amp;IF(L43="","",IFERROR(INDEX('Raw lists'!$C$2:$C$23,MATCH(L43,'Raw lists'!$C$2:$C$23,0))&amp;" / ",""))&amp;IF(M43="","",IFERROR(INDEX('Raw lists'!$C$2:$C$23,MATCH(M43,'Raw lists'!$C$2:$C$23,0))&amp;" / ","")))-3))</f>
        <v/>
      </c>
      <c r="F43" s="4" t="s">
        <v>133</v>
      </c>
      <c r="G43" s="6" t="s">
        <v>144</v>
      </c>
      <c r="H43" s="4" t="n">
        <f aca="false">COUNTIF(C43:E43,"?*")</f>
        <v>1</v>
      </c>
      <c r="I43" s="7" t="str">
        <f aca="false">IF(H43=0,"None",IF(H43=3,"All three",IF(H43=1,"Only "&amp;TRIM(IF(C43&lt;&gt;"","Gemini ","")&amp;IF(D43&lt;&gt;"","RAKE ","")&amp;IF(E43&lt;&gt;"","YAKE","")),SUBSTITUTE(TRIM(IF(C43&lt;&gt;"","Gemini ","")&amp;IF(D43&lt;&gt;"","RAKE ","")&amp;IF(E43&lt;&gt;"","YAKE",""))," "," + "))))</f>
        <v>Only RAKE</v>
      </c>
      <c r="K43" s="8" t="s">
        <v>152</v>
      </c>
      <c r="L43" s="8"/>
      <c r="M43" s="8"/>
    </row>
    <row r="44" customFormat="false" ht="15" hidden="false" customHeight="false" outlineLevel="0" collapsed="false">
      <c r="A44" s="4" t="n">
        <v>43</v>
      </c>
      <c r="B44" s="5" t="s">
        <v>153</v>
      </c>
      <c r="C44" s="6" t="str">
        <f aca="false">IF(LEN(IF(K44="","",IFERROR(INDEX('Raw lists'!$A$2:$A$32,MATCH(K44,'Raw lists'!$A$2:$A$32,0))&amp;" / ",""))&amp;IF(L44="","",IFERROR(INDEX('Raw lists'!$A$2:$A$32,MATCH(L44,'Raw lists'!$A$2:$A$32,0))&amp;" / ",""))&amp;IF(M44="","",IFERROR(INDEX('Raw lists'!$A$2:$A$32,MATCH(M44,'Raw lists'!$A$2:$A$32,0))&amp;" / ","")))=0,"",LEFT(IF(K44="","",IFERROR(INDEX('Raw lists'!$A$2:$A$32,MATCH(K44,'Raw lists'!$A$2:$A$32,0))&amp;" / ",""))&amp;IF(L44="","",IFERROR(INDEX('Raw lists'!$A$2:$A$32,MATCH(L44,'Raw lists'!$A$2:$A$32,0))&amp;" / ",""))&amp;IF(M44="","",IFERROR(INDEX('Raw lists'!$A$2:$A$32,MATCH(M44,'Raw lists'!$A$2:$A$32,0))&amp;" / ","")),LEN(IF(K44="","",IFERROR(INDEX('Raw lists'!$A$2:$A$32,MATCH(K44,'Raw lists'!$A$2:$A$32,0))&amp;" / ",""))&amp;IF(L44="","",IFERROR(INDEX('Raw lists'!$A$2:$A$32,MATCH(L44,'Raw lists'!$A$2:$A$32,0))&amp;" / ",""))&amp;IF(M44="","",IFERROR(INDEX('Raw lists'!$A$2:$A$32,MATCH(M44,'Raw lists'!$A$2:$A$32,0))&amp;" / ","")))-3))</f>
        <v/>
      </c>
      <c r="D44" s="6" t="str">
        <f aca="false">IF(LEN(IF(K44="","",IFERROR(INDEX('Raw lists'!$B$2:$B$29,MATCH(K44,'Raw lists'!$B$2:$B$29,0))&amp;" / ",""))&amp;IF(L44="","",IFERROR(INDEX('Raw lists'!$B$2:$B$29,MATCH(L44,'Raw lists'!$B$2:$B$29,0))&amp;" / ",""))&amp;IF(M44="","",IFERROR(INDEX('Raw lists'!$B$2:$B$29,MATCH(M44,'Raw lists'!$B$2:$B$29,0))&amp;" / ","")))=0,"",LEFT(IF(K44="","",IFERROR(INDEX('Raw lists'!$B$2:$B$29,MATCH(K44,'Raw lists'!$B$2:$B$29,0))&amp;" / ",""))&amp;IF(L44="","",IFERROR(INDEX('Raw lists'!$B$2:$B$29,MATCH(L44,'Raw lists'!$B$2:$B$29,0))&amp;" / ",""))&amp;IF(M44="","",IFERROR(INDEX('Raw lists'!$B$2:$B$29,MATCH(M44,'Raw lists'!$B$2:$B$29,0))&amp;" / ","")),LEN(IF(K44="","",IFERROR(INDEX('Raw lists'!$B$2:$B$29,MATCH(K44,'Raw lists'!$B$2:$B$29,0))&amp;" / ",""))&amp;IF(L44="","",IFERROR(INDEX('Raw lists'!$B$2:$B$29,MATCH(L44,'Raw lists'!$B$2:$B$29,0))&amp;" / ",""))&amp;IF(M44="","",IFERROR(INDEX('Raw lists'!$B$2:$B$29,MATCH(M44,'Raw lists'!$B$2:$B$29,0))&amp;" / ","")))-3))</f>
        <v>Alternating Coin Game</v>
      </c>
      <c r="E44" s="6" t="str">
        <f aca="false">IF(LEN(IF(K44="","",IFERROR(INDEX('Raw lists'!$C$2:$C$23,MATCH(K44,'Raw lists'!$C$2:$C$23,0))&amp;" / ",""))&amp;IF(L44="","",IFERROR(INDEX('Raw lists'!$C$2:$C$23,MATCH(L44,'Raw lists'!$C$2:$C$23,0))&amp;" / ",""))&amp;IF(M44="","",IFERROR(INDEX('Raw lists'!$C$2:$C$23,MATCH(M44,'Raw lists'!$C$2:$C$23,0))&amp;" / ","")))=0,"",LEFT(IF(K44="","",IFERROR(INDEX('Raw lists'!$C$2:$C$23,MATCH(K44,'Raw lists'!$C$2:$C$23,0))&amp;" / ",""))&amp;IF(L44="","",IFERROR(INDEX('Raw lists'!$C$2:$C$23,MATCH(L44,'Raw lists'!$C$2:$C$23,0))&amp;" / ",""))&amp;IF(M44="","",IFERROR(INDEX('Raw lists'!$C$2:$C$23,MATCH(M44,'Raw lists'!$C$2:$C$23,0))&amp;" / ","")),LEN(IF(K44="","",IFERROR(INDEX('Raw lists'!$C$2:$C$23,MATCH(K44,'Raw lists'!$C$2:$C$23,0))&amp;" / ",""))&amp;IF(L44="","",IFERROR(INDEX('Raw lists'!$C$2:$C$23,MATCH(L44,'Raw lists'!$C$2:$C$23,0))&amp;" / ",""))&amp;IF(M44="","",IFERROR(INDEX('Raw lists'!$C$2:$C$23,MATCH(M44,'Raw lists'!$C$2:$C$23,0))&amp;" / ","")))-3))</f>
        <v/>
      </c>
      <c r="F44" s="4" t="s">
        <v>133</v>
      </c>
      <c r="G44" s="6" t="s">
        <v>144</v>
      </c>
      <c r="H44" s="4" t="n">
        <f aca="false">COUNTIF(C44:E44,"?*")</f>
        <v>1</v>
      </c>
      <c r="I44" s="7" t="str">
        <f aca="false">IF(H44=0,"None",IF(H44=3,"All three",IF(H44=1,"Only "&amp;TRIM(IF(C44&lt;&gt;"","Gemini ","")&amp;IF(D44&lt;&gt;"","RAKE ","")&amp;IF(E44&lt;&gt;"","YAKE","")),SUBSTITUTE(TRIM(IF(C44&lt;&gt;"","Gemini ","")&amp;IF(D44&lt;&gt;"","RAKE ","")&amp;IF(E44&lt;&gt;"","YAKE",""))," "," + "))))</f>
        <v>Only RAKE</v>
      </c>
      <c r="K44" s="8" t="s">
        <v>154</v>
      </c>
      <c r="L44" s="8"/>
      <c r="M44" s="8"/>
    </row>
    <row r="45" customFormat="false" ht="15" hidden="false" customHeight="false" outlineLevel="0" collapsed="false">
      <c r="A45" s="4" t="n">
        <v>44</v>
      </c>
      <c r="B45" s="5" t="s">
        <v>155</v>
      </c>
      <c r="C45" s="6" t="str">
        <f aca="false">IF(LEN(IF(K45="","",IFERROR(INDEX('Raw lists'!$A$2:$A$32,MATCH(K45,'Raw lists'!$A$2:$A$32,0))&amp;" / ",""))&amp;IF(L45="","",IFERROR(INDEX('Raw lists'!$A$2:$A$32,MATCH(L45,'Raw lists'!$A$2:$A$32,0))&amp;" / ",""))&amp;IF(M45="","",IFERROR(INDEX('Raw lists'!$A$2:$A$32,MATCH(M45,'Raw lists'!$A$2:$A$32,0))&amp;" / ","")))=0,"",LEFT(IF(K45="","",IFERROR(INDEX('Raw lists'!$A$2:$A$32,MATCH(K45,'Raw lists'!$A$2:$A$32,0))&amp;" / ",""))&amp;IF(L45="","",IFERROR(INDEX('Raw lists'!$A$2:$A$32,MATCH(L45,'Raw lists'!$A$2:$A$32,0))&amp;" / ",""))&amp;IF(M45="","",IFERROR(INDEX('Raw lists'!$A$2:$A$32,MATCH(M45,'Raw lists'!$A$2:$A$32,0))&amp;" / ","")),LEN(IF(K45="","",IFERROR(INDEX('Raw lists'!$A$2:$A$32,MATCH(K45,'Raw lists'!$A$2:$A$32,0))&amp;" / ",""))&amp;IF(L45="","",IFERROR(INDEX('Raw lists'!$A$2:$A$32,MATCH(L45,'Raw lists'!$A$2:$A$32,0))&amp;" / ",""))&amp;IF(M45="","",IFERROR(INDEX('Raw lists'!$A$2:$A$32,MATCH(M45,'Raw lists'!$A$2:$A$32,0))&amp;" / ","")))-3))</f>
        <v/>
      </c>
      <c r="D45" s="6" t="str">
        <f aca="false">IF(LEN(IF(K45="","",IFERROR(INDEX('Raw lists'!$B$2:$B$29,MATCH(K45,'Raw lists'!$B$2:$B$29,0))&amp;" / ",""))&amp;IF(L45="","",IFERROR(INDEX('Raw lists'!$B$2:$B$29,MATCH(L45,'Raw lists'!$B$2:$B$29,0))&amp;" / ",""))&amp;IF(M45="","",IFERROR(INDEX('Raw lists'!$B$2:$B$29,MATCH(M45,'Raw lists'!$B$2:$B$29,0))&amp;" / ","")))=0,"",LEFT(IF(K45="","",IFERROR(INDEX('Raw lists'!$B$2:$B$29,MATCH(K45,'Raw lists'!$B$2:$B$29,0))&amp;" / ",""))&amp;IF(L45="","",IFERROR(INDEX('Raw lists'!$B$2:$B$29,MATCH(L45,'Raw lists'!$B$2:$B$29,0))&amp;" / ",""))&amp;IF(M45="","",IFERROR(INDEX('Raw lists'!$B$2:$B$29,MATCH(M45,'Raw lists'!$B$2:$B$29,0))&amp;" / ","")),LEN(IF(K45="","",IFERROR(INDEX('Raw lists'!$B$2:$B$29,MATCH(K45,'Raw lists'!$B$2:$B$29,0))&amp;" / ",""))&amp;IF(L45="","",IFERROR(INDEX('Raw lists'!$B$2:$B$29,MATCH(L45,'Raw lists'!$B$2:$B$29,0))&amp;" / ",""))&amp;IF(M45="","",IFERROR(INDEX('Raw lists'!$B$2:$B$29,MATCH(M45,'Raw lists'!$B$2:$B$29,0))&amp;" / ","")))-3))</f>
        <v/>
      </c>
      <c r="E45" s="6" t="str">
        <f aca="false">IF(LEN(IF(K45="","",IFERROR(INDEX('Raw lists'!$C$2:$C$23,MATCH(K45,'Raw lists'!$C$2:$C$23,0))&amp;" / ",""))&amp;IF(L45="","",IFERROR(INDEX('Raw lists'!$C$2:$C$23,MATCH(L45,'Raw lists'!$C$2:$C$23,0))&amp;" / ",""))&amp;IF(M45="","",IFERROR(INDEX('Raw lists'!$C$2:$C$23,MATCH(M45,'Raw lists'!$C$2:$C$23,0))&amp;" / ","")))=0,"",LEFT(IF(K45="","",IFERROR(INDEX('Raw lists'!$C$2:$C$23,MATCH(K45,'Raw lists'!$C$2:$C$23,0))&amp;" / ",""))&amp;IF(L45="","",IFERROR(INDEX('Raw lists'!$C$2:$C$23,MATCH(L45,'Raw lists'!$C$2:$C$23,0))&amp;" / ",""))&amp;IF(M45="","",IFERROR(INDEX('Raw lists'!$C$2:$C$23,MATCH(M45,'Raw lists'!$C$2:$C$23,0))&amp;" / ","")),LEN(IF(K45="","",IFERROR(INDEX('Raw lists'!$C$2:$C$23,MATCH(K45,'Raw lists'!$C$2:$C$23,0))&amp;" / ",""))&amp;IF(L45="","",IFERROR(INDEX('Raw lists'!$C$2:$C$23,MATCH(L45,'Raw lists'!$C$2:$C$23,0))&amp;" / ",""))&amp;IF(M45="","",IFERROR(INDEX('Raw lists'!$C$2:$C$23,MATCH(M45,'Raw lists'!$C$2:$C$23,0))&amp;" / ","")))-3))</f>
        <v/>
      </c>
      <c r="F45" s="4" t="s">
        <v>133</v>
      </c>
      <c r="G45" s="6" t="s">
        <v>144</v>
      </c>
      <c r="H45" s="4" t="n">
        <f aca="false">COUNTIF(C45:E45,"?*")</f>
        <v>0</v>
      </c>
      <c r="I45" s="7" t="str">
        <f aca="false">IF(H45=0,"None",IF(H45=3,"All three",IF(H45=1,"Only "&amp;TRIM(IF(C45&lt;&gt;"","Gemini ","")&amp;IF(D45&lt;&gt;"","RAKE ","")&amp;IF(E45&lt;&gt;"","YAKE","")),SUBSTITUTE(TRIM(IF(C45&lt;&gt;"","Gemini ","")&amp;IF(D45&lt;&gt;"","RAKE ","")&amp;IF(E45&lt;&gt;"","YAKE",""))," "," + "))))</f>
        <v>None</v>
      </c>
      <c r="K45" s="8" t="s">
        <v>156</v>
      </c>
      <c r="L45" s="8"/>
      <c r="M45" s="8"/>
    </row>
    <row r="46" customFormat="false" ht="15" hidden="false" customHeight="false" outlineLevel="0" collapsed="false">
      <c r="A46" s="4" t="n">
        <v>45</v>
      </c>
      <c r="B46" s="5" t="s">
        <v>157</v>
      </c>
      <c r="C46" s="6" t="str">
        <f aca="false">IF(LEN(IF(K46="","",IFERROR(INDEX('Raw lists'!$A$2:$A$32,MATCH(K46,'Raw lists'!$A$2:$A$32,0))&amp;" / ",""))&amp;IF(L46="","",IFERROR(INDEX('Raw lists'!$A$2:$A$32,MATCH(L46,'Raw lists'!$A$2:$A$32,0))&amp;" / ",""))&amp;IF(M46="","",IFERROR(INDEX('Raw lists'!$A$2:$A$32,MATCH(M46,'Raw lists'!$A$2:$A$32,0))&amp;" / ","")))=0,"",LEFT(IF(K46="","",IFERROR(INDEX('Raw lists'!$A$2:$A$32,MATCH(K46,'Raw lists'!$A$2:$A$32,0))&amp;" / ",""))&amp;IF(L46="","",IFERROR(INDEX('Raw lists'!$A$2:$A$32,MATCH(L46,'Raw lists'!$A$2:$A$32,0))&amp;" / ",""))&amp;IF(M46="","",IFERROR(INDEX('Raw lists'!$A$2:$A$32,MATCH(M46,'Raw lists'!$A$2:$A$32,0))&amp;" / ","")),LEN(IF(K46="","",IFERROR(INDEX('Raw lists'!$A$2:$A$32,MATCH(K46,'Raw lists'!$A$2:$A$32,0))&amp;" / ",""))&amp;IF(L46="","",IFERROR(INDEX('Raw lists'!$A$2:$A$32,MATCH(L46,'Raw lists'!$A$2:$A$32,0))&amp;" / ",""))&amp;IF(M46="","",IFERROR(INDEX('Raw lists'!$A$2:$A$32,MATCH(M46,'Raw lists'!$A$2:$A$32,0))&amp;" / ","")))-3))</f>
        <v/>
      </c>
      <c r="D46" s="6" t="str">
        <f aca="false">IF(LEN(IF(K46="","",IFERROR(INDEX('Raw lists'!$B$2:$B$29,MATCH(K46,'Raw lists'!$B$2:$B$29,0))&amp;" / ",""))&amp;IF(L46="","",IFERROR(INDEX('Raw lists'!$B$2:$B$29,MATCH(L46,'Raw lists'!$B$2:$B$29,0))&amp;" / ",""))&amp;IF(M46="","",IFERROR(INDEX('Raw lists'!$B$2:$B$29,MATCH(M46,'Raw lists'!$B$2:$B$29,0))&amp;" / ","")))=0,"",LEFT(IF(K46="","",IFERROR(INDEX('Raw lists'!$B$2:$B$29,MATCH(K46,'Raw lists'!$B$2:$B$29,0))&amp;" / ",""))&amp;IF(L46="","",IFERROR(INDEX('Raw lists'!$B$2:$B$29,MATCH(L46,'Raw lists'!$B$2:$B$29,0))&amp;" / ",""))&amp;IF(M46="","",IFERROR(INDEX('Raw lists'!$B$2:$B$29,MATCH(M46,'Raw lists'!$B$2:$B$29,0))&amp;" / ","")),LEN(IF(K46="","",IFERROR(INDEX('Raw lists'!$B$2:$B$29,MATCH(K46,'Raw lists'!$B$2:$B$29,0))&amp;" / ",""))&amp;IF(L46="","",IFERROR(INDEX('Raw lists'!$B$2:$B$29,MATCH(L46,'Raw lists'!$B$2:$B$29,0))&amp;" / ",""))&amp;IF(M46="","",IFERROR(INDEX('Raw lists'!$B$2:$B$29,MATCH(M46,'Raw lists'!$B$2:$B$29,0))&amp;" / ","")))-3))</f>
        <v>Bellman – Ford</v>
      </c>
      <c r="E46" s="6" t="str">
        <f aca="false">IF(LEN(IF(K46="","",IFERROR(INDEX('Raw lists'!$C$2:$C$23,MATCH(K46,'Raw lists'!$C$2:$C$23,0))&amp;" / ",""))&amp;IF(L46="","",IFERROR(INDEX('Raw lists'!$C$2:$C$23,MATCH(L46,'Raw lists'!$C$2:$C$23,0))&amp;" / ",""))&amp;IF(M46="","",IFERROR(INDEX('Raw lists'!$C$2:$C$23,MATCH(M46,'Raw lists'!$C$2:$C$23,0))&amp;" / ","")))=0,"",LEFT(IF(K46="","",IFERROR(INDEX('Raw lists'!$C$2:$C$23,MATCH(K46,'Raw lists'!$C$2:$C$23,0))&amp;" / ",""))&amp;IF(L46="","",IFERROR(INDEX('Raw lists'!$C$2:$C$23,MATCH(L46,'Raw lists'!$C$2:$C$23,0))&amp;" / ",""))&amp;IF(M46="","",IFERROR(INDEX('Raw lists'!$C$2:$C$23,MATCH(M46,'Raw lists'!$C$2:$C$23,0))&amp;" / ","")),LEN(IF(K46="","",IFERROR(INDEX('Raw lists'!$C$2:$C$23,MATCH(K46,'Raw lists'!$C$2:$C$23,0))&amp;" / ",""))&amp;IF(L46="","",IFERROR(INDEX('Raw lists'!$C$2:$C$23,MATCH(L46,'Raw lists'!$C$2:$C$23,0))&amp;" / ",""))&amp;IF(M46="","",IFERROR(INDEX('Raw lists'!$C$2:$C$23,MATCH(M46,'Raw lists'!$C$2:$C$23,0))&amp;" / ","")))-3))</f>
        <v/>
      </c>
      <c r="F46" s="4" t="s">
        <v>133</v>
      </c>
      <c r="G46" s="6" t="s">
        <v>144</v>
      </c>
      <c r="H46" s="4" t="n">
        <f aca="false">COUNTIF(C46:E46,"?*")</f>
        <v>1</v>
      </c>
      <c r="I46" s="7" t="str">
        <f aca="false">IF(H46=0,"None",IF(H46=3,"All three",IF(H46=1,"Only "&amp;TRIM(IF(C46&lt;&gt;"","Gemini ","")&amp;IF(D46&lt;&gt;"","RAKE ","")&amp;IF(E46&lt;&gt;"","YAKE","")),SUBSTITUTE(TRIM(IF(C46&lt;&gt;"","Gemini ","")&amp;IF(D46&lt;&gt;"","RAKE ","")&amp;IF(E46&lt;&gt;"","YAKE",""))," "," + "))))</f>
        <v>Only RAKE</v>
      </c>
      <c r="K46" s="8" t="s">
        <v>158</v>
      </c>
      <c r="L46" s="8"/>
      <c r="M46" s="8"/>
    </row>
    <row r="47" customFormat="false" ht="15" hidden="false" customHeight="false" outlineLevel="0" collapsed="false">
      <c r="A47" s="4" t="n">
        <v>46</v>
      </c>
      <c r="B47" s="5" t="s">
        <v>159</v>
      </c>
      <c r="C47" s="6" t="str">
        <f aca="false">IF(LEN(IF(K47="","",IFERROR(INDEX('Raw lists'!$A$2:$A$32,MATCH(K47,'Raw lists'!$A$2:$A$32,0))&amp;" / ",""))&amp;IF(L47="","",IFERROR(INDEX('Raw lists'!$A$2:$A$32,MATCH(L47,'Raw lists'!$A$2:$A$32,0))&amp;" / ",""))&amp;IF(M47="","",IFERROR(INDEX('Raw lists'!$A$2:$A$32,MATCH(M47,'Raw lists'!$A$2:$A$32,0))&amp;" / ","")))=0,"",LEFT(IF(K47="","",IFERROR(INDEX('Raw lists'!$A$2:$A$32,MATCH(K47,'Raw lists'!$A$2:$A$32,0))&amp;" / ",""))&amp;IF(L47="","",IFERROR(INDEX('Raw lists'!$A$2:$A$32,MATCH(L47,'Raw lists'!$A$2:$A$32,0))&amp;" / ",""))&amp;IF(M47="","",IFERROR(INDEX('Raw lists'!$A$2:$A$32,MATCH(M47,'Raw lists'!$A$2:$A$32,0))&amp;" / ","")),LEN(IF(K47="","",IFERROR(INDEX('Raw lists'!$A$2:$A$32,MATCH(K47,'Raw lists'!$A$2:$A$32,0))&amp;" / ",""))&amp;IF(L47="","",IFERROR(INDEX('Raw lists'!$A$2:$A$32,MATCH(L47,'Raw lists'!$A$2:$A$32,0))&amp;" / ",""))&amp;IF(M47="","",IFERROR(INDEX('Raw lists'!$A$2:$A$32,MATCH(M47,'Raw lists'!$A$2:$A$32,0))&amp;" / ","")))-3))</f>
        <v/>
      </c>
      <c r="D47" s="6" t="str">
        <f aca="false">IF(LEN(IF(K47="","",IFERROR(INDEX('Raw lists'!$B$2:$B$29,MATCH(K47,'Raw lists'!$B$2:$B$29,0))&amp;" / ",""))&amp;IF(L47="","",IFERROR(INDEX('Raw lists'!$B$2:$B$29,MATCH(L47,'Raw lists'!$B$2:$B$29,0))&amp;" / ",""))&amp;IF(M47="","",IFERROR(INDEX('Raw lists'!$B$2:$B$29,MATCH(M47,'Raw lists'!$B$2:$B$29,0))&amp;" / ","")))=0,"",LEFT(IF(K47="","",IFERROR(INDEX('Raw lists'!$B$2:$B$29,MATCH(K47,'Raw lists'!$B$2:$B$29,0))&amp;" / ",""))&amp;IF(L47="","",IFERROR(INDEX('Raw lists'!$B$2:$B$29,MATCH(L47,'Raw lists'!$B$2:$B$29,0))&amp;" / ",""))&amp;IF(M47="","",IFERROR(INDEX('Raw lists'!$B$2:$B$29,MATCH(M47,'Raw lists'!$B$2:$B$29,0))&amp;" / ","")),LEN(IF(K47="","",IFERROR(INDEX('Raw lists'!$B$2:$B$29,MATCH(K47,'Raw lists'!$B$2:$B$29,0))&amp;" / ",""))&amp;IF(L47="","",IFERROR(INDEX('Raw lists'!$B$2:$B$29,MATCH(L47,'Raw lists'!$B$2:$B$29,0))&amp;" / ",""))&amp;IF(M47="","",IFERROR(INDEX('Raw lists'!$B$2:$B$29,MATCH(M47,'Raw lists'!$B$2:$B$29,0))&amp;" / ","")))-3))</f>
        <v>DAG Shortest Paths</v>
      </c>
      <c r="E47" s="6" t="str">
        <f aca="false">IF(LEN(IF(K47="","",IFERROR(INDEX('Raw lists'!$C$2:$C$23,MATCH(K47,'Raw lists'!$C$2:$C$23,0))&amp;" / ",""))&amp;IF(L47="","",IFERROR(INDEX('Raw lists'!$C$2:$C$23,MATCH(L47,'Raw lists'!$C$2:$C$23,0))&amp;" / ",""))&amp;IF(M47="","",IFERROR(INDEX('Raw lists'!$C$2:$C$23,MATCH(M47,'Raw lists'!$C$2:$C$23,0))&amp;" / ","")))=0,"",LEFT(IF(K47="","",IFERROR(INDEX('Raw lists'!$C$2:$C$23,MATCH(K47,'Raw lists'!$C$2:$C$23,0))&amp;" / ",""))&amp;IF(L47="","",IFERROR(INDEX('Raw lists'!$C$2:$C$23,MATCH(L47,'Raw lists'!$C$2:$C$23,0))&amp;" / ",""))&amp;IF(M47="","",IFERROR(INDEX('Raw lists'!$C$2:$C$23,MATCH(M47,'Raw lists'!$C$2:$C$23,0))&amp;" / ","")),LEN(IF(K47="","",IFERROR(INDEX('Raw lists'!$C$2:$C$23,MATCH(K47,'Raw lists'!$C$2:$C$23,0))&amp;" / ",""))&amp;IF(L47="","",IFERROR(INDEX('Raw lists'!$C$2:$C$23,MATCH(L47,'Raw lists'!$C$2:$C$23,0))&amp;" / ",""))&amp;IF(M47="","",IFERROR(INDEX('Raw lists'!$C$2:$C$23,MATCH(M47,'Raw lists'!$C$2:$C$23,0))&amp;" / ","")))-3))</f>
        <v/>
      </c>
      <c r="F47" s="4" t="s">
        <v>133</v>
      </c>
      <c r="G47" s="6" t="s">
        <v>144</v>
      </c>
      <c r="H47" s="4" t="n">
        <f aca="false">COUNTIF(C47:E47,"?*")</f>
        <v>1</v>
      </c>
      <c r="I47" s="7" t="str">
        <f aca="false">IF(H47=0,"None",IF(H47=3,"All three",IF(H47=1,"Only "&amp;TRIM(IF(C47&lt;&gt;"","Gemini ","")&amp;IF(D47&lt;&gt;"","RAKE ","")&amp;IF(E47&lt;&gt;"","YAKE","")),SUBSTITUTE(TRIM(IF(C47&lt;&gt;"","Gemini ","")&amp;IF(D47&lt;&gt;"","RAKE ","")&amp;IF(E47&lt;&gt;"","YAKE",""))," "," + "))))</f>
        <v>Only RAKE</v>
      </c>
      <c r="K47" s="8" t="s">
        <v>160</v>
      </c>
      <c r="L47" s="8"/>
      <c r="M47" s="8"/>
    </row>
    <row r="48" customFormat="false" ht="15" hidden="false" customHeight="false" outlineLevel="0" collapsed="false">
      <c r="A48" s="4" t="n">
        <v>47</v>
      </c>
      <c r="B48" s="5" t="s">
        <v>161</v>
      </c>
      <c r="C48" s="6" t="str">
        <f aca="false">IF(LEN(IF(K48="","",IFERROR(INDEX('Raw lists'!$A$2:$A$32,MATCH(K48,'Raw lists'!$A$2:$A$32,0))&amp;" / ",""))&amp;IF(L48="","",IFERROR(INDEX('Raw lists'!$A$2:$A$32,MATCH(L48,'Raw lists'!$A$2:$A$32,0))&amp;" / ",""))&amp;IF(M48="","",IFERROR(INDEX('Raw lists'!$A$2:$A$32,MATCH(M48,'Raw lists'!$A$2:$A$32,0))&amp;" / ","")))=0,"",LEFT(IF(K48="","",IFERROR(INDEX('Raw lists'!$A$2:$A$32,MATCH(K48,'Raw lists'!$A$2:$A$32,0))&amp;" / ",""))&amp;IF(L48="","",IFERROR(INDEX('Raw lists'!$A$2:$A$32,MATCH(L48,'Raw lists'!$A$2:$A$32,0))&amp;" / ",""))&amp;IF(M48="","",IFERROR(INDEX('Raw lists'!$A$2:$A$32,MATCH(M48,'Raw lists'!$A$2:$A$32,0))&amp;" / ","")),LEN(IF(K48="","",IFERROR(INDEX('Raw lists'!$A$2:$A$32,MATCH(K48,'Raw lists'!$A$2:$A$32,0))&amp;" / ",""))&amp;IF(L48="","",IFERROR(INDEX('Raw lists'!$A$2:$A$32,MATCH(L48,'Raw lists'!$A$2:$A$32,0))&amp;" / ",""))&amp;IF(M48="","",IFERROR(INDEX('Raw lists'!$A$2:$A$32,MATCH(M48,'Raw lists'!$A$2:$A$32,0))&amp;" / ","")))-3))</f>
        <v/>
      </c>
      <c r="D48" s="6" t="str">
        <f aca="false">IF(LEN(IF(K48="","",IFERROR(INDEX('Raw lists'!$B$2:$B$29,MATCH(K48,'Raw lists'!$B$2:$B$29,0))&amp;" / ",""))&amp;IF(L48="","",IFERROR(INDEX('Raw lists'!$B$2:$B$29,MATCH(L48,'Raw lists'!$B$2:$B$29,0))&amp;" / ",""))&amp;IF(M48="","",IFERROR(INDEX('Raw lists'!$B$2:$B$29,MATCH(M48,'Raw lists'!$B$2:$B$29,0))&amp;" / ","")))=0,"",LEFT(IF(K48="","",IFERROR(INDEX('Raw lists'!$B$2:$B$29,MATCH(K48,'Raw lists'!$B$2:$B$29,0))&amp;" / ",""))&amp;IF(L48="","",IFERROR(INDEX('Raw lists'!$B$2:$B$29,MATCH(L48,'Raw lists'!$B$2:$B$29,0))&amp;" / ",""))&amp;IF(M48="","",IFERROR(INDEX('Raw lists'!$B$2:$B$29,MATCH(M48,'Raw lists'!$B$2:$B$29,0))&amp;" / ","")),LEN(IF(K48="","",IFERROR(INDEX('Raw lists'!$B$2:$B$29,MATCH(K48,'Raw lists'!$B$2:$B$29,0))&amp;" / ",""))&amp;IF(L48="","",IFERROR(INDEX('Raw lists'!$B$2:$B$29,MATCH(L48,'Raw lists'!$B$2:$B$29,0))&amp;" / ",""))&amp;IF(M48="","",IFERROR(INDEX('Raw lists'!$B$2:$B$29,MATCH(M48,'Raw lists'!$B$2:$B$29,0))&amp;" / ","")))-3))</f>
        <v/>
      </c>
      <c r="E48" s="6" t="str">
        <f aca="false">IF(LEN(IF(K48="","",IFERROR(INDEX('Raw lists'!$C$2:$C$23,MATCH(K48,'Raw lists'!$C$2:$C$23,0))&amp;" / ",""))&amp;IF(L48="","",IFERROR(INDEX('Raw lists'!$C$2:$C$23,MATCH(L48,'Raw lists'!$C$2:$C$23,0))&amp;" / ",""))&amp;IF(M48="","",IFERROR(INDEX('Raw lists'!$C$2:$C$23,MATCH(M48,'Raw lists'!$C$2:$C$23,0))&amp;" / ","")))=0,"",LEFT(IF(K48="","",IFERROR(INDEX('Raw lists'!$C$2:$C$23,MATCH(K48,'Raw lists'!$C$2:$C$23,0))&amp;" / ",""))&amp;IF(L48="","",IFERROR(INDEX('Raw lists'!$C$2:$C$23,MATCH(L48,'Raw lists'!$C$2:$C$23,0))&amp;" / ",""))&amp;IF(M48="","",IFERROR(INDEX('Raw lists'!$C$2:$C$23,MATCH(M48,'Raw lists'!$C$2:$C$23,0))&amp;" / ","")),LEN(IF(K48="","",IFERROR(INDEX('Raw lists'!$C$2:$C$23,MATCH(K48,'Raw lists'!$C$2:$C$23,0))&amp;" / ",""))&amp;IF(L48="","",IFERROR(INDEX('Raw lists'!$C$2:$C$23,MATCH(L48,'Raw lists'!$C$2:$C$23,0))&amp;" / ",""))&amp;IF(M48="","",IFERROR(INDEX('Raw lists'!$C$2:$C$23,MATCH(M48,'Raw lists'!$C$2:$C$23,0))&amp;" / ","")))-3))</f>
        <v/>
      </c>
      <c r="F48" s="4" t="s">
        <v>133</v>
      </c>
      <c r="G48" s="6" t="s">
        <v>144</v>
      </c>
      <c r="H48" s="4" t="n">
        <f aca="false">COUNTIF(C48:E48,"?*")</f>
        <v>0</v>
      </c>
      <c r="I48" s="7" t="str">
        <f aca="false">IF(H48=0,"None",IF(H48=3,"All three",IF(H48=1,"Only "&amp;TRIM(IF(C48&lt;&gt;"","Gemini ","")&amp;IF(D48&lt;&gt;"","RAKE ","")&amp;IF(E48&lt;&gt;"","YAKE","")),SUBSTITUTE(TRIM(IF(C48&lt;&gt;"","Gemini ","")&amp;IF(D48&lt;&gt;"","RAKE ","")&amp;IF(E48&lt;&gt;"","YAKE",""))," "," + "))))</f>
        <v>None</v>
      </c>
      <c r="K48" s="8" t="s">
        <v>162</v>
      </c>
      <c r="L48" s="8"/>
      <c r="M48" s="8"/>
    </row>
    <row r="49" customFormat="false" ht="15" hidden="false" customHeight="false" outlineLevel="0" collapsed="false">
      <c r="A49" s="14" t="n">
        <v>48</v>
      </c>
      <c r="B49" s="15" t="s">
        <v>163</v>
      </c>
      <c r="C49" s="6" t="s">
        <v>164</v>
      </c>
      <c r="D49" s="6" t="s">
        <v>164</v>
      </c>
      <c r="E49" s="6" t="s">
        <v>164</v>
      </c>
      <c r="F49" s="14" t="s">
        <v>165</v>
      </c>
      <c r="G49" s="16" t="s">
        <v>166</v>
      </c>
      <c r="H49" s="14" t="n">
        <f aca="false">COUNTIF(C49:E49,"?*")</f>
        <v>3</v>
      </c>
      <c r="I49" s="17" t="str">
        <f aca="false">IF(H49=0,"None",IF(H49=3,"All three",IF(H49=1,"Only "&amp;TRIM(IF(C49&lt;&gt;"","Gemini ","")&amp;IF(D49&lt;&gt;"","RAKE ","")&amp;IF(E49&lt;&gt;"","YAKE","")),SUBSTITUTE(TRIM(IF(C49&lt;&gt;"","Gemini ","")&amp;IF(D49&lt;&gt;"","RAKE ","")&amp;IF(E49&lt;&gt;"","YAKE",""))," "," + "))))</f>
        <v>All three</v>
      </c>
      <c r="K49" s="8"/>
      <c r="L49" s="8"/>
      <c r="M49" s="8"/>
    </row>
    <row r="50" customFormat="false" ht="15" hidden="false" customHeight="false" outlineLevel="0" collapsed="false">
      <c r="A50" s="14" t="n">
        <v>49</v>
      </c>
      <c r="B50" s="15" t="s">
        <v>163</v>
      </c>
      <c r="C50" s="6" t="s">
        <v>167</v>
      </c>
      <c r="D50" s="6" t="s">
        <v>168</v>
      </c>
      <c r="E50" s="6" t="s">
        <v>167</v>
      </c>
      <c r="F50" s="14" t="s">
        <v>165</v>
      </c>
      <c r="G50" s="16" t="s">
        <v>169</v>
      </c>
      <c r="H50" s="14" t="n">
        <f aca="false">COUNTIF(C50:E50,"?*")</f>
        <v>3</v>
      </c>
      <c r="I50" s="17" t="str">
        <f aca="false">IF(H50=0,"None",IF(H50=3,"All three",IF(H50=1,"Only "&amp;TRIM(IF(C50&lt;&gt;"","Gemini ","")&amp;IF(D50&lt;&gt;"","RAKE ","")&amp;IF(E50&lt;&gt;"","YAKE","")),SUBSTITUTE(TRIM(IF(C50&lt;&gt;"","Gemini ","")&amp;IF(D50&lt;&gt;"","RAKE ","")&amp;IF(E50&lt;&gt;"","YAKE",""))," "," + "))))</f>
        <v>All three</v>
      </c>
      <c r="K50" s="8"/>
      <c r="L50" s="8"/>
      <c r="M50" s="8"/>
    </row>
    <row r="51" customFormat="false" ht="15" hidden="false" customHeight="false" outlineLevel="0" collapsed="false">
      <c r="A51" s="14" t="n">
        <v>50</v>
      </c>
      <c r="B51" s="15" t="s">
        <v>163</v>
      </c>
      <c r="C51" s="6" t="s">
        <v>170</v>
      </c>
      <c r="D51" s="6" t="s">
        <v>170</v>
      </c>
      <c r="E51" s="6" t="s">
        <v>170</v>
      </c>
      <c r="F51" s="14" t="s">
        <v>165</v>
      </c>
      <c r="G51" s="16" t="s">
        <v>169</v>
      </c>
      <c r="H51" s="14" t="n">
        <f aca="false">COUNTIF(C51:E51,"?*")</f>
        <v>3</v>
      </c>
      <c r="I51" s="17" t="str">
        <f aca="false">IF(H51=0,"None",IF(H51=3,"All three",IF(H51=1,"Only "&amp;TRIM(IF(C51&lt;&gt;"","Gemini ","")&amp;IF(D51&lt;&gt;"","RAKE ","")&amp;IF(E51&lt;&gt;"","YAKE","")),SUBSTITUTE(TRIM(IF(C51&lt;&gt;"","Gemini ","")&amp;IF(D51&lt;&gt;"","RAKE ","")&amp;IF(E51&lt;&gt;"","YAKE",""))," "," + "))))</f>
        <v>All three</v>
      </c>
      <c r="K51" s="8"/>
      <c r="L51" s="8"/>
      <c r="M51" s="8"/>
    </row>
    <row r="52" customFormat="false" ht="15" hidden="false" customHeight="false" outlineLevel="0" collapsed="false">
      <c r="A52" s="14" t="n">
        <v>51</v>
      </c>
      <c r="B52" s="15" t="s">
        <v>163</v>
      </c>
      <c r="C52" s="6" t="s">
        <v>171</v>
      </c>
      <c r="D52" s="6" t="s">
        <v>171</v>
      </c>
      <c r="E52" s="6" t="s">
        <v>171</v>
      </c>
      <c r="F52" s="14" t="s">
        <v>165</v>
      </c>
      <c r="G52" s="16" t="s">
        <v>172</v>
      </c>
      <c r="H52" s="14" t="n">
        <f aca="false">COUNTIF(C52:E52,"?*")</f>
        <v>3</v>
      </c>
      <c r="I52" s="17" t="str">
        <f aca="false">IF(H52=0,"None",IF(H52=3,"All three",IF(H52=1,"Only "&amp;TRIM(IF(C52&lt;&gt;"","Gemini ","")&amp;IF(D52&lt;&gt;"","RAKE ","")&amp;IF(E52&lt;&gt;"","YAKE","")),SUBSTITUTE(TRIM(IF(C52&lt;&gt;"","Gemini ","")&amp;IF(D52&lt;&gt;"","RAKE ","")&amp;IF(E52&lt;&gt;"","YAKE",""))," "," + "))))</f>
        <v>All three</v>
      </c>
      <c r="K52" s="8"/>
      <c r="L52" s="8"/>
      <c r="M52" s="8"/>
    </row>
    <row r="53" customFormat="false" ht="15" hidden="false" customHeight="false" outlineLevel="0" collapsed="false">
      <c r="A53" s="14" t="n">
        <v>52</v>
      </c>
      <c r="B53" s="15" t="s">
        <v>163</v>
      </c>
      <c r="C53" s="6" t="s">
        <v>173</v>
      </c>
      <c r="D53" s="6"/>
      <c r="E53" s="6" t="s">
        <v>173</v>
      </c>
      <c r="F53" s="14" t="s">
        <v>165</v>
      </c>
      <c r="G53" s="16" t="s">
        <v>169</v>
      </c>
      <c r="H53" s="14" t="n">
        <f aca="false">COUNTIF(C53:E53,"?*")</f>
        <v>2</v>
      </c>
      <c r="I53" s="17" t="str">
        <f aca="false">IF(H53=0,"None",IF(H53=3,"All three",IF(H53=1,"Only "&amp;TRIM(IF(C53&lt;&gt;"","Gemini ","")&amp;IF(D53&lt;&gt;"","RAKE ","")&amp;IF(E53&lt;&gt;"","YAKE","")),SUBSTITUTE(TRIM(IF(C53&lt;&gt;"","Gemini ","")&amp;IF(D53&lt;&gt;"","RAKE ","")&amp;IF(E53&lt;&gt;"","YAKE",""))," "," + "))))</f>
        <v>Gemini + YAKE</v>
      </c>
      <c r="K53" s="8"/>
      <c r="L53" s="8"/>
      <c r="M53" s="8"/>
    </row>
    <row r="54" customFormat="false" ht="15" hidden="false" customHeight="false" outlineLevel="0" collapsed="false">
      <c r="A54" s="14" t="n">
        <v>53</v>
      </c>
      <c r="B54" s="15" t="s">
        <v>163</v>
      </c>
      <c r="C54" s="6" t="s">
        <v>174</v>
      </c>
      <c r="D54" s="6"/>
      <c r="E54" s="6" t="s">
        <v>174</v>
      </c>
      <c r="F54" s="14" t="s">
        <v>165</v>
      </c>
      <c r="G54" s="16" t="s">
        <v>169</v>
      </c>
      <c r="H54" s="14" t="n">
        <f aca="false">COUNTIF(C54:E54,"?*")</f>
        <v>2</v>
      </c>
      <c r="I54" s="17" t="str">
        <f aca="false">IF(H54=0,"None",IF(H54=3,"All three",IF(H54=1,"Only "&amp;TRIM(IF(C54&lt;&gt;"","Gemini ","")&amp;IF(D54&lt;&gt;"","RAKE ","")&amp;IF(E54&lt;&gt;"","YAKE","")),SUBSTITUTE(TRIM(IF(C54&lt;&gt;"","Gemini ","")&amp;IF(D54&lt;&gt;"","RAKE ","")&amp;IF(E54&lt;&gt;"","YAKE",""))," "," + "))))</f>
        <v>Gemini + YAKE</v>
      </c>
      <c r="K54" s="8"/>
      <c r="L54" s="8"/>
      <c r="M54" s="8"/>
    </row>
    <row r="55" customFormat="false" ht="15" hidden="false" customHeight="false" outlineLevel="0" collapsed="false">
      <c r="A55" s="14" t="n">
        <v>54</v>
      </c>
      <c r="B55" s="15" t="s">
        <v>163</v>
      </c>
      <c r="C55" s="6"/>
      <c r="D55" s="6" t="s">
        <v>175</v>
      </c>
      <c r="E55" s="6" t="s">
        <v>176</v>
      </c>
      <c r="F55" s="14" t="s">
        <v>165</v>
      </c>
      <c r="G55" s="16" t="s">
        <v>169</v>
      </c>
      <c r="H55" s="14" t="n">
        <f aca="false">COUNTIF(C55:E55,"?*")</f>
        <v>2</v>
      </c>
      <c r="I55" s="17" t="str">
        <f aca="false">IF(H55=0,"None",IF(H55=3,"All three",IF(H55=1,"Only "&amp;TRIM(IF(C55&lt;&gt;"","Gemini ","")&amp;IF(D55&lt;&gt;"","RAKE ","")&amp;IF(E55&lt;&gt;"","YAKE","")),SUBSTITUTE(TRIM(IF(C55&lt;&gt;"","Gemini ","")&amp;IF(D55&lt;&gt;"","RAKE ","")&amp;IF(E55&lt;&gt;"","YAKE",""))," "," + "))))</f>
        <v>RAKE + YAKE</v>
      </c>
      <c r="K55" s="8"/>
      <c r="L55" s="8"/>
      <c r="M55" s="8"/>
    </row>
    <row r="56" customFormat="false" ht="15" hidden="false" customHeight="false" outlineLevel="0" collapsed="false">
      <c r="A56" s="14" t="n">
        <v>55</v>
      </c>
      <c r="B56" s="15" t="s">
        <v>163</v>
      </c>
      <c r="C56" s="6"/>
      <c r="D56" s="6" t="s">
        <v>177</v>
      </c>
      <c r="E56" s="6"/>
      <c r="F56" s="14" t="s">
        <v>165</v>
      </c>
      <c r="G56" s="16" t="s">
        <v>178</v>
      </c>
      <c r="H56" s="14" t="n">
        <f aca="false">COUNTIF(C56:E56,"?*")</f>
        <v>1</v>
      </c>
      <c r="I56" s="17" t="str">
        <f aca="false">IF(H56=0,"None",IF(H56=3,"All three",IF(H56=1,"Only "&amp;TRIM(IF(C56&lt;&gt;"","Gemini ","")&amp;IF(D56&lt;&gt;"","RAKE ","")&amp;IF(E56&lt;&gt;"","YAKE","")),SUBSTITUTE(TRIM(IF(C56&lt;&gt;"","Gemini ","")&amp;IF(D56&lt;&gt;"","RAKE ","")&amp;IF(E56&lt;&gt;"","YAKE",""))," "," + "))))</f>
        <v>Only RAKE</v>
      </c>
      <c r="K56" s="8"/>
      <c r="L56" s="8"/>
      <c r="M56" s="8"/>
    </row>
    <row r="57" customFormat="false" ht="15" hidden="false" customHeight="false" outlineLevel="0" collapsed="false">
      <c r="A57" s="14" t="n">
        <v>56</v>
      </c>
      <c r="B57" s="15" t="s">
        <v>163</v>
      </c>
      <c r="C57" s="6" t="s">
        <v>179</v>
      </c>
      <c r="D57" s="6"/>
      <c r="E57" s="6"/>
      <c r="F57" s="14" t="s">
        <v>165</v>
      </c>
      <c r="G57" s="16" t="s">
        <v>180</v>
      </c>
      <c r="H57" s="14" t="n">
        <f aca="false">COUNTIF(C57:E57,"?*")</f>
        <v>1</v>
      </c>
      <c r="I57" s="17" t="str">
        <f aca="false">IF(H57=0,"None",IF(H57=3,"All three",IF(H57=1,"Only "&amp;TRIM(IF(C57&lt;&gt;"","Gemini ","")&amp;IF(D57&lt;&gt;"","RAKE ","")&amp;IF(E57&lt;&gt;"","YAKE","")),SUBSTITUTE(TRIM(IF(C57&lt;&gt;"","Gemini ","")&amp;IF(D57&lt;&gt;"","RAKE ","")&amp;IF(E57&lt;&gt;"","YAKE",""))," "," + "))))</f>
        <v>Only Gemini</v>
      </c>
      <c r="K57" s="8"/>
      <c r="L57" s="8"/>
      <c r="M57" s="8"/>
    </row>
    <row r="58" customFormat="false" ht="15" hidden="false" customHeight="false" outlineLevel="0" collapsed="false">
      <c r="A58" s="14" t="n">
        <v>57</v>
      </c>
      <c r="B58" s="15" t="s">
        <v>163</v>
      </c>
      <c r="C58" s="6"/>
      <c r="D58" s="6"/>
      <c r="E58" s="6" t="s">
        <v>181</v>
      </c>
      <c r="F58" s="14" t="s">
        <v>165</v>
      </c>
      <c r="G58" s="16" t="s">
        <v>182</v>
      </c>
      <c r="H58" s="14" t="n">
        <f aca="false">COUNTIF(C58:E58,"?*")</f>
        <v>1</v>
      </c>
      <c r="I58" s="17" t="str">
        <f aca="false">IF(H58=0,"None",IF(H58=3,"All three",IF(H58=1,"Only "&amp;TRIM(IF(C58&lt;&gt;"","Gemini ","")&amp;IF(D58&lt;&gt;"","RAKE ","")&amp;IF(E58&lt;&gt;"","YAKE","")),SUBSTITUTE(TRIM(IF(C58&lt;&gt;"","Gemini ","")&amp;IF(D58&lt;&gt;"","RAKE ","")&amp;IF(E58&lt;&gt;"","YAKE",""))," "," + "))))</f>
        <v>Only YAKE</v>
      </c>
      <c r="K58" s="8"/>
      <c r="L58" s="8"/>
      <c r="M58" s="8"/>
    </row>
    <row r="59" customFormat="false" ht="15" hidden="false" customHeight="false" outlineLevel="0" collapsed="false">
      <c r="A59" s="14" t="n">
        <v>58</v>
      </c>
      <c r="B59" s="15" t="s">
        <v>163</v>
      </c>
      <c r="C59" s="6" t="s">
        <v>183</v>
      </c>
      <c r="D59" s="6"/>
      <c r="E59" s="6"/>
      <c r="F59" s="14" t="s">
        <v>165</v>
      </c>
      <c r="G59" s="16" t="s">
        <v>184</v>
      </c>
      <c r="H59" s="14" t="n">
        <f aca="false">COUNTIF(C59:E59,"?*")</f>
        <v>1</v>
      </c>
      <c r="I59" s="17" t="str">
        <f aca="false">IF(H59=0,"None",IF(H59=3,"All three",IF(H59=1,"Only "&amp;TRIM(IF(C59&lt;&gt;"","Gemini ","")&amp;IF(D59&lt;&gt;"","RAKE ","")&amp;IF(E59&lt;&gt;"","YAKE","")),SUBSTITUTE(TRIM(IF(C59&lt;&gt;"","Gemini ","")&amp;IF(D59&lt;&gt;"","RAKE ","")&amp;IF(E59&lt;&gt;"","YAKE",""))," "," + "))))</f>
        <v>Only Gemini</v>
      </c>
      <c r="K59" s="8"/>
      <c r="L59" s="8"/>
      <c r="M59" s="8"/>
    </row>
    <row r="60" customFormat="false" ht="15" hidden="false" customHeight="false" outlineLevel="0" collapsed="false">
      <c r="A60" s="14" t="n">
        <v>59</v>
      </c>
      <c r="B60" s="15" t="s">
        <v>163</v>
      </c>
      <c r="C60" s="6"/>
      <c r="D60" s="6" t="s">
        <v>185</v>
      </c>
      <c r="E60" s="6"/>
      <c r="F60" s="14" t="s">
        <v>165</v>
      </c>
      <c r="G60" s="16" t="s">
        <v>186</v>
      </c>
      <c r="H60" s="14" t="n">
        <f aca="false">COUNTIF(C60:E60,"?*")</f>
        <v>1</v>
      </c>
      <c r="I60" s="17" t="str">
        <f aca="false">IF(H60=0,"None",IF(H60=3,"All three",IF(H60=1,"Only "&amp;TRIM(IF(C60&lt;&gt;"","Gemini ","")&amp;IF(D60&lt;&gt;"","RAKE ","")&amp;IF(E60&lt;&gt;"","YAKE","")),SUBSTITUTE(TRIM(IF(C60&lt;&gt;"","Gemini ","")&amp;IF(D60&lt;&gt;"","RAKE ","")&amp;IF(E60&lt;&gt;"","YAKE",""))," "," + "))))</f>
        <v>Only RAKE</v>
      </c>
      <c r="K60" s="8"/>
      <c r="L60" s="8"/>
      <c r="M60" s="8"/>
    </row>
    <row r="61" customFormat="false" ht="15" hidden="false" customHeight="false" outlineLevel="0" collapsed="false">
      <c r="A61" s="14" t="n">
        <v>60</v>
      </c>
      <c r="B61" s="15" t="s">
        <v>163</v>
      </c>
      <c r="C61" s="6" t="s">
        <v>133</v>
      </c>
      <c r="D61" s="6"/>
      <c r="E61" s="6"/>
      <c r="F61" s="14" t="s">
        <v>165</v>
      </c>
      <c r="G61" s="16" t="s">
        <v>172</v>
      </c>
      <c r="H61" s="14" t="n">
        <f aca="false">COUNTIF(C61:E61,"?*")</f>
        <v>1</v>
      </c>
      <c r="I61" s="17" t="str">
        <f aca="false">IF(H61=0,"None",IF(H61=3,"All three",IF(H61=1,"Only "&amp;TRIM(IF(C61&lt;&gt;"","Gemini ","")&amp;IF(D61&lt;&gt;"","RAKE ","")&amp;IF(E61&lt;&gt;"","YAKE","")),SUBSTITUTE(TRIM(IF(C61&lt;&gt;"","Gemini ","")&amp;IF(D61&lt;&gt;"","RAKE ","")&amp;IF(E61&lt;&gt;"","YAKE",""))," "," + "))))</f>
        <v>Only Gemini</v>
      </c>
      <c r="K61" s="8"/>
      <c r="L61" s="8"/>
      <c r="M61" s="8"/>
    </row>
    <row r="62" customFormat="false" ht="15" hidden="false" customHeight="false" outlineLevel="0" collapsed="false">
      <c r="A62" s="14" t="n">
        <v>61</v>
      </c>
      <c r="B62" s="15" t="s">
        <v>163</v>
      </c>
      <c r="C62" s="6"/>
      <c r="D62" s="6" t="s">
        <v>187</v>
      </c>
      <c r="E62" s="6"/>
      <c r="F62" s="14" t="s">
        <v>165</v>
      </c>
      <c r="G62" s="16" t="s">
        <v>188</v>
      </c>
      <c r="H62" s="14" t="n">
        <f aca="false">COUNTIF(C62:E62,"?*")</f>
        <v>1</v>
      </c>
      <c r="I62" s="17" t="str">
        <f aca="false">IF(H62=0,"None",IF(H62=3,"All three",IF(H62=1,"Only "&amp;TRIM(IF(C62&lt;&gt;"","Gemini ","")&amp;IF(D62&lt;&gt;"","RAKE ","")&amp;IF(E62&lt;&gt;"","YAKE","")),SUBSTITUTE(TRIM(IF(C62&lt;&gt;"","Gemini ","")&amp;IF(D62&lt;&gt;"","RAKE ","")&amp;IF(E62&lt;&gt;"","YAKE",""))," "," + "))))</f>
        <v>Only RAKE</v>
      </c>
      <c r="K62" s="8"/>
      <c r="L62" s="8"/>
      <c r="M62" s="8"/>
    </row>
    <row r="63" customFormat="false" ht="15" hidden="false" customHeight="false" outlineLevel="0" collapsed="false">
      <c r="A63" s="14" t="n">
        <v>62</v>
      </c>
      <c r="B63" s="15" t="s">
        <v>163</v>
      </c>
      <c r="C63" s="6"/>
      <c r="D63" s="6" t="s">
        <v>189</v>
      </c>
      <c r="E63" s="6"/>
      <c r="F63" s="14" t="s">
        <v>165</v>
      </c>
      <c r="G63" s="16" t="s">
        <v>190</v>
      </c>
      <c r="H63" s="14" t="n">
        <f aca="false">COUNTIF(C63:E63,"?*")</f>
        <v>1</v>
      </c>
      <c r="I63" s="17" t="str">
        <f aca="false">IF(H63=0,"None",IF(H63=3,"All three",IF(H63=1,"Only "&amp;TRIM(IF(C63&lt;&gt;"","Gemini ","")&amp;IF(D63&lt;&gt;"","RAKE ","")&amp;IF(E63&lt;&gt;"","YAKE","")),SUBSTITUTE(TRIM(IF(C63&lt;&gt;"","Gemini ","")&amp;IF(D63&lt;&gt;"","RAKE ","")&amp;IF(E63&lt;&gt;"","YAKE",""))," "," + "))))</f>
        <v>Only RAKE</v>
      </c>
      <c r="K63" s="8"/>
      <c r="L63" s="8"/>
      <c r="M63" s="8"/>
    </row>
    <row r="64" customFormat="false" ht="15" hidden="false" customHeight="false" outlineLevel="0" collapsed="false">
      <c r="A64" s="14" t="n">
        <v>63</v>
      </c>
      <c r="B64" s="15" t="s">
        <v>163</v>
      </c>
      <c r="C64" s="6"/>
      <c r="D64" s="6" t="s">
        <v>191</v>
      </c>
      <c r="E64" s="6"/>
      <c r="F64" s="14" t="s">
        <v>165</v>
      </c>
      <c r="G64" s="16" t="s">
        <v>192</v>
      </c>
      <c r="H64" s="14" t="n">
        <f aca="false">COUNTIF(C64:E64,"?*")</f>
        <v>1</v>
      </c>
      <c r="I64" s="17" t="str">
        <f aca="false">IF(H64=0,"None",IF(H64=3,"All three",IF(H64=1,"Only "&amp;TRIM(IF(C64&lt;&gt;"","Gemini ","")&amp;IF(D64&lt;&gt;"","RAKE ","")&amp;IF(E64&lt;&gt;"","YAKE","")),SUBSTITUTE(TRIM(IF(C64&lt;&gt;"","Gemini ","")&amp;IF(D64&lt;&gt;"","RAKE ","")&amp;IF(E64&lt;&gt;"","YAKE",""))," "," + "))))</f>
        <v>Only RAKE</v>
      </c>
      <c r="K64" s="8"/>
      <c r="L64" s="8"/>
      <c r="M64" s="8"/>
    </row>
    <row r="65" customFormat="false" ht="15" hidden="false" customHeight="false" outlineLevel="0" collapsed="false">
      <c r="A65" s="14" t="n">
        <v>64</v>
      </c>
      <c r="B65" s="15" t="s">
        <v>163</v>
      </c>
      <c r="C65" s="6"/>
      <c r="D65" s="6" t="s">
        <v>193</v>
      </c>
      <c r="E65" s="6"/>
      <c r="F65" s="14" t="s">
        <v>165</v>
      </c>
      <c r="G65" s="16" t="s">
        <v>169</v>
      </c>
      <c r="H65" s="14" t="n">
        <f aca="false">COUNTIF(C65:E65,"?*")</f>
        <v>1</v>
      </c>
      <c r="I65" s="17" t="str">
        <f aca="false">IF(H65=0,"None",IF(H65=3,"All three",IF(H65=1,"Only "&amp;TRIM(IF(C65&lt;&gt;"","Gemini ","")&amp;IF(D65&lt;&gt;"","RAKE ","")&amp;IF(E65&lt;&gt;"","YAKE","")),SUBSTITUTE(TRIM(IF(C65&lt;&gt;"","Gemini ","")&amp;IF(D65&lt;&gt;"","RAKE ","")&amp;IF(E65&lt;&gt;"","YAKE",""))," "," + "))))</f>
        <v>Only RAKE</v>
      </c>
      <c r="K65" s="8"/>
      <c r="L65" s="8"/>
      <c r="M65" s="8"/>
    </row>
    <row r="66" customFormat="false" ht="15" hidden="false" customHeight="false" outlineLevel="0" collapsed="false">
      <c r="A66" s="14" t="n">
        <v>65</v>
      </c>
      <c r="B66" s="15" t="s">
        <v>163</v>
      </c>
      <c r="C66" s="6" t="s">
        <v>194</v>
      </c>
      <c r="D66" s="6"/>
      <c r="E66" s="6"/>
      <c r="F66" s="14" t="s">
        <v>165</v>
      </c>
      <c r="G66" s="16" t="s">
        <v>195</v>
      </c>
      <c r="H66" s="14" t="n">
        <f aca="false">COUNTIF(C66:E66,"?*")</f>
        <v>1</v>
      </c>
      <c r="I66" s="17" t="str">
        <f aca="false">IF(H66=0,"None",IF(H66=3,"All three",IF(H66=1,"Only "&amp;TRIM(IF(C66&lt;&gt;"","Gemini ","")&amp;IF(D66&lt;&gt;"","RAKE ","")&amp;IF(E66&lt;&gt;"","YAKE","")),SUBSTITUTE(TRIM(IF(C66&lt;&gt;"","Gemini ","")&amp;IF(D66&lt;&gt;"","RAKE ","")&amp;IF(E66&lt;&gt;"","YAKE",""))," "," + "))))</f>
        <v>Only Gemini</v>
      </c>
      <c r="K66" s="8"/>
      <c r="L66" s="8"/>
      <c r="M66" s="8"/>
    </row>
    <row r="67" customFormat="false" ht="15" hidden="false" customHeight="false" outlineLevel="0" collapsed="false">
      <c r="A67" s="14" t="n">
        <v>66</v>
      </c>
      <c r="B67" s="15" t="s">
        <v>163</v>
      </c>
      <c r="C67" s="6" t="s">
        <v>196</v>
      </c>
      <c r="D67" s="6"/>
      <c r="E67" s="6"/>
      <c r="F67" s="14" t="s">
        <v>165</v>
      </c>
      <c r="G67" s="16" t="s">
        <v>195</v>
      </c>
      <c r="H67" s="14" t="n">
        <f aca="false">COUNTIF(C67:E67,"?*")</f>
        <v>1</v>
      </c>
      <c r="I67" s="17" t="str">
        <f aca="false">IF(H67=0,"None",IF(H67=3,"All three",IF(H67=1,"Only "&amp;TRIM(IF(C67&lt;&gt;"","Gemini ","")&amp;IF(D67&lt;&gt;"","RAKE ","")&amp;IF(E67&lt;&gt;"","YAKE","")),SUBSTITUTE(TRIM(IF(C67&lt;&gt;"","Gemini ","")&amp;IF(D67&lt;&gt;"","RAKE ","")&amp;IF(E67&lt;&gt;"","YAKE",""))," "," + "))))</f>
        <v>Only Gemini</v>
      </c>
      <c r="K67" s="8"/>
      <c r="L67" s="8"/>
      <c r="M67" s="8"/>
    </row>
    <row r="68" customFormat="false" ht="15" hidden="false" customHeight="false" outlineLevel="0" collapsed="false">
      <c r="A68" s="14" t="n">
        <v>67</v>
      </c>
      <c r="B68" s="15" t="s">
        <v>163</v>
      </c>
      <c r="C68" s="6" t="s">
        <v>197</v>
      </c>
      <c r="D68" s="6"/>
      <c r="E68" s="6"/>
      <c r="F68" s="14" t="s">
        <v>165</v>
      </c>
      <c r="G68" s="16" t="s">
        <v>172</v>
      </c>
      <c r="H68" s="14" t="n">
        <f aca="false">COUNTIF(C68:E68,"?*")</f>
        <v>1</v>
      </c>
      <c r="I68" s="17" t="str">
        <f aca="false">IF(H68=0,"None",IF(H68=3,"All three",IF(H68=1,"Only "&amp;TRIM(IF(C68&lt;&gt;"","Gemini ","")&amp;IF(D68&lt;&gt;"","RAKE ","")&amp;IF(E68&lt;&gt;"","YAKE","")),SUBSTITUTE(TRIM(IF(C68&lt;&gt;"","Gemini ","")&amp;IF(D68&lt;&gt;"","RAKE ","")&amp;IF(E68&lt;&gt;"","YAKE",""))," "," + "))))</f>
        <v>Only Gemini</v>
      </c>
      <c r="K68" s="8"/>
      <c r="L68" s="8"/>
      <c r="M68" s="8"/>
    </row>
    <row r="69" customFormat="false" ht="15" hidden="false" customHeight="false" outlineLevel="0" collapsed="false">
      <c r="A69" s="14" t="n">
        <v>68</v>
      </c>
      <c r="B69" s="15" t="s">
        <v>163</v>
      </c>
      <c r="C69" s="6" t="s">
        <v>198</v>
      </c>
      <c r="D69" s="6"/>
      <c r="E69" s="6"/>
      <c r="F69" s="14" t="s">
        <v>165</v>
      </c>
      <c r="G69" s="16" t="s">
        <v>199</v>
      </c>
      <c r="H69" s="14" t="n">
        <f aca="false">COUNTIF(C69:E69,"?*")</f>
        <v>1</v>
      </c>
      <c r="I69" s="17" t="str">
        <f aca="false">IF(H69=0,"None",IF(H69=3,"All three",IF(H69=1,"Only "&amp;TRIM(IF(C69&lt;&gt;"","Gemini ","")&amp;IF(D69&lt;&gt;"","RAKE ","")&amp;IF(E69&lt;&gt;"","YAKE","")),SUBSTITUTE(TRIM(IF(C69&lt;&gt;"","Gemini ","")&amp;IF(D69&lt;&gt;"","RAKE ","")&amp;IF(E69&lt;&gt;"","YAKE",""))," "," + "))))</f>
        <v>Only Gemini</v>
      </c>
      <c r="K69" s="8"/>
      <c r="L69" s="8"/>
      <c r="M69" s="8"/>
    </row>
    <row r="70" customFormat="false" ht="15" hidden="false" customHeight="false" outlineLevel="0" collapsed="false">
      <c r="A70" s="14" t="n">
        <v>69</v>
      </c>
      <c r="B70" s="15" t="s">
        <v>163</v>
      </c>
      <c r="C70" s="6" t="s">
        <v>200</v>
      </c>
      <c r="D70" s="6"/>
      <c r="E70" s="6"/>
      <c r="F70" s="14" t="s">
        <v>165</v>
      </c>
      <c r="G70" s="16" t="s">
        <v>201</v>
      </c>
      <c r="H70" s="14" t="n">
        <f aca="false">COUNTIF(C70:E70,"?*")</f>
        <v>1</v>
      </c>
      <c r="I70" s="17" t="str">
        <f aca="false">IF(H70=0,"None",IF(H70=3,"All three",IF(H70=1,"Only "&amp;TRIM(IF(C70&lt;&gt;"","Gemini ","")&amp;IF(D70&lt;&gt;"","RAKE ","")&amp;IF(E70&lt;&gt;"","YAKE","")),SUBSTITUTE(TRIM(IF(C70&lt;&gt;"","Gemini ","")&amp;IF(D70&lt;&gt;"","RAKE ","")&amp;IF(E70&lt;&gt;"","YAKE",""))," "," + "))))</f>
        <v>Only Gemini</v>
      </c>
      <c r="K70" s="8"/>
      <c r="L70" s="8"/>
      <c r="M70" s="8"/>
    </row>
    <row r="71" customFormat="false" ht="15" hidden="false" customHeight="false" outlineLevel="0" collapsed="false">
      <c r="A71" s="14" t="n">
        <v>70</v>
      </c>
      <c r="B71" s="15" t="s">
        <v>163</v>
      </c>
      <c r="C71" s="6" t="s">
        <v>202</v>
      </c>
      <c r="D71" s="6"/>
      <c r="E71" s="6"/>
      <c r="F71" s="14" t="s">
        <v>165</v>
      </c>
      <c r="G71" s="16" t="s">
        <v>169</v>
      </c>
      <c r="H71" s="14" t="n">
        <f aca="false">COUNTIF(C71:E71,"?*")</f>
        <v>1</v>
      </c>
      <c r="I71" s="17" t="str">
        <f aca="false">IF(H71=0,"None",IF(H71=3,"All three",IF(H71=1,"Only "&amp;TRIM(IF(C71&lt;&gt;"","Gemini ","")&amp;IF(D71&lt;&gt;"","RAKE ","")&amp;IF(E71&lt;&gt;"","YAKE","")),SUBSTITUTE(TRIM(IF(C71&lt;&gt;"","Gemini ","")&amp;IF(D71&lt;&gt;"","RAKE ","")&amp;IF(E71&lt;&gt;"","YAKE",""))," "," + "))))</f>
        <v>Only Gemini</v>
      </c>
      <c r="K71" s="8"/>
      <c r="L71" s="8"/>
      <c r="M71" s="8"/>
    </row>
    <row r="72" customFormat="false" ht="15" hidden="false" customHeight="false" outlineLevel="0" collapsed="false">
      <c r="A72" s="14" t="n">
        <v>71</v>
      </c>
      <c r="B72" s="15" t="s">
        <v>163</v>
      </c>
      <c r="C72" s="6"/>
      <c r="D72" s="6" t="s">
        <v>203</v>
      </c>
      <c r="E72" s="6"/>
      <c r="F72" s="14" t="s">
        <v>165</v>
      </c>
      <c r="G72" s="16" t="s">
        <v>172</v>
      </c>
      <c r="H72" s="14" t="n">
        <f aca="false">COUNTIF(C72:E72,"?*")</f>
        <v>1</v>
      </c>
      <c r="I72" s="17" t="str">
        <f aca="false">IF(H72=0,"None",IF(H72=3,"All three",IF(H72=1,"Only "&amp;TRIM(IF(C72&lt;&gt;"","Gemini ","")&amp;IF(D72&lt;&gt;"","RAKE ","")&amp;IF(E72&lt;&gt;"","YAKE","")),SUBSTITUTE(TRIM(IF(C72&lt;&gt;"","Gemini ","")&amp;IF(D72&lt;&gt;"","RAKE ","")&amp;IF(E72&lt;&gt;"","YAKE",""))," "," + "))))</f>
        <v>Only RAKE</v>
      </c>
      <c r="K72" s="8"/>
      <c r="L72" s="8"/>
      <c r="M72" s="8"/>
    </row>
    <row r="73" customFormat="false" ht="15" hidden="false" customHeight="false" outlineLevel="0" collapsed="false">
      <c r="A73" s="14" t="n">
        <v>72</v>
      </c>
      <c r="B73" s="15" t="s">
        <v>163</v>
      </c>
      <c r="C73" s="6"/>
      <c r="D73" s="6"/>
      <c r="E73" s="6" t="s">
        <v>204</v>
      </c>
      <c r="F73" s="14" t="s">
        <v>165</v>
      </c>
      <c r="G73" s="16" t="s">
        <v>169</v>
      </c>
      <c r="H73" s="14" t="n">
        <f aca="false">COUNTIF(C73:E73,"?*")</f>
        <v>1</v>
      </c>
      <c r="I73" s="17" t="str">
        <f aca="false">IF(H73=0,"None",IF(H73=3,"All three",IF(H73=1,"Only "&amp;TRIM(IF(C73&lt;&gt;"","Gemini ","")&amp;IF(D73&lt;&gt;"","RAKE ","")&amp;IF(E73&lt;&gt;"","YAKE","")),SUBSTITUTE(TRIM(IF(C73&lt;&gt;"","Gemini ","")&amp;IF(D73&lt;&gt;"","RAKE ","")&amp;IF(E73&lt;&gt;"","YAKE",""))," "," + "))))</f>
        <v>Only YAKE</v>
      </c>
      <c r="K73" s="8"/>
      <c r="L73" s="8"/>
      <c r="M73" s="8"/>
    </row>
    <row r="74" customFormat="false" ht="23.85" hidden="false" customHeight="false" outlineLevel="0" collapsed="false">
      <c r="A74" s="14" t="n">
        <v>73</v>
      </c>
      <c r="B74" s="15" t="s">
        <v>163</v>
      </c>
      <c r="C74" s="6"/>
      <c r="D74" s="6"/>
      <c r="E74" s="6" t="s">
        <v>205</v>
      </c>
      <c r="F74" s="14" t="s">
        <v>165</v>
      </c>
      <c r="G74" s="16" t="s">
        <v>169</v>
      </c>
      <c r="H74" s="14" t="n">
        <f aca="false">COUNTIF(C74:E74,"?*")</f>
        <v>1</v>
      </c>
      <c r="I74" s="17" t="str">
        <f aca="false">IF(H74=0,"None",IF(H74=3,"All three",IF(H74=1,"Only "&amp;TRIM(IF(C74&lt;&gt;"","Gemini ","")&amp;IF(D74&lt;&gt;"","RAKE ","")&amp;IF(E74&lt;&gt;"","YAKE","")),SUBSTITUTE(TRIM(IF(C74&lt;&gt;"","Gemini ","")&amp;IF(D74&lt;&gt;"","RAKE ","")&amp;IF(E74&lt;&gt;"","YAKE",""))," "," + "))))</f>
        <v>Only YAKE</v>
      </c>
      <c r="K74" s="8"/>
      <c r="L74" s="8"/>
      <c r="M74" s="8"/>
    </row>
    <row r="75" customFormat="false" ht="15" hidden="false" customHeight="false" outlineLevel="0" collapsed="false">
      <c r="A75" s="14" t="n">
        <v>74</v>
      </c>
      <c r="B75" s="15" t="s">
        <v>163</v>
      </c>
      <c r="C75" s="6" t="s">
        <v>206</v>
      </c>
      <c r="D75" s="6"/>
      <c r="E75" s="6"/>
      <c r="F75" s="14" t="s">
        <v>165</v>
      </c>
      <c r="G75" s="16" t="s">
        <v>169</v>
      </c>
      <c r="H75" s="14" t="n">
        <f aca="false">COUNTIF(C75:E75,"?*")</f>
        <v>1</v>
      </c>
      <c r="I75" s="17" t="str">
        <f aca="false">IF(H75=0,"None",IF(H75=3,"All three",IF(H75=1,"Only "&amp;TRIM(IF(C75&lt;&gt;"","Gemini ","")&amp;IF(D75&lt;&gt;"","RAKE ","")&amp;IF(E75&lt;&gt;"","YAKE","")),SUBSTITUTE(TRIM(IF(C75&lt;&gt;"","Gemini ","")&amp;IF(D75&lt;&gt;"","RAKE ","")&amp;IF(E75&lt;&gt;"","YAKE",""))," "," + "))))</f>
        <v>Only Gemini</v>
      </c>
      <c r="K75" s="8"/>
      <c r="L75" s="8"/>
      <c r="M75" s="8"/>
    </row>
    <row r="76" customFormat="false" ht="15" hidden="false" customHeight="false" outlineLevel="0" collapsed="false">
      <c r="A76" s="14" t="n">
        <v>75</v>
      </c>
      <c r="B76" s="15" t="s">
        <v>163</v>
      </c>
      <c r="C76" s="6" t="s">
        <v>207</v>
      </c>
      <c r="D76" s="6"/>
      <c r="E76" s="6"/>
      <c r="F76" s="14" t="s">
        <v>165</v>
      </c>
      <c r="G76" s="16" t="s">
        <v>169</v>
      </c>
      <c r="H76" s="14" t="n">
        <f aca="false">COUNTIF(C76:E76,"?*")</f>
        <v>1</v>
      </c>
      <c r="I76" s="17" t="str">
        <f aca="false">IF(H76=0,"None",IF(H76=3,"All three",IF(H76=1,"Only "&amp;TRIM(IF(C76&lt;&gt;"","Gemini ","")&amp;IF(D76&lt;&gt;"","RAKE ","")&amp;IF(E76&lt;&gt;"","YAKE","")),SUBSTITUTE(TRIM(IF(C76&lt;&gt;"","Gemini ","")&amp;IF(D76&lt;&gt;"","RAKE ","")&amp;IF(E76&lt;&gt;"","YAKE",""))," "," + "))))</f>
        <v>Only Gemini</v>
      </c>
      <c r="K76" s="8"/>
      <c r="L76" s="8"/>
      <c r="M76" s="8"/>
    </row>
    <row r="77" customFormat="false" ht="15" hidden="false" customHeight="false" outlineLevel="0" collapsed="false">
      <c r="A77" s="14" t="n">
        <v>76</v>
      </c>
      <c r="B77" s="15" t="s">
        <v>163</v>
      </c>
      <c r="C77" s="6"/>
      <c r="D77" s="6" t="s">
        <v>208</v>
      </c>
      <c r="E77" s="6"/>
      <c r="F77" s="14" t="s">
        <v>165</v>
      </c>
      <c r="G77" s="16" t="s">
        <v>209</v>
      </c>
      <c r="H77" s="14" t="n">
        <f aca="false">COUNTIF(C77:E77,"?*")</f>
        <v>1</v>
      </c>
      <c r="I77" s="17" t="str">
        <f aca="false">IF(H77=0,"None",IF(H77=3,"All three",IF(H77=1,"Only "&amp;TRIM(IF(C77&lt;&gt;"","Gemini ","")&amp;IF(D77&lt;&gt;"","RAKE ","")&amp;IF(E77&lt;&gt;"","YAKE","")),SUBSTITUTE(TRIM(IF(C77&lt;&gt;"","Gemini ","")&amp;IF(D77&lt;&gt;"","RAKE ","")&amp;IF(E77&lt;&gt;"","YAKE",""))," "," + "))))</f>
        <v>Only RAKE</v>
      </c>
      <c r="K77" s="8"/>
      <c r="L77" s="8"/>
      <c r="M77" s="8"/>
    </row>
    <row r="78" customFormat="false" ht="15" hidden="false" customHeight="false" outlineLevel="0" collapsed="false">
      <c r="A78" s="14" t="n">
        <v>77</v>
      </c>
      <c r="B78" s="15" t="s">
        <v>163</v>
      </c>
      <c r="C78" s="6" t="s">
        <v>210</v>
      </c>
      <c r="D78" s="6"/>
      <c r="E78" s="6"/>
      <c r="F78" s="14" t="s">
        <v>165</v>
      </c>
      <c r="G78" s="16" t="s">
        <v>172</v>
      </c>
      <c r="H78" s="14" t="n">
        <f aca="false">COUNTIF(C78:E78,"?*")</f>
        <v>1</v>
      </c>
      <c r="I78" s="17" t="str">
        <f aca="false">IF(H78=0,"None",IF(H78=3,"All three",IF(H78=1,"Only "&amp;TRIM(IF(C78&lt;&gt;"","Gemini ","")&amp;IF(D78&lt;&gt;"","RAKE ","")&amp;IF(E78&lt;&gt;"","YAKE","")),SUBSTITUTE(TRIM(IF(C78&lt;&gt;"","Gemini ","")&amp;IF(D78&lt;&gt;"","RAKE ","")&amp;IF(E78&lt;&gt;"","YAKE",""))," "," + "))))</f>
        <v>Only Gemini</v>
      </c>
      <c r="K78" s="8"/>
      <c r="L78" s="8"/>
      <c r="M78" s="8"/>
    </row>
    <row r="79" customFormat="false" ht="15" hidden="false" customHeight="false" outlineLevel="0" collapsed="false">
      <c r="A79" s="14" t="n">
        <v>78</v>
      </c>
      <c r="B79" s="15" t="s">
        <v>163</v>
      </c>
      <c r="C79" s="6"/>
      <c r="D79" s="6" t="s">
        <v>211</v>
      </c>
      <c r="E79" s="6"/>
      <c r="F79" s="14" t="s">
        <v>165</v>
      </c>
      <c r="G79" s="16" t="s">
        <v>212</v>
      </c>
      <c r="H79" s="14" t="n">
        <f aca="false">COUNTIF(C79:E79,"?*")</f>
        <v>1</v>
      </c>
      <c r="I79" s="17" t="str">
        <f aca="false">IF(H79=0,"None",IF(H79=3,"All three",IF(H79=1,"Only "&amp;TRIM(IF(C79&lt;&gt;"","Gemini ","")&amp;IF(D79&lt;&gt;"","RAKE ","")&amp;IF(E79&lt;&gt;"","YAKE","")),SUBSTITUTE(TRIM(IF(C79&lt;&gt;"","Gemini ","")&amp;IF(D79&lt;&gt;"","RAKE ","")&amp;IF(E79&lt;&gt;"","YAKE",""))," "," + "))))</f>
        <v>Only RAKE</v>
      </c>
      <c r="K79" s="8"/>
      <c r="L79" s="8"/>
      <c r="M79" s="8"/>
    </row>
    <row r="80" customFormat="false" ht="15" hidden="false" customHeight="false" outlineLevel="0" collapsed="false">
      <c r="A80" s="14" t="n">
        <v>79</v>
      </c>
      <c r="B80" s="15" t="s">
        <v>163</v>
      </c>
      <c r="C80" s="6"/>
      <c r="D80" s="6"/>
      <c r="E80" s="6" t="s">
        <v>213</v>
      </c>
      <c r="F80" s="14" t="s">
        <v>165</v>
      </c>
      <c r="G80" s="16" t="s">
        <v>214</v>
      </c>
      <c r="H80" s="14" t="n">
        <f aca="false">COUNTIF(C80:E80,"?*")</f>
        <v>1</v>
      </c>
      <c r="I80" s="17" t="str">
        <f aca="false">IF(H80=0,"None",IF(H80=3,"All three",IF(H80=1,"Only "&amp;TRIM(IF(C80&lt;&gt;"","Gemini ","")&amp;IF(D80&lt;&gt;"","RAKE ","")&amp;IF(E80&lt;&gt;"","YAKE","")),SUBSTITUTE(TRIM(IF(C80&lt;&gt;"","Gemini ","")&amp;IF(D80&lt;&gt;"","RAKE ","")&amp;IF(E80&lt;&gt;"","YAKE",""))," "," + "))))</f>
        <v>Only YAKE</v>
      </c>
      <c r="K80" s="8"/>
      <c r="L80" s="8"/>
      <c r="M80" s="8"/>
    </row>
    <row r="81" customFormat="false" ht="15" hidden="false" customHeight="false" outlineLevel="0" collapsed="false">
      <c r="A81" s="14" t="n">
        <v>80</v>
      </c>
      <c r="B81" s="15" t="s">
        <v>163</v>
      </c>
      <c r="C81" s="6" t="s">
        <v>215</v>
      </c>
      <c r="D81" s="6"/>
      <c r="E81" s="6"/>
      <c r="F81" s="14" t="s">
        <v>165</v>
      </c>
      <c r="G81" s="16" t="s">
        <v>216</v>
      </c>
      <c r="H81" s="14" t="n">
        <f aca="false">COUNTIF(C81:E81,"?*")</f>
        <v>1</v>
      </c>
      <c r="I81" s="17" t="str">
        <f aca="false">IF(H81=0,"None",IF(H81=3,"All three",IF(H81=1,"Only "&amp;TRIM(IF(C81&lt;&gt;"","Gemini ","")&amp;IF(D81&lt;&gt;"","RAKE ","")&amp;IF(E81&lt;&gt;"","YAKE","")),SUBSTITUTE(TRIM(IF(C81&lt;&gt;"","Gemini ","")&amp;IF(D81&lt;&gt;"","RAKE ","")&amp;IF(E81&lt;&gt;"","YAKE",""))," "," + "))))</f>
        <v>Only Gemini</v>
      </c>
      <c r="K81" s="8"/>
      <c r="L81" s="8"/>
      <c r="M81" s="8"/>
    </row>
    <row r="82" customFormat="false" ht="15" hidden="false" customHeight="false" outlineLevel="0" collapsed="false">
      <c r="A82" s="14" t="n">
        <v>81</v>
      </c>
      <c r="B82" s="15" t="s">
        <v>163</v>
      </c>
      <c r="C82" s="6" t="s">
        <v>217</v>
      </c>
      <c r="D82" s="6"/>
      <c r="E82" s="6"/>
      <c r="F82" s="14" t="s">
        <v>165</v>
      </c>
      <c r="G82" s="16" t="s">
        <v>218</v>
      </c>
      <c r="H82" s="14" t="n">
        <f aca="false">COUNTIF(C82:E82,"?*")</f>
        <v>1</v>
      </c>
      <c r="I82" s="17" t="str">
        <f aca="false">IF(H82=0,"None",IF(H82=3,"All three",IF(H82=1,"Only "&amp;TRIM(IF(C82&lt;&gt;"","Gemini ","")&amp;IF(D82&lt;&gt;"","RAKE ","")&amp;IF(E82&lt;&gt;"","YAKE","")),SUBSTITUTE(TRIM(IF(C82&lt;&gt;"","Gemini ","")&amp;IF(D82&lt;&gt;"","RAKE ","")&amp;IF(E82&lt;&gt;"","YAKE",""))," "," + "))))</f>
        <v>Only Gemini</v>
      </c>
      <c r="K82" s="8"/>
      <c r="L82" s="8"/>
      <c r="M82" s="8"/>
    </row>
  </sheetData>
  <autoFilter ref="A1:I82"/>
  <conditionalFormatting sqref="C2:E82">
    <cfRule type="expression" priority="2" aboveAverage="0" equalAverage="0" bottom="0" percent="0" rank="0" text="" dxfId="11">
      <formula>C2&lt;&gt;""</formula>
    </cfRule>
  </conditionalFormatting>
  <conditionalFormatting sqref="A2:I48">
    <cfRule type="expression" priority="3" aboveAverage="0" equalAverage="0" bottom="0" percent="0" rank="0" text="" dxfId="12">
      <formula>$H2=0</formula>
    </cfRule>
    <cfRule type="expression" priority="4" aboveAverage="0" equalAverage="0" bottom="0" percent="0" rank="0" text="" dxfId="13">
      <formula>$H2=3</formula>
    </cfRule>
    <cfRule type="expression" priority="5" aboveAverage="0" equalAverage="0" bottom="0" percent="0" rank="0" text="" dxfId="14">
      <formula>$H2=2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9"/>
  </cols>
  <sheetData>
    <row r="1" customFormat="false" ht="17.35" hidden="false" customHeight="false" outlineLevel="0" collapsed="false">
      <c r="A1" s="18" t="s">
        <v>219</v>
      </c>
    </row>
    <row r="2" customFormat="false" ht="15" hidden="false" customHeight="false" outlineLevel="0" collapsed="false">
      <c r="A2" s="19" t="s">
        <v>220</v>
      </c>
    </row>
    <row r="4" customFormat="false" ht="15" hidden="false" customHeight="false" outlineLevel="0" collapsed="false">
      <c r="A4" s="20" t="s">
        <v>221</v>
      </c>
    </row>
    <row r="5" customFormat="false" ht="25.5" hidden="false" customHeight="true" outlineLevel="0" collapsed="false">
      <c r="A5" s="21" t="str">
        <f aca="false">"Best match with Claude's concepts: "&amp;INDEX(A7:A9,MATCH(MAX(G7:G9),G7:G9,0))&amp;" (F1 score "&amp;TEXT(MAX(G7:G9),"0%")&amp;")"</f>
        <v>Best match with Claude's concepts: RAKE (F1 score 26%)</v>
      </c>
      <c r="B5" s="21"/>
      <c r="C5" s="21"/>
      <c r="D5" s="21"/>
      <c r="E5" s="21"/>
      <c r="F5" s="21"/>
      <c r="G5" s="21"/>
      <c r="H5" s="21"/>
    </row>
    <row r="6" customFormat="false" ht="48" hidden="false" customHeight="true" outlineLevel="0" collapsed="false">
      <c r="A6" s="1" t="s">
        <v>222</v>
      </c>
      <c r="B6" s="1" t="s">
        <v>223</v>
      </c>
      <c r="C6" s="1" t="s">
        <v>224</v>
      </c>
      <c r="D6" s="1" t="s">
        <v>225</v>
      </c>
      <c r="E6" s="1" t="s">
        <v>226</v>
      </c>
      <c r="F6" s="1" t="s">
        <v>227</v>
      </c>
      <c r="G6" s="1" t="s">
        <v>228</v>
      </c>
      <c r="H6" s="1" t="s">
        <v>229</v>
      </c>
    </row>
    <row r="7" customFormat="false" ht="15" hidden="false" customHeight="false" outlineLevel="0" collapsed="false">
      <c r="A7" s="22" t="s">
        <v>230</v>
      </c>
      <c r="B7" s="23" t="n">
        <f aca="false">COUNTA('Raw lists'!A2:A32)</f>
        <v>31</v>
      </c>
      <c r="C7" s="23" t="n">
        <f aca="false">SUM('Raw lists'!E2:E32)</f>
        <v>11</v>
      </c>
      <c r="D7" s="24" t="n">
        <f aca="false">IF(B7=0,0,C7/B7)</f>
        <v>0.354838709677419</v>
      </c>
      <c r="E7" s="23" t="n">
        <f aca="false">COUNTIF('Claude vs tools'!C2:C48,"?*")</f>
        <v>8</v>
      </c>
      <c r="F7" s="24" t="n">
        <f aca="false">E7/COUNTA('Claude vs tools'!B2:B48)</f>
        <v>0.170212765957447</v>
      </c>
      <c r="G7" s="24" t="n">
        <f aca="false">IF(D7+F7=0,0,2*D7*F7/(D7+F7))</f>
        <v>0.230065359477124</v>
      </c>
      <c r="H7" s="24" t="n">
        <f aca="false">COUNTIFS('Claude vs tools'!F2:F48,"Core",'Claude vs tools'!C2:C48,"?*")/COUNTIF('Claude vs tools'!F2:F48,"Core")</f>
        <v>0.205882352941176</v>
      </c>
    </row>
    <row r="8" customFormat="false" ht="15" hidden="false" customHeight="false" outlineLevel="0" collapsed="false">
      <c r="A8" s="22" t="s">
        <v>231</v>
      </c>
      <c r="B8" s="23" t="n">
        <f aca="false">COUNTA('Raw lists'!B2:B29)</f>
        <v>28</v>
      </c>
      <c r="C8" s="23" t="n">
        <f aca="false">SUM('Raw lists'!F2:F29)</f>
        <v>11</v>
      </c>
      <c r="D8" s="24" t="n">
        <f aca="false">IF(B8=0,0,C8/B8)</f>
        <v>0.392857142857143</v>
      </c>
      <c r="E8" s="23" t="n">
        <f aca="false">COUNTIF('Claude vs tools'!D2:D48,"?*")</f>
        <v>9</v>
      </c>
      <c r="F8" s="24" t="n">
        <f aca="false">E8/COUNTA('Claude vs tools'!B2:B48)</f>
        <v>0.191489361702128</v>
      </c>
      <c r="G8" s="24" t="n">
        <f aca="false">IF(D8+F8=0,0,2*D8*F8/(D8+F8))</f>
        <v>0.257477243172952</v>
      </c>
      <c r="H8" s="24" t="n">
        <f aca="false">COUNTIFS('Claude vs tools'!F2:F48,"Core",'Claude vs tools'!D2:D48,"?*")/COUNTIF('Claude vs tools'!F2:F48,"Core")</f>
        <v>0.147058823529412</v>
      </c>
    </row>
    <row r="9" customFormat="false" ht="15" hidden="false" customHeight="false" outlineLevel="0" collapsed="false">
      <c r="A9" s="22" t="s">
        <v>232</v>
      </c>
      <c r="B9" s="23" t="n">
        <f aca="false">COUNTA('Raw lists'!C2:C23)</f>
        <v>22</v>
      </c>
      <c r="C9" s="23" t="n">
        <f aca="false">SUM('Raw lists'!G2:G23)</f>
        <v>11</v>
      </c>
      <c r="D9" s="24" t="n">
        <f aca="false">IF(B9=0,0,C9/B9)</f>
        <v>0.5</v>
      </c>
      <c r="E9" s="23" t="n">
        <f aca="false">COUNTIF('Claude vs tools'!E2:E48,"?*")</f>
        <v>8</v>
      </c>
      <c r="F9" s="24" t="n">
        <f aca="false">E9/COUNTA('Claude vs tools'!B2:B48)</f>
        <v>0.170212765957447</v>
      </c>
      <c r="G9" s="24" t="n">
        <f aca="false">IF(D9+F9=0,0,2*D9*F9/(D9+F9))</f>
        <v>0.253968253968254</v>
      </c>
      <c r="H9" s="24" t="n">
        <f aca="false">COUNTIFS('Claude vs tools'!F2:F48,"Core",'Claude vs tools'!E2:E48,"?*")/COUNTIF('Claude vs tools'!F2:F48,"Core")</f>
        <v>0.235294117647059</v>
      </c>
    </row>
    <row r="10" customFormat="false" ht="30" hidden="false" customHeight="true" outlineLevel="0" collapsed="false">
      <c r="A10" s="25" t="str">
        <f aca="false">"Claude's list has "&amp;COUNTA('Claude vs tools'!B2:B48)&amp;" concepts ("&amp;COUNTIF('Claude vs tools'!F2:F48,"Core")&amp;" core, "&amp;COUNTIF('Claude vs tools'!F2:F48,"Example")&amp;" named examples). Precision = share of a tool's items that are in Claude's list. Recall = share of Claude's concepts the tool found."</f>
        <v>Claude's list has 47 concepts (34 core, 13 named examples). Precision = share of a tool's items that are in Claude's list. Recall = share of Claude's concepts the tool found.</v>
      </c>
      <c r="B10" s="25"/>
      <c r="C10" s="25"/>
      <c r="D10" s="25"/>
      <c r="E10" s="25"/>
      <c r="F10" s="25"/>
      <c r="G10" s="25"/>
      <c r="H10" s="25"/>
    </row>
    <row r="12" customFormat="false" ht="15" hidden="false" customHeight="false" outlineLevel="0" collapsed="false">
      <c r="A12" s="20" t="s">
        <v>233</v>
      </c>
    </row>
    <row r="13" customFormat="false" ht="48" hidden="false" customHeight="true" outlineLevel="0" collapsed="false">
      <c r="A13" s="1" t="s">
        <v>222</v>
      </c>
      <c r="B13" s="1" t="s">
        <v>234</v>
      </c>
      <c r="C13" s="1" t="s">
        <v>235</v>
      </c>
      <c r="D13" s="1" t="s">
        <v>236</v>
      </c>
      <c r="E13" s="1" t="s">
        <v>237</v>
      </c>
    </row>
    <row r="14" customFormat="false" ht="15" hidden="false" customHeight="false" outlineLevel="0" collapsed="false">
      <c r="A14" s="22" t="s">
        <v>230</v>
      </c>
      <c r="B14" s="23" t="n">
        <f aca="false">COUNTA('Tools matrix'!B2:B59)</f>
        <v>31</v>
      </c>
      <c r="C14" s="23" t="n">
        <f aca="false">SUMPRODUCT(('Tools matrix'!B2:B59&lt;&gt;"")*('Tools matrix'!E2:E59&gt;=2))</f>
        <v>11</v>
      </c>
      <c r="D14" s="23" t="n">
        <f aca="false">SUMPRODUCT(('Tools matrix'!B2:B59&lt;&gt;"")*('Tools matrix'!E2:E59=1))</f>
        <v>20</v>
      </c>
      <c r="E14" s="24" t="n">
        <f aca="false">IF(B14=0,0,C14/B14)</f>
        <v>0.354838709677419</v>
      </c>
    </row>
    <row r="15" customFormat="false" ht="15" hidden="false" customHeight="false" outlineLevel="0" collapsed="false">
      <c r="A15" s="22" t="s">
        <v>231</v>
      </c>
      <c r="B15" s="23" t="n">
        <f aca="false">COUNTA('Tools matrix'!C2:C59)</f>
        <v>24</v>
      </c>
      <c r="C15" s="23" t="n">
        <f aca="false">SUMPRODUCT(('Tools matrix'!C2:C59&lt;&gt;"")*('Tools matrix'!E2:E59&gt;=2))</f>
        <v>7</v>
      </c>
      <c r="D15" s="23" t="n">
        <f aca="false">SUMPRODUCT(('Tools matrix'!C2:C59&lt;&gt;"")*('Tools matrix'!E2:E59=1))</f>
        <v>17</v>
      </c>
      <c r="E15" s="24" t="n">
        <f aca="false">IF(B15=0,0,C15/B15)</f>
        <v>0.291666666666667</v>
      </c>
    </row>
    <row r="16" customFormat="false" ht="15" hidden="false" customHeight="false" outlineLevel="0" collapsed="false">
      <c r="A16" s="22" t="s">
        <v>232</v>
      </c>
      <c r="B16" s="23" t="n">
        <f aca="false">COUNTA('Tools matrix'!D2:D59)</f>
        <v>21</v>
      </c>
      <c r="C16" s="23" t="n">
        <f aca="false">SUMPRODUCT(('Tools matrix'!D2:D59&lt;&gt;"")*('Tools matrix'!E2:E59&gt;=2))</f>
        <v>13</v>
      </c>
      <c r="D16" s="23" t="n">
        <f aca="false">SUMPRODUCT(('Tools matrix'!D2:D59&lt;&gt;"")*('Tools matrix'!E2:E59=1))</f>
        <v>8</v>
      </c>
      <c r="E16" s="24" t="n">
        <f aca="false">IF(B16=0,0,C16/B16)</f>
        <v>0.619047619047619</v>
      </c>
    </row>
    <row r="18" customFormat="false" ht="15" hidden="false" customHeight="false" outlineLevel="0" collapsed="false">
      <c r="A18" s="20" t="s">
        <v>238</v>
      </c>
    </row>
    <row r="19" customFormat="false" ht="15" hidden="false" customHeight="false" outlineLevel="0" collapsed="false">
      <c r="A19" s="26" t="s">
        <v>239</v>
      </c>
      <c r="B19" s="27" t="n">
        <f aca="false">COUNTA('Tools matrix'!A2:A59)</f>
        <v>58</v>
      </c>
    </row>
    <row r="20" customFormat="false" ht="15" hidden="false" customHeight="false" outlineLevel="0" collapsed="false">
      <c r="A20" s="26" t="s">
        <v>18</v>
      </c>
      <c r="B20" s="27" t="n">
        <f aca="false">COUNTIF('Tools matrix'!E2:E59,3)</f>
        <v>5</v>
      </c>
    </row>
    <row r="21" customFormat="false" ht="15" hidden="false" customHeight="false" outlineLevel="0" collapsed="false">
      <c r="A21" s="26" t="s">
        <v>240</v>
      </c>
      <c r="B21" s="27" t="n">
        <f aca="false">COUNTIF('Tools matrix'!E2:E59,2)</f>
        <v>8</v>
      </c>
    </row>
    <row r="22" customFormat="false" ht="15" hidden="false" customHeight="false" outlineLevel="0" collapsed="false">
      <c r="A22" s="26" t="s">
        <v>241</v>
      </c>
      <c r="B22" s="27" t="n">
        <f aca="false">COUNTIF('Tools matrix'!E2:E59,1)</f>
        <v>45</v>
      </c>
    </row>
    <row r="23" customFormat="false" ht="15" hidden="false" customHeight="false" outlineLevel="0" collapsed="false">
      <c r="A23" s="26" t="s">
        <v>242</v>
      </c>
      <c r="B23" s="27" t="n">
        <f aca="false">SUMPRODUCT(('Tools matrix'!B2:B59&lt;&gt;"")*('Tools matrix'!C2:C59&lt;&gt;""))</f>
        <v>5</v>
      </c>
    </row>
    <row r="24" customFormat="false" ht="15" hidden="false" customHeight="false" outlineLevel="0" collapsed="false">
      <c r="A24" s="26" t="s">
        <v>243</v>
      </c>
      <c r="B24" s="27" t="n">
        <f aca="false">SUMPRODUCT(('Tools matrix'!B2:B59&lt;&gt;"")*('Tools matrix'!D2:D59&lt;&gt;""))</f>
        <v>11</v>
      </c>
    </row>
    <row r="25" customFormat="false" ht="15" hidden="false" customHeight="false" outlineLevel="0" collapsed="false">
      <c r="A25" s="26" t="s">
        <v>244</v>
      </c>
      <c r="B25" s="27" t="n">
        <f aca="false">SUMPRODUCT(('Tools matrix'!C2:C59&lt;&gt;"")*('Tools matrix'!D2:D59&lt;&gt;""))</f>
        <v>7</v>
      </c>
    </row>
    <row r="27" customFormat="false" ht="15" hidden="false" customHeight="false" outlineLevel="0" collapsed="false">
      <c r="A27" s="20" t="s">
        <v>245</v>
      </c>
    </row>
    <row r="28" customFormat="false" ht="48" hidden="false" customHeight="true" outlineLevel="0" collapsed="false">
      <c r="A28" s="28" t="s">
        <v>246</v>
      </c>
      <c r="B28" s="28"/>
      <c r="C28" s="28"/>
      <c r="D28" s="28"/>
      <c r="E28" s="28"/>
      <c r="F28" s="28"/>
      <c r="G28" s="28"/>
      <c r="H28" s="28"/>
    </row>
    <row r="29" customFormat="false" ht="48" hidden="false" customHeight="true" outlineLevel="0" collapsed="false">
      <c r="A29" s="28" t="s">
        <v>247</v>
      </c>
      <c r="B29" s="28"/>
      <c r="C29" s="28"/>
      <c r="D29" s="28"/>
      <c r="E29" s="28"/>
      <c r="F29" s="28"/>
      <c r="G29" s="28"/>
      <c r="H29" s="28"/>
    </row>
    <row r="30" customFormat="false" ht="48" hidden="false" customHeight="true" outlineLevel="0" collapsed="false">
      <c r="A30" s="28" t="s">
        <v>248</v>
      </c>
      <c r="B30" s="28"/>
      <c r="C30" s="28"/>
      <c r="D30" s="28"/>
      <c r="E30" s="28"/>
      <c r="F30" s="28"/>
      <c r="G30" s="28"/>
      <c r="H30" s="28"/>
    </row>
    <row r="31" customFormat="false" ht="48" hidden="false" customHeight="true" outlineLevel="0" collapsed="false">
      <c r="A31" s="28" t="s">
        <v>249</v>
      </c>
      <c r="B31" s="28"/>
      <c r="C31" s="28"/>
      <c r="D31" s="28"/>
      <c r="E31" s="28"/>
      <c r="F31" s="28"/>
      <c r="G31" s="28"/>
      <c r="H31" s="28"/>
    </row>
    <row r="32" customFormat="false" ht="48" hidden="false" customHeight="true" outlineLevel="0" collapsed="false">
      <c r="A32" s="28" t="s">
        <v>250</v>
      </c>
      <c r="B32" s="28"/>
      <c r="C32" s="28"/>
      <c r="D32" s="28"/>
      <c r="E32" s="28"/>
      <c r="F32" s="28"/>
      <c r="G32" s="28"/>
      <c r="H32" s="28"/>
    </row>
    <row r="33" customFormat="false" ht="48" hidden="false" customHeight="true" outlineLevel="0" collapsed="false">
      <c r="A33" s="28" t="s">
        <v>251</v>
      </c>
      <c r="B33" s="28"/>
      <c r="C33" s="28"/>
      <c r="D33" s="28"/>
      <c r="E33" s="28"/>
      <c r="F33" s="28"/>
      <c r="G33" s="28"/>
      <c r="H33" s="28"/>
    </row>
    <row r="35" customFormat="false" ht="15" hidden="false" customHeight="false" outlineLevel="0" collapsed="false">
      <c r="A35" s="20" t="s">
        <v>252</v>
      </c>
    </row>
    <row r="36" customFormat="false" ht="45.75" hidden="false" customHeight="true" outlineLevel="0" collapsed="false">
      <c r="A36" s="28" t="s">
        <v>253</v>
      </c>
      <c r="B36" s="28"/>
      <c r="C36" s="28"/>
      <c r="D36" s="28"/>
      <c r="E36" s="28"/>
      <c r="F36" s="28"/>
      <c r="G36" s="28"/>
      <c r="H36" s="28"/>
    </row>
    <row r="37" customFormat="false" ht="45.75" hidden="false" customHeight="true" outlineLevel="0" collapsed="false">
      <c r="A37" s="28" t="s">
        <v>254</v>
      </c>
      <c r="B37" s="28"/>
      <c r="C37" s="28"/>
      <c r="D37" s="28"/>
      <c r="E37" s="28"/>
      <c r="F37" s="28"/>
      <c r="G37" s="28"/>
      <c r="H37" s="28"/>
    </row>
  </sheetData>
  <mergeCells count="10">
    <mergeCell ref="A5:H5"/>
    <mergeCell ref="A10:H10"/>
    <mergeCell ref="A28:H28"/>
    <mergeCell ref="A29:H29"/>
    <mergeCell ref="A30:H30"/>
    <mergeCell ref="A31:H31"/>
    <mergeCell ref="A32:H32"/>
    <mergeCell ref="A33:H33"/>
    <mergeCell ref="A36:H36"/>
    <mergeCell ref="A37:H37"/>
  </mergeCells>
  <conditionalFormatting sqref="A7:H9">
    <cfRule type="expression" priority="2" aboveAverage="0" equalAverage="0" bottom="0" percent="0" rank="0" text="" dxfId="15">
      <formula>$G7=MAX($G$7:$G$9)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8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50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1" t="s">
        <v>255</v>
      </c>
      <c r="B1" s="1" t="s">
        <v>230</v>
      </c>
      <c r="C1" s="1" t="s">
        <v>231</v>
      </c>
      <c r="D1" s="1" t="s">
        <v>232</v>
      </c>
      <c r="E1" s="1" t="s">
        <v>256</v>
      </c>
      <c r="F1" s="1" t="s">
        <v>8</v>
      </c>
      <c r="G1" s="1" t="s">
        <v>257</v>
      </c>
      <c r="H1" s="1" t="s">
        <v>258</v>
      </c>
      <c r="I1" s="1" t="s">
        <v>259</v>
      </c>
      <c r="J1" s="3" t="s">
        <v>12</v>
      </c>
    </row>
    <row r="2" customFormat="false" ht="15" hidden="false" customHeight="false" outlineLevel="0" collapsed="false">
      <c r="A2" s="29" t="s">
        <v>164</v>
      </c>
      <c r="B2" s="6" t="s">
        <v>164</v>
      </c>
      <c r="C2" s="6" t="s">
        <v>164</v>
      </c>
      <c r="D2" s="6" t="s">
        <v>164</v>
      </c>
      <c r="E2" s="30" t="n">
        <f aca="false">COUNTA(B2:D2)</f>
        <v>3</v>
      </c>
      <c r="F2" s="30" t="str">
        <f aca="false">IF(E2=3,"All three",IF(E2=2,SUBSTITUTE(TRIM(IF(B2&lt;&gt;"","Gemini ","")&amp;IF(C2&lt;&gt;"","RAKE ","")&amp;IF(D2&lt;&gt;"","YAKE",""))," "," + "),"Only "&amp;TRIM(IF(B2&lt;&gt;"","Gemini","")&amp;IF(C2&lt;&gt;"","RAKE","")&amp;IF(D2&lt;&gt;"","YAKE",""))))</f>
        <v>All three</v>
      </c>
      <c r="G2" s="6" t="s">
        <v>91</v>
      </c>
      <c r="H2" s="6" t="s">
        <v>166</v>
      </c>
      <c r="I2" s="31" t="str">
        <f aca="false">IF(COUNTIF('Claude vs tools'!$K$2:$M$48,A2)&gt;0,"★ Yes","")</f>
        <v/>
      </c>
      <c r="J2" s="9" t="s">
        <v>18</v>
      </c>
    </row>
    <row r="3" customFormat="false" ht="15" hidden="false" customHeight="false" outlineLevel="0" collapsed="false">
      <c r="A3" s="29" t="s">
        <v>167</v>
      </c>
      <c r="B3" s="6" t="s">
        <v>167</v>
      </c>
      <c r="C3" s="6" t="s">
        <v>168</v>
      </c>
      <c r="D3" s="6" t="s">
        <v>167</v>
      </c>
      <c r="E3" s="30" t="n">
        <f aca="false">COUNTA(B3:D3)</f>
        <v>3</v>
      </c>
      <c r="F3" s="30" t="str">
        <f aca="false">IF(E3=3,"All three",IF(E3=2,SUBSTITUTE(TRIM(IF(B3&lt;&gt;"","Gemini ","")&amp;IF(C3&lt;&gt;"","RAKE ","")&amp;IF(D3&lt;&gt;"","YAKE",""))," "," + "),"Only "&amp;TRIM(IF(B3&lt;&gt;"","Gemini","")&amp;IF(C3&lt;&gt;"","RAKE","")&amp;IF(D3&lt;&gt;"","YAKE",""))))</f>
        <v>All three</v>
      </c>
      <c r="G3" s="6"/>
      <c r="H3" s="6"/>
      <c r="I3" s="31" t="str">
        <f aca="false">IF(COUNTIF('Claude vs tools'!$K$2:$M$48,A3)&gt;0,"★ Yes","")</f>
        <v/>
      </c>
      <c r="J3" s="10" t="s">
        <v>22</v>
      </c>
    </row>
    <row r="4" customFormat="false" ht="35.05" hidden="false" customHeight="false" outlineLevel="0" collapsed="false">
      <c r="A4" s="29" t="s">
        <v>98</v>
      </c>
      <c r="B4" s="6" t="s">
        <v>98</v>
      </c>
      <c r="C4" s="6" t="s">
        <v>98</v>
      </c>
      <c r="D4" s="6" t="s">
        <v>98</v>
      </c>
      <c r="E4" s="30" t="n">
        <f aca="false">COUNTA(B4:D4)</f>
        <v>3</v>
      </c>
      <c r="F4" s="30" t="str">
        <f aca="false">IF(E4=3,"All three",IF(E4=2,SUBSTITUTE(TRIM(IF(B4&lt;&gt;"","Gemini ","")&amp;IF(C4&lt;&gt;"","RAKE ","")&amp;IF(D4&lt;&gt;"","YAKE",""))," "," + "),"Only "&amp;TRIM(IF(B4&lt;&gt;"","Gemini","")&amp;IF(C4&lt;&gt;"","RAKE","")&amp;IF(D4&lt;&gt;"","YAKE",""))))</f>
        <v>All three</v>
      </c>
      <c r="G4" s="6" t="s">
        <v>260</v>
      </c>
      <c r="H4" s="6"/>
      <c r="I4" s="31" t="str">
        <f aca="false">IF(COUNTIF('Claude vs tools'!$K$2:$M$48,A4)&gt;0,"★ Yes","")</f>
        <v>★ Yes</v>
      </c>
      <c r="J4" s="32" t="s">
        <v>261</v>
      </c>
    </row>
    <row r="5" customFormat="false" ht="23.85" hidden="false" customHeight="false" outlineLevel="0" collapsed="false">
      <c r="A5" s="29" t="s">
        <v>170</v>
      </c>
      <c r="B5" s="6" t="s">
        <v>170</v>
      </c>
      <c r="C5" s="6" t="s">
        <v>170</v>
      </c>
      <c r="D5" s="6" t="s">
        <v>170</v>
      </c>
      <c r="E5" s="30" t="n">
        <f aca="false">COUNTA(B5:D5)</f>
        <v>3</v>
      </c>
      <c r="F5" s="30" t="str">
        <f aca="false">IF(E5=3,"All three",IF(E5=2,SUBSTITUTE(TRIM(IF(B5&lt;&gt;"","Gemini ","")&amp;IF(C5&lt;&gt;"","RAKE ","")&amp;IF(D5&lt;&gt;"","YAKE",""))," "," + "),"Only "&amp;TRIM(IF(B5&lt;&gt;"","Gemini","")&amp;IF(C5&lt;&gt;"","RAKE","")&amp;IF(D5&lt;&gt;"","YAKE",""))))</f>
        <v>All three</v>
      </c>
      <c r="G5" s="6" t="s">
        <v>262</v>
      </c>
      <c r="H5" s="6"/>
      <c r="I5" s="31" t="str">
        <f aca="false">IF(COUNTIF('Claude vs tools'!$K$2:$M$48,A5)&gt;0,"★ Yes","")</f>
        <v/>
      </c>
      <c r="J5" s="33" t="s">
        <v>263</v>
      </c>
    </row>
    <row r="6" customFormat="false" ht="15" hidden="false" customHeight="false" outlineLevel="0" collapsed="false">
      <c r="A6" s="29" t="s">
        <v>171</v>
      </c>
      <c r="B6" s="6" t="s">
        <v>171</v>
      </c>
      <c r="C6" s="6" t="s">
        <v>171</v>
      </c>
      <c r="D6" s="6" t="s">
        <v>171</v>
      </c>
      <c r="E6" s="30" t="n">
        <f aca="false">COUNTA(B6:D6)</f>
        <v>3</v>
      </c>
      <c r="F6" s="30" t="str">
        <f aca="false">IF(E6=3,"All three",IF(E6=2,SUBSTITUTE(TRIM(IF(B6&lt;&gt;"","Gemini ","")&amp;IF(C6&lt;&gt;"","RAKE ","")&amp;IF(D6&lt;&gt;"","YAKE",""))," "," + "),"Only "&amp;TRIM(IF(B6&lt;&gt;"","Gemini","")&amp;IF(C6&lt;&gt;"","RAKE","")&amp;IF(D6&lt;&gt;"","YAKE",""))))</f>
        <v>All three</v>
      </c>
      <c r="G6" s="6" t="s">
        <v>264</v>
      </c>
      <c r="H6" s="6" t="s">
        <v>172</v>
      </c>
      <c r="I6" s="31" t="str">
        <f aca="false">IF(COUNTIF('Claude vs tools'!$K$2:$M$48,A6)&gt;0,"★ Yes","")</f>
        <v/>
      </c>
      <c r="J6" s="19" t="s">
        <v>265</v>
      </c>
    </row>
    <row r="7" customFormat="false" ht="15" hidden="false" customHeight="false" outlineLevel="0" collapsed="false">
      <c r="A7" s="29" t="s">
        <v>72</v>
      </c>
      <c r="B7" s="6" t="s">
        <v>72</v>
      </c>
      <c r="C7" s="6"/>
      <c r="D7" s="6" t="s">
        <v>72</v>
      </c>
      <c r="E7" s="30" t="n">
        <f aca="false">COUNTA(B7:D7)</f>
        <v>2</v>
      </c>
      <c r="F7" s="30" t="str">
        <f aca="false">IF(E7=3,"All three",IF(E7=2,SUBSTITUTE(TRIM(IF(B7&lt;&gt;"","Gemini ","")&amp;IF(C7&lt;&gt;"","RAKE ","")&amp;IF(D7&lt;&gt;"","YAKE",""))," "," + "),"Only "&amp;TRIM(IF(B7&lt;&gt;"","Gemini","")&amp;IF(C7&lt;&gt;"","RAKE","")&amp;IF(D7&lt;&gt;"","YAKE",""))))</f>
        <v>Gemini + YAKE</v>
      </c>
      <c r="G7" s="6" t="s">
        <v>266</v>
      </c>
      <c r="H7" s="6"/>
      <c r="I7" s="31" t="str">
        <f aca="false">IF(COUNTIF('Claude vs tools'!$K$2:$M$48,A7)&gt;0,"★ Yes","")</f>
        <v>★ Yes</v>
      </c>
    </row>
    <row r="8" customFormat="false" ht="23.85" hidden="false" customHeight="false" outlineLevel="0" collapsed="false">
      <c r="A8" s="29" t="s">
        <v>87</v>
      </c>
      <c r="B8" s="6" t="s">
        <v>87</v>
      </c>
      <c r="C8" s="6"/>
      <c r="D8" s="6" t="s">
        <v>87</v>
      </c>
      <c r="E8" s="30" t="n">
        <f aca="false">COUNTA(B8:D8)</f>
        <v>2</v>
      </c>
      <c r="F8" s="30" t="str">
        <f aca="false">IF(E8=3,"All three",IF(E8=2,SUBSTITUTE(TRIM(IF(B8&lt;&gt;"","Gemini ","")&amp;IF(C8&lt;&gt;"","RAKE ","")&amp;IF(D8&lt;&gt;"","YAKE",""))," "," + "),"Only "&amp;TRIM(IF(B8&lt;&gt;"","Gemini","")&amp;IF(C8&lt;&gt;"","RAKE","")&amp;IF(D8&lt;&gt;"","YAKE",""))))</f>
        <v>Gemini + YAKE</v>
      </c>
      <c r="G8" s="6" t="s">
        <v>267</v>
      </c>
      <c r="H8" s="6"/>
      <c r="I8" s="31" t="str">
        <f aca="false">IF(COUNTIF('Claude vs tools'!$K$2:$M$48,A8)&gt;0,"★ Yes","")</f>
        <v>★ Yes</v>
      </c>
    </row>
    <row r="9" customFormat="false" ht="23.85" hidden="false" customHeight="false" outlineLevel="0" collapsed="false">
      <c r="A9" s="29" t="s">
        <v>173</v>
      </c>
      <c r="B9" s="6" t="s">
        <v>173</v>
      </c>
      <c r="C9" s="6"/>
      <c r="D9" s="6" t="s">
        <v>173</v>
      </c>
      <c r="E9" s="30" t="n">
        <f aca="false">COUNTA(B9:D9)</f>
        <v>2</v>
      </c>
      <c r="F9" s="30" t="str">
        <f aca="false">IF(E9=3,"All three",IF(E9=2,SUBSTITUTE(TRIM(IF(B9&lt;&gt;"","Gemini ","")&amp;IF(C9&lt;&gt;"","RAKE ","")&amp;IF(D9&lt;&gt;"","YAKE",""))," "," + "),"Only "&amp;TRIM(IF(B9&lt;&gt;"","Gemini","")&amp;IF(C9&lt;&gt;"","RAKE","")&amp;IF(D9&lt;&gt;"","YAKE",""))))</f>
        <v>Gemini + YAKE</v>
      </c>
      <c r="G9" s="6" t="s">
        <v>268</v>
      </c>
      <c r="H9" s="6"/>
      <c r="I9" s="31" t="str">
        <f aca="false">IF(COUNTIF('Claude vs tools'!$K$2:$M$48,A9)&gt;0,"★ Yes","")</f>
        <v/>
      </c>
    </row>
    <row r="10" customFormat="false" ht="23.85" hidden="false" customHeight="false" outlineLevel="0" collapsed="false">
      <c r="A10" s="29" t="s">
        <v>174</v>
      </c>
      <c r="B10" s="6" t="s">
        <v>174</v>
      </c>
      <c r="C10" s="6"/>
      <c r="D10" s="6" t="s">
        <v>174</v>
      </c>
      <c r="E10" s="30" t="n">
        <f aca="false">COUNTA(B10:D10)</f>
        <v>2</v>
      </c>
      <c r="F10" s="30" t="str">
        <f aca="false">IF(E10=3,"All three",IF(E10=2,SUBSTITUTE(TRIM(IF(B10&lt;&gt;"","Gemini ","")&amp;IF(C10&lt;&gt;"","RAKE ","")&amp;IF(D10&lt;&gt;"","YAKE",""))," "," + "),"Only "&amp;TRIM(IF(B10&lt;&gt;"","Gemini","")&amp;IF(C10&lt;&gt;"","RAKE","")&amp;IF(D10&lt;&gt;"","YAKE",""))))</f>
        <v>Gemini + YAKE</v>
      </c>
      <c r="G10" s="6" t="s">
        <v>269</v>
      </c>
      <c r="H10" s="6"/>
      <c r="I10" s="31" t="str">
        <f aca="false">IF(COUNTIF('Claude vs tools'!$K$2:$M$48,A10)&gt;0,"★ Yes","")</f>
        <v/>
      </c>
    </row>
    <row r="11" customFormat="false" ht="15" hidden="false" customHeight="false" outlineLevel="0" collapsed="false">
      <c r="A11" s="29" t="s">
        <v>70</v>
      </c>
      <c r="B11" s="6" t="s">
        <v>70</v>
      </c>
      <c r="C11" s="6"/>
      <c r="D11" s="6" t="s">
        <v>70</v>
      </c>
      <c r="E11" s="30" t="n">
        <f aca="false">COUNTA(B11:D11)</f>
        <v>2</v>
      </c>
      <c r="F11" s="30" t="str">
        <f aca="false">IF(E11=3,"All three",IF(E11=2,SUBSTITUTE(TRIM(IF(B11&lt;&gt;"","Gemini ","")&amp;IF(C11&lt;&gt;"","RAKE ","")&amp;IF(D11&lt;&gt;"","YAKE",""))," "," + "),"Only "&amp;TRIM(IF(B11&lt;&gt;"","Gemini","")&amp;IF(C11&lt;&gt;"","RAKE","")&amp;IF(D11&lt;&gt;"","YAKE",""))))</f>
        <v>Gemini + YAKE</v>
      </c>
      <c r="G11" s="6" t="s">
        <v>270</v>
      </c>
      <c r="H11" s="6"/>
      <c r="I11" s="31" t="str">
        <f aca="false">IF(COUNTIF('Claude vs tools'!$K$2:$M$48,A11)&gt;0,"★ Yes","")</f>
        <v>★ Yes</v>
      </c>
    </row>
    <row r="12" customFormat="false" ht="15" hidden="false" customHeight="false" outlineLevel="0" collapsed="false">
      <c r="A12" s="29" t="s">
        <v>25</v>
      </c>
      <c r="B12" s="6"/>
      <c r="C12" s="6" t="s">
        <v>271</v>
      </c>
      <c r="D12" s="6" t="s">
        <v>271</v>
      </c>
      <c r="E12" s="30" t="n">
        <f aca="false">COUNTA(B12:D12)</f>
        <v>2</v>
      </c>
      <c r="F12" s="30" t="str">
        <f aca="false">IF(E12=3,"All three",IF(E12=2,SUBSTITUTE(TRIM(IF(B12&lt;&gt;"","Gemini ","")&amp;IF(C12&lt;&gt;"","RAKE ","")&amp;IF(D12&lt;&gt;"","YAKE",""))," "," + "),"Only "&amp;TRIM(IF(B12&lt;&gt;"","Gemini","")&amp;IF(C12&lt;&gt;"","RAKE","")&amp;IF(D12&lt;&gt;"","YAKE",""))))</f>
        <v>RAKE + YAKE</v>
      </c>
      <c r="G12" s="6" t="s">
        <v>68</v>
      </c>
      <c r="H12" s="6"/>
      <c r="I12" s="31" t="str">
        <f aca="false">IF(COUNTIF('Claude vs tools'!$K$2:$M$48,A12)&gt;0,"★ Yes","")</f>
        <v>★ Yes</v>
      </c>
    </row>
    <row r="13" customFormat="false" ht="23.85" hidden="false" customHeight="false" outlineLevel="0" collapsed="false">
      <c r="A13" s="29" t="s">
        <v>176</v>
      </c>
      <c r="B13" s="6"/>
      <c r="C13" s="6" t="s">
        <v>175</v>
      </c>
      <c r="D13" s="6" t="s">
        <v>176</v>
      </c>
      <c r="E13" s="30" t="n">
        <f aca="false">COUNTA(B13:D13)</f>
        <v>2</v>
      </c>
      <c r="F13" s="30" t="str">
        <f aca="false">IF(E13=3,"All three",IF(E13=2,SUBSTITUTE(TRIM(IF(B13&lt;&gt;"","Gemini ","")&amp;IF(C13&lt;&gt;"","RAKE ","")&amp;IF(D13&lt;&gt;"","YAKE",""))," "," + "),"Only "&amp;TRIM(IF(B13&lt;&gt;"","Gemini","")&amp;IF(C13&lt;&gt;"","RAKE","")&amp;IF(D13&lt;&gt;"","YAKE",""))))</f>
        <v>RAKE + YAKE</v>
      </c>
      <c r="G13" s="6" t="s">
        <v>272</v>
      </c>
      <c r="H13" s="6"/>
      <c r="I13" s="31" t="str">
        <f aca="false">IF(COUNTIF('Claude vs tools'!$K$2:$M$48,A13)&gt;0,"★ Yes","")</f>
        <v/>
      </c>
    </row>
    <row r="14" customFormat="false" ht="15" hidden="false" customHeight="false" outlineLevel="0" collapsed="false">
      <c r="A14" s="29" t="s">
        <v>79</v>
      </c>
      <c r="B14" s="6" t="s">
        <v>79</v>
      </c>
      <c r="C14" s="6"/>
      <c r="D14" s="6" t="s">
        <v>79</v>
      </c>
      <c r="E14" s="30" t="n">
        <f aca="false">COUNTA(B14:D14)</f>
        <v>2</v>
      </c>
      <c r="F14" s="30" t="str">
        <f aca="false">IF(E14=3,"All three",IF(E14=2,SUBSTITUTE(TRIM(IF(B14&lt;&gt;"","Gemini ","")&amp;IF(C14&lt;&gt;"","RAKE ","")&amp;IF(D14&lt;&gt;"","YAKE",""))," "," + "),"Only "&amp;TRIM(IF(B14&lt;&gt;"","Gemini","")&amp;IF(C14&lt;&gt;"","RAKE","")&amp;IF(D14&lt;&gt;"","YAKE",""))))</f>
        <v>Gemini + YAKE</v>
      </c>
      <c r="G14" s="6" t="s">
        <v>273</v>
      </c>
      <c r="H14" s="6"/>
      <c r="I14" s="31" t="str">
        <f aca="false">IF(COUNTIF('Claude vs tools'!$K$2:$M$48,A14)&gt;0,"★ Yes","")</f>
        <v>★ Yes</v>
      </c>
    </row>
    <row r="15" customFormat="false" ht="15" hidden="false" customHeight="false" outlineLevel="0" collapsed="false">
      <c r="A15" s="29" t="s">
        <v>177</v>
      </c>
      <c r="B15" s="6"/>
      <c r="C15" s="6" t="s">
        <v>177</v>
      </c>
      <c r="D15" s="6"/>
      <c r="E15" s="30" t="n">
        <f aca="false">COUNTA(B15:D15)</f>
        <v>1</v>
      </c>
      <c r="F15" s="30" t="str">
        <f aca="false">IF(E15=3,"All three",IF(E15=2,SUBSTITUTE(TRIM(IF(B15&lt;&gt;"","Gemini ","")&amp;IF(C15&lt;&gt;"","RAKE ","")&amp;IF(D15&lt;&gt;"","YAKE",""))," "," + "),"Only "&amp;TRIM(IF(B15&lt;&gt;"","Gemini","")&amp;IF(C15&lt;&gt;"","RAKE","")&amp;IF(D15&lt;&gt;"","YAKE",""))))</f>
        <v>Only RAKE</v>
      </c>
      <c r="G15" s="6"/>
      <c r="H15" s="6" t="s">
        <v>178</v>
      </c>
      <c r="I15" s="31" t="str">
        <f aca="false">IF(COUNTIF('Claude vs tools'!$K$2:$M$48,A15)&gt;0,"★ Yes","")</f>
        <v/>
      </c>
    </row>
    <row r="16" customFormat="false" ht="15" hidden="false" customHeight="false" outlineLevel="0" collapsed="false">
      <c r="A16" s="29" t="s">
        <v>154</v>
      </c>
      <c r="B16" s="6"/>
      <c r="C16" s="6" t="s">
        <v>154</v>
      </c>
      <c r="D16" s="6"/>
      <c r="E16" s="30" t="n">
        <f aca="false">COUNTA(B16:D16)</f>
        <v>1</v>
      </c>
      <c r="F16" s="30" t="str">
        <f aca="false">IF(E16=3,"All three",IF(E16=2,SUBSTITUTE(TRIM(IF(B16&lt;&gt;"","Gemini ","")&amp;IF(C16&lt;&gt;"","RAKE ","")&amp;IF(D16&lt;&gt;"","YAKE",""))," "," + "),"Only "&amp;TRIM(IF(B16&lt;&gt;"","Gemini","")&amp;IF(C16&lt;&gt;"","RAKE","")&amp;IF(D16&lt;&gt;"","YAKE",""))))</f>
        <v>Only RAKE</v>
      </c>
      <c r="G16" s="6"/>
      <c r="H16" s="6" t="s">
        <v>274</v>
      </c>
      <c r="I16" s="31" t="str">
        <f aca="false">IF(COUNTIF('Claude vs tools'!$K$2:$M$48,A16)&gt;0,"★ Yes","")</f>
        <v>★ Yes</v>
      </c>
    </row>
    <row r="17" customFormat="false" ht="15" hidden="false" customHeight="false" outlineLevel="0" collapsed="false">
      <c r="A17" s="29" t="s">
        <v>48</v>
      </c>
      <c r="B17" s="6" t="s">
        <v>48</v>
      </c>
      <c r="C17" s="6"/>
      <c r="D17" s="6"/>
      <c r="E17" s="30" t="n">
        <f aca="false">COUNTA(B17:D17)</f>
        <v>1</v>
      </c>
      <c r="F17" s="30" t="str">
        <f aca="false">IF(E17=3,"All three",IF(E17=2,SUBSTITUTE(TRIM(IF(B17&lt;&gt;"","Gemini ","")&amp;IF(C17&lt;&gt;"","RAKE ","")&amp;IF(D17&lt;&gt;"","YAKE",""))," "," + "),"Only "&amp;TRIM(IF(B17&lt;&gt;"","Gemini","")&amp;IF(C17&lt;&gt;"","RAKE","")&amp;IF(D17&lt;&gt;"","YAKE",""))))</f>
        <v>Only Gemini</v>
      </c>
      <c r="G17" s="6"/>
      <c r="H17" s="6"/>
      <c r="I17" s="31" t="str">
        <f aca="false">IF(COUNTIF('Claude vs tools'!$K$2:$M$48,A17)&gt;0,"★ Yes","")</f>
        <v>★ Yes</v>
      </c>
    </row>
    <row r="18" customFormat="false" ht="15" hidden="false" customHeight="false" outlineLevel="0" collapsed="false">
      <c r="A18" s="29" t="s">
        <v>158</v>
      </c>
      <c r="B18" s="6"/>
      <c r="C18" s="6" t="s">
        <v>158</v>
      </c>
      <c r="D18" s="6"/>
      <c r="E18" s="30" t="n">
        <f aca="false">COUNTA(B18:D18)</f>
        <v>1</v>
      </c>
      <c r="F18" s="30" t="str">
        <f aca="false">IF(E18=3,"All three",IF(E18=2,SUBSTITUTE(TRIM(IF(B18&lt;&gt;"","Gemini ","")&amp;IF(C18&lt;&gt;"","RAKE ","")&amp;IF(D18&lt;&gt;"","YAKE",""))," "," + "),"Only "&amp;TRIM(IF(B18&lt;&gt;"","Gemini","")&amp;IF(C18&lt;&gt;"","RAKE","")&amp;IF(D18&lt;&gt;"","YAKE",""))))</f>
        <v>Only RAKE</v>
      </c>
      <c r="G18" s="6"/>
      <c r="H18" s="6" t="s">
        <v>275</v>
      </c>
      <c r="I18" s="31" t="str">
        <f aca="false">IF(COUNTIF('Claude vs tools'!$K$2:$M$48,A18)&gt;0,"★ Yes","")</f>
        <v>★ Yes</v>
      </c>
    </row>
    <row r="19" customFormat="false" ht="15" hidden="false" customHeight="false" outlineLevel="0" collapsed="false">
      <c r="A19" s="29" t="s">
        <v>94</v>
      </c>
      <c r="B19" s="6"/>
      <c r="C19" s="6" t="s">
        <v>94</v>
      </c>
      <c r="D19" s="6"/>
      <c r="E19" s="30" t="n">
        <f aca="false">COUNTA(B19:D19)</f>
        <v>1</v>
      </c>
      <c r="F19" s="30" t="str">
        <f aca="false">IF(E19=3,"All three",IF(E19=2,SUBSTITUTE(TRIM(IF(B19&lt;&gt;"","Gemini ","")&amp;IF(C19&lt;&gt;"","RAKE ","")&amp;IF(D19&lt;&gt;"","YAKE",""))," "," + "),"Only "&amp;TRIM(IF(B19&lt;&gt;"","Gemini","")&amp;IF(C19&lt;&gt;"","RAKE","")&amp;IF(D19&lt;&gt;"","YAKE",""))))</f>
        <v>Only RAKE</v>
      </c>
      <c r="G19" s="6"/>
      <c r="H19" s="6" t="s">
        <v>276</v>
      </c>
      <c r="I19" s="31" t="str">
        <f aca="false">IF(COUNTIF('Claude vs tools'!$K$2:$M$48,A19)&gt;0,"★ Yes","")</f>
        <v>★ Yes</v>
      </c>
    </row>
    <row r="20" customFormat="false" ht="15" hidden="false" customHeight="false" outlineLevel="0" collapsed="false">
      <c r="A20" s="29" t="s">
        <v>179</v>
      </c>
      <c r="B20" s="6" t="s">
        <v>179</v>
      </c>
      <c r="C20" s="6"/>
      <c r="D20" s="6"/>
      <c r="E20" s="30" t="n">
        <f aca="false">COUNTA(B20:D20)</f>
        <v>1</v>
      </c>
      <c r="F20" s="30" t="str">
        <f aca="false">IF(E20=3,"All three",IF(E20=2,SUBSTITUTE(TRIM(IF(B20&lt;&gt;"","Gemini ","")&amp;IF(C20&lt;&gt;"","RAKE ","")&amp;IF(D20&lt;&gt;"","YAKE",""))," "," + "),"Only "&amp;TRIM(IF(B20&lt;&gt;"","Gemini","")&amp;IF(C20&lt;&gt;"","RAKE","")&amp;IF(D20&lt;&gt;"","YAKE",""))))</f>
        <v>Only Gemini</v>
      </c>
      <c r="G20" s="6"/>
      <c r="H20" s="6" t="s">
        <v>180</v>
      </c>
      <c r="I20" s="31" t="str">
        <f aca="false">IF(COUNTIF('Claude vs tools'!$K$2:$M$48,A20)&gt;0,"★ Yes","")</f>
        <v/>
      </c>
    </row>
    <row r="21" customFormat="false" ht="23.85" hidden="false" customHeight="false" outlineLevel="0" collapsed="false">
      <c r="A21" s="29" t="s">
        <v>181</v>
      </c>
      <c r="B21" s="6"/>
      <c r="C21" s="6"/>
      <c r="D21" s="6" t="s">
        <v>181</v>
      </c>
      <c r="E21" s="30" t="n">
        <f aca="false">COUNTA(B21:D21)</f>
        <v>1</v>
      </c>
      <c r="F21" s="30" t="str">
        <f aca="false">IF(E21=3,"All three",IF(E21=2,SUBSTITUTE(TRIM(IF(B21&lt;&gt;"","Gemini ","")&amp;IF(C21&lt;&gt;"","RAKE ","")&amp;IF(D21&lt;&gt;"","YAKE",""))," "," + "),"Only "&amp;TRIM(IF(B21&lt;&gt;"","Gemini","")&amp;IF(C21&lt;&gt;"","RAKE","")&amp;IF(D21&lt;&gt;"","YAKE",""))))</f>
        <v>Only YAKE</v>
      </c>
      <c r="G21" s="6" t="s">
        <v>277</v>
      </c>
      <c r="H21" s="6" t="s">
        <v>182</v>
      </c>
      <c r="I21" s="31" t="str">
        <f aca="false">IF(COUNTIF('Claude vs tools'!$K$2:$M$48,A21)&gt;0,"★ Yes","")</f>
        <v/>
      </c>
    </row>
    <row r="22" customFormat="false" ht="15" hidden="false" customHeight="false" outlineLevel="0" collapsed="false">
      <c r="A22" s="29" t="s">
        <v>160</v>
      </c>
      <c r="B22" s="6"/>
      <c r="C22" s="6" t="s">
        <v>160</v>
      </c>
      <c r="D22" s="6"/>
      <c r="E22" s="30" t="n">
        <f aca="false">COUNTA(B22:D22)</f>
        <v>1</v>
      </c>
      <c r="F22" s="30" t="str">
        <f aca="false">IF(E22=3,"All three",IF(E22=2,SUBSTITUTE(TRIM(IF(B22&lt;&gt;"","Gemini ","")&amp;IF(C22&lt;&gt;"","RAKE ","")&amp;IF(D22&lt;&gt;"","YAKE",""))," "," + "),"Only "&amp;TRIM(IF(B22&lt;&gt;"","Gemini","")&amp;IF(C22&lt;&gt;"","RAKE","")&amp;IF(D22&lt;&gt;"","YAKE",""))))</f>
        <v>Only RAKE</v>
      </c>
      <c r="G22" s="6"/>
      <c r="H22" s="6" t="s">
        <v>275</v>
      </c>
      <c r="I22" s="31" t="str">
        <f aca="false">IF(COUNTIF('Claude vs tools'!$K$2:$M$48,A22)&gt;0,"★ Yes","")</f>
        <v>★ Yes</v>
      </c>
    </row>
    <row r="23" customFormat="false" ht="15" hidden="false" customHeight="false" outlineLevel="0" collapsed="false">
      <c r="A23" s="29" t="s">
        <v>183</v>
      </c>
      <c r="B23" s="6" t="s">
        <v>183</v>
      </c>
      <c r="C23" s="6"/>
      <c r="D23" s="6"/>
      <c r="E23" s="30" t="n">
        <f aca="false">COUNTA(B23:D23)</f>
        <v>1</v>
      </c>
      <c r="F23" s="30" t="str">
        <f aca="false">IF(E23=3,"All three",IF(E23=2,SUBSTITUTE(TRIM(IF(B23&lt;&gt;"","Gemini ","")&amp;IF(C23&lt;&gt;"","RAKE ","")&amp;IF(D23&lt;&gt;"","YAKE",""))," "," + "),"Only "&amp;TRIM(IF(B23&lt;&gt;"","Gemini","")&amp;IF(C23&lt;&gt;"","RAKE","")&amp;IF(D23&lt;&gt;"","YAKE",""))))</f>
        <v>Only Gemini</v>
      </c>
      <c r="G23" s="6"/>
      <c r="H23" s="6" t="s">
        <v>184</v>
      </c>
      <c r="I23" s="31" t="str">
        <f aca="false">IF(COUNTIF('Claude vs tools'!$K$2:$M$48,A23)&gt;0,"★ Yes","")</f>
        <v/>
      </c>
    </row>
    <row r="24" customFormat="false" ht="15" hidden="false" customHeight="false" outlineLevel="0" collapsed="false">
      <c r="A24" s="29" t="s">
        <v>185</v>
      </c>
      <c r="B24" s="6"/>
      <c r="C24" s="6" t="s">
        <v>185</v>
      </c>
      <c r="D24" s="6"/>
      <c r="E24" s="30" t="n">
        <f aca="false">COUNTA(B24:D24)</f>
        <v>1</v>
      </c>
      <c r="F24" s="30" t="str">
        <f aca="false">IF(E24=3,"All three",IF(E24=2,SUBSTITUTE(TRIM(IF(B24&lt;&gt;"","Gemini ","")&amp;IF(C24&lt;&gt;"","RAKE ","")&amp;IF(D24&lt;&gt;"","YAKE",""))," "," + "),"Only "&amp;TRIM(IF(B24&lt;&gt;"","Gemini","")&amp;IF(C24&lt;&gt;"","RAKE","")&amp;IF(D24&lt;&gt;"","YAKE",""))))</f>
        <v>Only RAKE</v>
      </c>
      <c r="G24" s="6"/>
      <c r="H24" s="6" t="s">
        <v>186</v>
      </c>
      <c r="I24" s="31" t="str">
        <f aca="false">IF(COUNTIF('Claude vs tools'!$K$2:$M$48,A24)&gt;0,"★ Yes","")</f>
        <v/>
      </c>
    </row>
    <row r="25" customFormat="false" ht="23.85" hidden="false" customHeight="false" outlineLevel="0" collapsed="false">
      <c r="A25" s="29" t="s">
        <v>16</v>
      </c>
      <c r="B25" s="6"/>
      <c r="C25" s="6"/>
      <c r="D25" s="6" t="s">
        <v>16</v>
      </c>
      <c r="E25" s="30" t="n">
        <f aca="false">COUNTA(B25:D25)</f>
        <v>1</v>
      </c>
      <c r="F25" s="30" t="str">
        <f aca="false">IF(E25=3,"All three",IF(E25=2,SUBSTITUTE(TRIM(IF(B25&lt;&gt;"","Gemini ","")&amp;IF(C25&lt;&gt;"","RAKE ","")&amp;IF(D25&lt;&gt;"","YAKE",""))," "," + "),"Only "&amp;TRIM(IF(B25&lt;&gt;"","Gemini","")&amp;IF(C25&lt;&gt;"","RAKE","")&amp;IF(D25&lt;&gt;"","YAKE",""))))</f>
        <v>Only YAKE</v>
      </c>
      <c r="G25" s="6" t="s">
        <v>278</v>
      </c>
      <c r="H25" s="6" t="s">
        <v>279</v>
      </c>
      <c r="I25" s="31" t="str">
        <f aca="false">IF(COUNTIF('Claude vs tools'!$K$2:$M$48,A25)&gt;0,"★ Yes","")</f>
        <v>★ Yes</v>
      </c>
    </row>
    <row r="26" customFormat="false" ht="15" hidden="false" customHeight="false" outlineLevel="0" collapsed="false">
      <c r="A26" s="29" t="s">
        <v>17</v>
      </c>
      <c r="B26" s="6"/>
      <c r="C26" s="6"/>
      <c r="D26" s="6" t="s">
        <v>17</v>
      </c>
      <c r="E26" s="30" t="n">
        <f aca="false">COUNTA(B26:D26)</f>
        <v>1</v>
      </c>
      <c r="F26" s="30" t="str">
        <f aca="false">IF(E26=3,"All three",IF(E26=2,SUBSTITUTE(TRIM(IF(B26&lt;&gt;"","Gemini ","")&amp;IF(C26&lt;&gt;"","RAKE ","")&amp;IF(D26&lt;&gt;"","YAKE",""))," "," + "),"Only "&amp;TRIM(IF(B26&lt;&gt;"","Gemini","")&amp;IF(C26&lt;&gt;"","RAKE","")&amp;IF(D26&lt;&gt;"","YAKE",""))))</f>
        <v>Only YAKE</v>
      </c>
      <c r="G26" s="6" t="s">
        <v>280</v>
      </c>
      <c r="H26" s="6"/>
      <c r="I26" s="31" t="str">
        <f aca="false">IF(COUNTIF('Claude vs tools'!$K$2:$M$48,A26)&gt;0,"★ Yes","")</f>
        <v>★ Yes</v>
      </c>
    </row>
    <row r="27" customFormat="false" ht="15" hidden="false" customHeight="false" outlineLevel="0" collapsed="false">
      <c r="A27" s="29" t="s">
        <v>133</v>
      </c>
      <c r="B27" s="6" t="s">
        <v>133</v>
      </c>
      <c r="C27" s="6"/>
      <c r="D27" s="6"/>
      <c r="E27" s="30" t="n">
        <f aca="false">COUNTA(B27:D27)</f>
        <v>1</v>
      </c>
      <c r="F27" s="30" t="str">
        <f aca="false">IF(E27=3,"All three",IF(E27=2,SUBSTITUTE(TRIM(IF(B27&lt;&gt;"","Gemini ","")&amp;IF(C27&lt;&gt;"","RAKE ","")&amp;IF(D27&lt;&gt;"","YAKE",""))," "," + "),"Only "&amp;TRIM(IF(B27&lt;&gt;"","Gemini","")&amp;IF(C27&lt;&gt;"","RAKE","")&amp;IF(D27&lt;&gt;"","YAKE",""))))</f>
        <v>Only Gemini</v>
      </c>
      <c r="G27" s="6"/>
      <c r="H27" s="6" t="s">
        <v>172</v>
      </c>
      <c r="I27" s="31" t="str">
        <f aca="false">IF(COUNTIF('Claude vs tools'!$K$2:$M$48,A27)&gt;0,"★ Yes","")</f>
        <v/>
      </c>
    </row>
    <row r="28" customFormat="false" ht="15" hidden="false" customHeight="false" outlineLevel="0" collapsed="false">
      <c r="A28" s="29" t="s">
        <v>187</v>
      </c>
      <c r="B28" s="6"/>
      <c r="C28" s="6" t="s">
        <v>187</v>
      </c>
      <c r="D28" s="6"/>
      <c r="E28" s="30" t="n">
        <f aca="false">COUNTA(B28:D28)</f>
        <v>1</v>
      </c>
      <c r="F28" s="30" t="str">
        <f aca="false">IF(E28=3,"All three",IF(E28=2,SUBSTITUTE(TRIM(IF(B28&lt;&gt;"","Gemini ","")&amp;IF(C28&lt;&gt;"","RAKE ","")&amp;IF(D28&lt;&gt;"","YAKE",""))," "," + "),"Only "&amp;TRIM(IF(B28&lt;&gt;"","Gemini","")&amp;IF(C28&lt;&gt;"","RAKE","")&amp;IF(D28&lt;&gt;"","YAKE",""))))</f>
        <v>Only RAKE</v>
      </c>
      <c r="G28" s="6"/>
      <c r="H28" s="6" t="s">
        <v>188</v>
      </c>
      <c r="I28" s="31" t="str">
        <f aca="false">IF(COUNTIF('Claude vs tools'!$K$2:$M$48,A28)&gt;0,"★ Yes","")</f>
        <v/>
      </c>
    </row>
    <row r="29" customFormat="false" ht="15" hidden="false" customHeight="false" outlineLevel="0" collapsed="false">
      <c r="A29" s="29" t="s">
        <v>152</v>
      </c>
      <c r="B29" s="6"/>
      <c r="C29" s="6" t="s">
        <v>152</v>
      </c>
      <c r="D29" s="6"/>
      <c r="E29" s="30" t="n">
        <f aca="false">COUNTA(B29:D29)</f>
        <v>1</v>
      </c>
      <c r="F29" s="30" t="str">
        <f aca="false">IF(E29=3,"All three",IF(E29=2,SUBSTITUTE(TRIM(IF(B29&lt;&gt;"","Gemini ","")&amp;IF(C29&lt;&gt;"","RAKE ","")&amp;IF(D29&lt;&gt;"","YAKE",""))," "," + "),"Only "&amp;TRIM(IF(B29&lt;&gt;"","Gemini","")&amp;IF(C29&lt;&gt;"","RAKE","")&amp;IF(D29&lt;&gt;"","YAKE",""))))</f>
        <v>Only RAKE</v>
      </c>
      <c r="G29" s="6"/>
      <c r="H29" s="6" t="s">
        <v>275</v>
      </c>
      <c r="I29" s="31" t="str">
        <f aca="false">IF(COUNTIF('Claude vs tools'!$K$2:$M$48,A29)&gt;0,"★ Yes","")</f>
        <v>★ Yes</v>
      </c>
    </row>
    <row r="30" customFormat="false" ht="15" hidden="false" customHeight="false" outlineLevel="0" collapsed="false">
      <c r="A30" s="29" t="s">
        <v>189</v>
      </c>
      <c r="B30" s="6"/>
      <c r="C30" s="6" t="s">
        <v>189</v>
      </c>
      <c r="D30" s="6"/>
      <c r="E30" s="30" t="n">
        <f aca="false">COUNTA(B30:D30)</f>
        <v>1</v>
      </c>
      <c r="F30" s="30" t="str">
        <f aca="false">IF(E30=3,"All three",IF(E30=2,SUBSTITUTE(TRIM(IF(B30&lt;&gt;"","Gemini ","")&amp;IF(C30&lt;&gt;"","RAKE ","")&amp;IF(D30&lt;&gt;"","YAKE",""))," "," + "),"Only "&amp;TRIM(IF(B30&lt;&gt;"","Gemini","")&amp;IF(C30&lt;&gt;"","RAKE","")&amp;IF(D30&lt;&gt;"","YAKE",""))))</f>
        <v>Only RAKE</v>
      </c>
      <c r="G30" s="6"/>
      <c r="H30" s="6" t="s">
        <v>190</v>
      </c>
      <c r="I30" s="31" t="str">
        <f aca="false">IF(COUNTIF('Claude vs tools'!$K$2:$M$48,A30)&gt;0,"★ Yes","")</f>
        <v/>
      </c>
    </row>
    <row r="31" customFormat="false" ht="15" hidden="false" customHeight="false" outlineLevel="0" collapsed="false">
      <c r="A31" s="29" t="s">
        <v>191</v>
      </c>
      <c r="B31" s="6"/>
      <c r="C31" s="6" t="s">
        <v>191</v>
      </c>
      <c r="D31" s="6"/>
      <c r="E31" s="30" t="n">
        <f aca="false">COUNTA(B31:D31)</f>
        <v>1</v>
      </c>
      <c r="F31" s="30" t="str">
        <f aca="false">IF(E31=3,"All three",IF(E31=2,SUBSTITUTE(TRIM(IF(B31&lt;&gt;"","Gemini ","")&amp;IF(C31&lt;&gt;"","RAKE ","")&amp;IF(D31&lt;&gt;"","YAKE",""))," "," + "),"Only "&amp;TRIM(IF(B31&lt;&gt;"","Gemini","")&amp;IF(C31&lt;&gt;"","RAKE","")&amp;IF(D31&lt;&gt;"","YAKE",""))))</f>
        <v>Only RAKE</v>
      </c>
      <c r="G31" s="6"/>
      <c r="H31" s="6" t="s">
        <v>192</v>
      </c>
      <c r="I31" s="31" t="str">
        <f aca="false">IF(COUNTIF('Claude vs tools'!$K$2:$M$48,A31)&gt;0,"★ Yes","")</f>
        <v/>
      </c>
    </row>
    <row r="32" customFormat="false" ht="15" hidden="false" customHeight="false" outlineLevel="0" collapsed="false">
      <c r="A32" s="29" t="s">
        <v>91</v>
      </c>
      <c r="B32" s="6" t="s">
        <v>91</v>
      </c>
      <c r="C32" s="6"/>
      <c r="D32" s="6"/>
      <c r="E32" s="30" t="n">
        <f aca="false">COUNTA(B32:D32)</f>
        <v>1</v>
      </c>
      <c r="F32" s="30" t="str">
        <f aca="false">IF(E32=3,"All three",IF(E32=2,SUBSTITUTE(TRIM(IF(B32&lt;&gt;"","Gemini ","")&amp;IF(C32&lt;&gt;"","RAKE ","")&amp;IF(D32&lt;&gt;"","YAKE",""))," "," + "),"Only "&amp;TRIM(IF(B32&lt;&gt;"","Gemini","")&amp;IF(C32&lt;&gt;"","RAKE","")&amp;IF(D32&lt;&gt;"","YAKE",""))))</f>
        <v>Only Gemini</v>
      </c>
      <c r="G32" s="6" t="s">
        <v>164</v>
      </c>
      <c r="H32" s="6"/>
      <c r="I32" s="31" t="str">
        <f aca="false">IF(COUNTIF('Claude vs tools'!$K$2:$M$48,A32)&gt;0,"★ Yes","")</f>
        <v>★ Yes</v>
      </c>
    </row>
    <row r="33" customFormat="false" ht="15" hidden="false" customHeight="false" outlineLevel="0" collapsed="false">
      <c r="A33" s="29" t="s">
        <v>281</v>
      </c>
      <c r="B33" s="6"/>
      <c r="C33" s="6" t="s">
        <v>193</v>
      </c>
      <c r="D33" s="6"/>
      <c r="E33" s="30" t="n">
        <f aca="false">COUNTA(B33:D33)</f>
        <v>1</v>
      </c>
      <c r="F33" s="30" t="str">
        <f aca="false">IF(E33=3,"All three",IF(E33=2,SUBSTITUTE(TRIM(IF(B33&lt;&gt;"","Gemini ","")&amp;IF(C33&lt;&gt;"","RAKE ","")&amp;IF(D33&lt;&gt;"","YAKE",""))," "," + "),"Only "&amp;TRIM(IF(B33&lt;&gt;"","Gemini","")&amp;IF(C33&lt;&gt;"","RAKE","")&amp;IF(D33&lt;&gt;"","YAKE",""))))</f>
        <v>Only RAKE</v>
      </c>
      <c r="G33" s="6" t="s">
        <v>202</v>
      </c>
      <c r="H33" s="6"/>
      <c r="I33" s="31" t="str">
        <f aca="false">IF(COUNTIF('Claude vs tools'!$K$2:$M$48,A33)&gt;0,"★ Yes","")</f>
        <v/>
      </c>
    </row>
    <row r="34" customFormat="false" ht="15" hidden="false" customHeight="false" outlineLevel="0" collapsed="false">
      <c r="A34" s="29" t="s">
        <v>194</v>
      </c>
      <c r="B34" s="6" t="s">
        <v>194</v>
      </c>
      <c r="C34" s="6"/>
      <c r="D34" s="6"/>
      <c r="E34" s="30" t="n">
        <f aca="false">COUNTA(B34:D34)</f>
        <v>1</v>
      </c>
      <c r="F34" s="30" t="str">
        <f aca="false">IF(E34=3,"All three",IF(E34=2,SUBSTITUTE(TRIM(IF(B34&lt;&gt;"","Gemini ","")&amp;IF(C34&lt;&gt;"","RAKE ","")&amp;IF(D34&lt;&gt;"","YAKE",""))," "," + "),"Only "&amp;TRIM(IF(B34&lt;&gt;"","Gemini","")&amp;IF(C34&lt;&gt;"","RAKE","")&amp;IF(D34&lt;&gt;"","YAKE",""))))</f>
        <v>Only Gemini</v>
      </c>
      <c r="G34" s="6" t="s">
        <v>282</v>
      </c>
      <c r="H34" s="6" t="s">
        <v>195</v>
      </c>
      <c r="I34" s="31" t="str">
        <f aca="false">IF(COUNTIF('Claude vs tools'!$K$2:$M$48,A34)&gt;0,"★ Yes","")</f>
        <v/>
      </c>
    </row>
    <row r="35" customFormat="false" ht="23.85" hidden="false" customHeight="false" outlineLevel="0" collapsed="false">
      <c r="A35" s="29" t="s">
        <v>196</v>
      </c>
      <c r="B35" s="6" t="s">
        <v>196</v>
      </c>
      <c r="C35" s="6"/>
      <c r="D35" s="6"/>
      <c r="E35" s="30" t="n">
        <f aca="false">COUNTA(B35:D35)</f>
        <v>1</v>
      </c>
      <c r="F35" s="30" t="str">
        <f aca="false">IF(E35=3,"All three",IF(E35=2,SUBSTITUTE(TRIM(IF(B35&lt;&gt;"","Gemini ","")&amp;IF(C35&lt;&gt;"","RAKE ","")&amp;IF(D35&lt;&gt;"","YAKE",""))," "," + "),"Only "&amp;TRIM(IF(B35&lt;&gt;"","Gemini","")&amp;IF(C35&lt;&gt;"","RAKE","")&amp;IF(D35&lt;&gt;"","YAKE",""))))</f>
        <v>Only Gemini</v>
      </c>
      <c r="G35" s="6" t="s">
        <v>283</v>
      </c>
      <c r="H35" s="6" t="s">
        <v>195</v>
      </c>
      <c r="I35" s="31" t="str">
        <f aca="false">IF(COUNTIF('Claude vs tools'!$K$2:$M$48,A35)&gt;0,"★ Yes","")</f>
        <v/>
      </c>
    </row>
    <row r="36" customFormat="false" ht="15" hidden="false" customHeight="false" outlineLevel="0" collapsed="false">
      <c r="A36" s="29" t="s">
        <v>197</v>
      </c>
      <c r="B36" s="6" t="s">
        <v>197</v>
      </c>
      <c r="C36" s="6"/>
      <c r="D36" s="6"/>
      <c r="E36" s="30" t="n">
        <f aca="false">COUNTA(B36:D36)</f>
        <v>1</v>
      </c>
      <c r="F36" s="30" t="str">
        <f aca="false">IF(E36=3,"All three",IF(E36=2,SUBSTITUTE(TRIM(IF(B36&lt;&gt;"","Gemini ","")&amp;IF(C36&lt;&gt;"","RAKE ","")&amp;IF(D36&lt;&gt;"","YAKE",""))," "," + "),"Only "&amp;TRIM(IF(B36&lt;&gt;"","Gemini","")&amp;IF(C36&lt;&gt;"","RAKE","")&amp;IF(D36&lt;&gt;"","YAKE",""))))</f>
        <v>Only Gemini</v>
      </c>
      <c r="G36" s="6"/>
      <c r="H36" s="6" t="s">
        <v>172</v>
      </c>
      <c r="I36" s="31" t="str">
        <f aca="false">IF(COUNTIF('Claude vs tools'!$K$2:$M$48,A36)&gt;0,"★ Yes","")</f>
        <v/>
      </c>
    </row>
    <row r="37" customFormat="false" ht="15" hidden="false" customHeight="false" outlineLevel="0" collapsed="false">
      <c r="A37" s="29" t="s">
        <v>129</v>
      </c>
      <c r="B37" s="6"/>
      <c r="C37" s="6" t="s">
        <v>129</v>
      </c>
      <c r="D37" s="6"/>
      <c r="E37" s="30" t="n">
        <f aca="false">COUNTA(B37:D37)</f>
        <v>1</v>
      </c>
      <c r="F37" s="30" t="str">
        <f aca="false">IF(E37=3,"All three",IF(E37=2,SUBSTITUTE(TRIM(IF(B37&lt;&gt;"","Gemini ","")&amp;IF(C37&lt;&gt;"","RAKE ","")&amp;IF(D37&lt;&gt;"","YAKE",""))," "," + "),"Only "&amp;TRIM(IF(B37&lt;&gt;"","Gemini","")&amp;IF(C37&lt;&gt;"","RAKE","")&amp;IF(D37&lt;&gt;"","YAKE",""))))</f>
        <v>Only RAKE</v>
      </c>
      <c r="G37" s="6"/>
      <c r="H37" s="6" t="s">
        <v>284</v>
      </c>
      <c r="I37" s="31" t="str">
        <f aca="false">IF(COUNTIF('Claude vs tools'!$K$2:$M$48,A37)&gt;0,"★ Yes","")</f>
        <v>★ Yes</v>
      </c>
    </row>
    <row r="38" customFormat="false" ht="15" hidden="false" customHeight="false" outlineLevel="0" collapsed="false">
      <c r="A38" s="29" t="s">
        <v>52</v>
      </c>
      <c r="B38" s="6"/>
      <c r="C38" s="6"/>
      <c r="D38" s="6" t="s">
        <v>52</v>
      </c>
      <c r="E38" s="30" t="n">
        <f aca="false">COUNTA(B38:D38)</f>
        <v>1</v>
      </c>
      <c r="F38" s="30" t="str">
        <f aca="false">IF(E38=3,"All three",IF(E38=2,SUBSTITUTE(TRIM(IF(B38&lt;&gt;"","Gemini ","")&amp;IF(C38&lt;&gt;"","RAKE ","")&amp;IF(D38&lt;&gt;"","YAKE",""))," "," + "),"Only "&amp;TRIM(IF(B38&lt;&gt;"","Gemini","")&amp;IF(C38&lt;&gt;"","RAKE","")&amp;IF(D38&lt;&gt;"","YAKE",""))))</f>
        <v>Only YAKE</v>
      </c>
      <c r="G38" s="6" t="s">
        <v>203</v>
      </c>
      <c r="H38" s="6"/>
      <c r="I38" s="31" t="str">
        <f aca="false">IF(COUNTIF('Claude vs tools'!$K$2:$M$48,A38)&gt;0,"★ Yes","")</f>
        <v>★ Yes</v>
      </c>
    </row>
    <row r="39" customFormat="false" ht="15" hidden="false" customHeight="false" outlineLevel="0" collapsed="false">
      <c r="A39" s="29" t="s">
        <v>198</v>
      </c>
      <c r="B39" s="6" t="s">
        <v>198</v>
      </c>
      <c r="C39" s="6"/>
      <c r="D39" s="6"/>
      <c r="E39" s="30" t="n">
        <f aca="false">COUNTA(B39:D39)</f>
        <v>1</v>
      </c>
      <c r="F39" s="30" t="str">
        <f aca="false">IF(E39=3,"All three",IF(E39=2,SUBSTITUTE(TRIM(IF(B39&lt;&gt;"","Gemini ","")&amp;IF(C39&lt;&gt;"","RAKE ","")&amp;IF(D39&lt;&gt;"","YAKE",""))," "," + "),"Only "&amp;TRIM(IF(B39&lt;&gt;"","Gemini","")&amp;IF(C39&lt;&gt;"","RAKE","")&amp;IF(D39&lt;&gt;"","YAKE",""))))</f>
        <v>Only Gemini</v>
      </c>
      <c r="G39" s="6"/>
      <c r="H39" s="6" t="s">
        <v>199</v>
      </c>
      <c r="I39" s="31" t="str">
        <f aca="false">IF(COUNTIF('Claude vs tools'!$K$2:$M$48,A39)&gt;0,"★ Yes","")</f>
        <v/>
      </c>
    </row>
    <row r="40" customFormat="false" ht="15" hidden="false" customHeight="false" outlineLevel="0" collapsed="false">
      <c r="A40" s="29" t="s">
        <v>200</v>
      </c>
      <c r="B40" s="6" t="s">
        <v>200</v>
      </c>
      <c r="C40" s="6"/>
      <c r="D40" s="6"/>
      <c r="E40" s="30" t="n">
        <f aca="false">COUNTA(B40:D40)</f>
        <v>1</v>
      </c>
      <c r="F40" s="30" t="str">
        <f aca="false">IF(E40=3,"All three",IF(E40=2,SUBSTITUTE(TRIM(IF(B40&lt;&gt;"","Gemini ","")&amp;IF(C40&lt;&gt;"","RAKE ","")&amp;IF(D40&lt;&gt;"","YAKE",""))," "," + "),"Only "&amp;TRIM(IF(B40&lt;&gt;"","Gemini","")&amp;IF(C40&lt;&gt;"","RAKE","")&amp;IF(D40&lt;&gt;"","YAKE",""))))</f>
        <v>Only Gemini</v>
      </c>
      <c r="G40" s="6"/>
      <c r="H40" s="6" t="s">
        <v>201</v>
      </c>
      <c r="I40" s="31" t="str">
        <f aca="false">IF(COUNTIF('Claude vs tools'!$K$2:$M$48,A40)&gt;0,"★ Yes","")</f>
        <v/>
      </c>
    </row>
    <row r="41" customFormat="false" ht="15" hidden="false" customHeight="false" outlineLevel="0" collapsed="false">
      <c r="A41" s="29" t="s">
        <v>86</v>
      </c>
      <c r="B41" s="6" t="s">
        <v>86</v>
      </c>
      <c r="C41" s="6"/>
      <c r="D41" s="6"/>
      <c r="E41" s="30" t="n">
        <f aca="false">COUNTA(B41:D41)</f>
        <v>1</v>
      </c>
      <c r="F41" s="30" t="str">
        <f aca="false">IF(E41=3,"All three",IF(E41=2,SUBSTITUTE(TRIM(IF(B41&lt;&gt;"","Gemini ","")&amp;IF(C41&lt;&gt;"","RAKE ","")&amp;IF(D41&lt;&gt;"","YAKE",""))," "," + "),"Only "&amp;TRIM(IF(B41&lt;&gt;"","Gemini","")&amp;IF(C41&lt;&gt;"","RAKE","")&amp;IF(D41&lt;&gt;"","YAKE",""))))</f>
        <v>Only Gemini</v>
      </c>
      <c r="G41" s="6" t="s">
        <v>285</v>
      </c>
      <c r="H41" s="6"/>
      <c r="I41" s="31" t="str">
        <f aca="false">IF(COUNTIF('Claude vs tools'!$K$2:$M$48,A41)&gt;0,"★ Yes","")</f>
        <v>★ Yes</v>
      </c>
    </row>
    <row r="42" customFormat="false" ht="15" hidden="false" customHeight="false" outlineLevel="0" collapsed="false">
      <c r="A42" s="29" t="s">
        <v>202</v>
      </c>
      <c r="B42" s="6" t="s">
        <v>202</v>
      </c>
      <c r="C42" s="6"/>
      <c r="D42" s="6"/>
      <c r="E42" s="30" t="n">
        <f aca="false">COUNTA(B42:D42)</f>
        <v>1</v>
      </c>
      <c r="F42" s="30" t="str">
        <f aca="false">IF(E42=3,"All three",IF(E42=2,SUBSTITUTE(TRIM(IF(B42&lt;&gt;"","Gemini ","")&amp;IF(C42&lt;&gt;"","RAKE ","")&amp;IF(D42&lt;&gt;"","YAKE",""))," "," + "),"Only "&amp;TRIM(IF(B42&lt;&gt;"","Gemini","")&amp;IF(C42&lt;&gt;"","RAKE","")&amp;IF(D42&lt;&gt;"","YAKE",""))))</f>
        <v>Only Gemini</v>
      </c>
      <c r="G42" s="6" t="s">
        <v>281</v>
      </c>
      <c r="H42" s="6"/>
      <c r="I42" s="31" t="str">
        <f aca="false">IF(COUNTIF('Claude vs tools'!$K$2:$M$48,A42)&gt;0,"★ Yes","")</f>
        <v/>
      </c>
    </row>
    <row r="43" customFormat="false" ht="15" hidden="false" customHeight="false" outlineLevel="0" collapsed="false">
      <c r="A43" s="29" t="s">
        <v>203</v>
      </c>
      <c r="B43" s="6"/>
      <c r="C43" s="6" t="s">
        <v>203</v>
      </c>
      <c r="D43" s="6"/>
      <c r="E43" s="30" t="n">
        <f aca="false">COUNTA(B43:D43)</f>
        <v>1</v>
      </c>
      <c r="F43" s="30" t="str">
        <f aca="false">IF(E43=3,"All three",IF(E43=2,SUBSTITUTE(TRIM(IF(B43&lt;&gt;"","Gemini ","")&amp;IF(C43&lt;&gt;"","RAKE ","")&amp;IF(D43&lt;&gt;"","YAKE",""))," "," + "),"Only "&amp;TRIM(IF(B43&lt;&gt;"","Gemini","")&amp;IF(C43&lt;&gt;"","RAKE","")&amp;IF(D43&lt;&gt;"","YAKE",""))))</f>
        <v>Only RAKE</v>
      </c>
      <c r="G43" s="6" t="s">
        <v>52</v>
      </c>
      <c r="H43" s="6" t="s">
        <v>172</v>
      </c>
      <c r="I43" s="31" t="str">
        <f aca="false">IF(COUNTIF('Claude vs tools'!$K$2:$M$48,A43)&gt;0,"★ Yes","")</f>
        <v/>
      </c>
    </row>
    <row r="44" customFormat="false" ht="15" hidden="false" customHeight="false" outlineLevel="0" collapsed="false">
      <c r="A44" s="29" t="s">
        <v>204</v>
      </c>
      <c r="B44" s="6"/>
      <c r="C44" s="6"/>
      <c r="D44" s="6" t="s">
        <v>204</v>
      </c>
      <c r="E44" s="30" t="n">
        <f aca="false">COUNTA(B44:D44)</f>
        <v>1</v>
      </c>
      <c r="F44" s="30" t="str">
        <f aca="false">IF(E44=3,"All three",IF(E44=2,SUBSTITUTE(TRIM(IF(B44&lt;&gt;"","Gemini ","")&amp;IF(C44&lt;&gt;"","RAKE ","")&amp;IF(D44&lt;&gt;"","YAKE",""))," "," + "),"Only "&amp;TRIM(IF(B44&lt;&gt;"","Gemini","")&amp;IF(C44&lt;&gt;"","RAKE","")&amp;IF(D44&lt;&gt;"","YAKE",""))))</f>
        <v>Only YAKE</v>
      </c>
      <c r="G44" s="6" t="s">
        <v>17</v>
      </c>
      <c r="H44" s="6"/>
      <c r="I44" s="31" t="str">
        <f aca="false">IF(COUNTIF('Claude vs tools'!$K$2:$M$48,A44)&gt;0,"★ Yes","")</f>
        <v/>
      </c>
    </row>
    <row r="45" customFormat="false" ht="23.85" hidden="false" customHeight="false" outlineLevel="0" collapsed="false">
      <c r="A45" s="29" t="s">
        <v>205</v>
      </c>
      <c r="B45" s="6"/>
      <c r="C45" s="6"/>
      <c r="D45" s="6" t="s">
        <v>205</v>
      </c>
      <c r="E45" s="30" t="n">
        <f aca="false">COUNTA(B45:D45)</f>
        <v>1</v>
      </c>
      <c r="F45" s="30" t="str">
        <f aca="false">IF(E45=3,"All three",IF(E45=2,SUBSTITUTE(TRIM(IF(B45&lt;&gt;"","Gemini ","")&amp;IF(C45&lt;&gt;"","RAKE ","")&amp;IF(D45&lt;&gt;"","YAKE",""))," "," + "),"Only "&amp;TRIM(IF(B45&lt;&gt;"","Gemini","")&amp;IF(C45&lt;&gt;"","RAKE","")&amp;IF(D45&lt;&gt;"","YAKE",""))))</f>
        <v>Only YAKE</v>
      </c>
      <c r="G45" s="6" t="s">
        <v>286</v>
      </c>
      <c r="H45" s="6"/>
      <c r="I45" s="31" t="str">
        <f aca="false">IF(COUNTIF('Claude vs tools'!$K$2:$M$48,A45)&gt;0,"★ Yes","")</f>
        <v/>
      </c>
    </row>
    <row r="46" customFormat="false" ht="23.85" hidden="false" customHeight="false" outlineLevel="0" collapsed="false">
      <c r="A46" s="29" t="s">
        <v>206</v>
      </c>
      <c r="B46" s="6" t="s">
        <v>206</v>
      </c>
      <c r="C46" s="6"/>
      <c r="D46" s="6"/>
      <c r="E46" s="30" t="n">
        <f aca="false">COUNTA(B46:D46)</f>
        <v>1</v>
      </c>
      <c r="F46" s="30" t="str">
        <f aca="false">IF(E46=3,"All three",IF(E46=2,SUBSTITUTE(TRIM(IF(B46&lt;&gt;"","Gemini ","")&amp;IF(C46&lt;&gt;"","RAKE ","")&amp;IF(D46&lt;&gt;"","YAKE",""))," "," + "),"Only "&amp;TRIM(IF(B46&lt;&gt;"","Gemini","")&amp;IF(C46&lt;&gt;"","RAKE","")&amp;IF(D46&lt;&gt;"","YAKE",""))))</f>
        <v>Only Gemini</v>
      </c>
      <c r="G46" s="6" t="s">
        <v>287</v>
      </c>
      <c r="H46" s="6"/>
      <c r="I46" s="31" t="str">
        <f aca="false">IF(COUNTIF('Claude vs tools'!$K$2:$M$48,A46)&gt;0,"★ Yes","")</f>
        <v/>
      </c>
    </row>
    <row r="47" customFormat="false" ht="23.85" hidden="false" customHeight="false" outlineLevel="0" collapsed="false">
      <c r="A47" s="29" t="s">
        <v>207</v>
      </c>
      <c r="B47" s="6" t="s">
        <v>207</v>
      </c>
      <c r="C47" s="6"/>
      <c r="D47" s="6"/>
      <c r="E47" s="30" t="n">
        <f aca="false">COUNTA(B47:D47)</f>
        <v>1</v>
      </c>
      <c r="F47" s="30" t="str">
        <f aca="false">IF(E47=3,"All three",IF(E47=2,SUBSTITUTE(TRIM(IF(B47&lt;&gt;"","Gemini ","")&amp;IF(C47&lt;&gt;"","RAKE ","")&amp;IF(D47&lt;&gt;"","YAKE",""))," "," + "),"Only "&amp;TRIM(IF(B47&lt;&gt;"","Gemini","")&amp;IF(C47&lt;&gt;"","RAKE","")&amp;IF(D47&lt;&gt;"","YAKE",""))))</f>
        <v>Only Gemini</v>
      </c>
      <c r="G47" s="6" t="s">
        <v>288</v>
      </c>
      <c r="H47" s="6"/>
      <c r="I47" s="31" t="str">
        <f aca="false">IF(COUNTIF('Claude vs tools'!$K$2:$M$48,A47)&gt;0,"★ Yes","")</f>
        <v/>
      </c>
    </row>
    <row r="48" customFormat="false" ht="15" hidden="false" customHeight="false" outlineLevel="0" collapsed="false">
      <c r="A48" s="29" t="s">
        <v>138</v>
      </c>
      <c r="B48" s="6" t="s">
        <v>138</v>
      </c>
      <c r="C48" s="6"/>
      <c r="D48" s="6"/>
      <c r="E48" s="30" t="n">
        <f aca="false">COUNTA(B48:D48)</f>
        <v>1</v>
      </c>
      <c r="F48" s="30" t="str">
        <f aca="false">IF(E48=3,"All three",IF(E48=2,SUBSTITUTE(TRIM(IF(B48&lt;&gt;"","Gemini ","")&amp;IF(C48&lt;&gt;"","RAKE ","")&amp;IF(D48&lt;&gt;"","YAKE",""))," "," + "),"Only "&amp;TRIM(IF(B48&lt;&gt;"","Gemini","")&amp;IF(C48&lt;&gt;"","RAKE","")&amp;IF(D48&lt;&gt;"","YAKE",""))))</f>
        <v>Only Gemini</v>
      </c>
      <c r="G48" s="6" t="s">
        <v>208</v>
      </c>
      <c r="H48" s="6"/>
      <c r="I48" s="31" t="str">
        <f aca="false">IF(COUNTIF('Claude vs tools'!$K$2:$M$48,A48)&gt;0,"★ Yes","")</f>
        <v>★ Yes</v>
      </c>
    </row>
    <row r="49" customFormat="false" ht="15" hidden="false" customHeight="false" outlineLevel="0" collapsed="false">
      <c r="A49" s="29" t="s">
        <v>208</v>
      </c>
      <c r="B49" s="6"/>
      <c r="C49" s="6" t="s">
        <v>208</v>
      </c>
      <c r="D49" s="6"/>
      <c r="E49" s="30" t="n">
        <f aca="false">COUNTA(B49:D49)</f>
        <v>1</v>
      </c>
      <c r="F49" s="30" t="str">
        <f aca="false">IF(E49=3,"All three",IF(E49=2,SUBSTITUTE(TRIM(IF(B49&lt;&gt;"","Gemini ","")&amp;IF(C49&lt;&gt;"","RAKE ","")&amp;IF(D49&lt;&gt;"","YAKE",""))," "," + "),"Only "&amp;TRIM(IF(B49&lt;&gt;"","Gemini","")&amp;IF(C49&lt;&gt;"","RAKE","")&amp;IF(D49&lt;&gt;"","YAKE",""))))</f>
        <v>Only RAKE</v>
      </c>
      <c r="G49" s="6" t="s">
        <v>138</v>
      </c>
      <c r="H49" s="6" t="s">
        <v>209</v>
      </c>
      <c r="I49" s="31" t="str">
        <f aca="false">IF(COUNTIF('Claude vs tools'!$K$2:$M$48,A49)&gt;0,"★ Yes","")</f>
        <v/>
      </c>
    </row>
    <row r="50" customFormat="false" ht="15" hidden="false" customHeight="false" outlineLevel="0" collapsed="false">
      <c r="A50" s="29" t="s">
        <v>68</v>
      </c>
      <c r="B50" s="6" t="s">
        <v>68</v>
      </c>
      <c r="C50" s="6"/>
      <c r="D50" s="6"/>
      <c r="E50" s="30" t="n">
        <f aca="false">COUNTA(B50:D50)</f>
        <v>1</v>
      </c>
      <c r="F50" s="30" t="str">
        <f aca="false">IF(E50=3,"All three",IF(E50=2,SUBSTITUTE(TRIM(IF(B50&lt;&gt;"","Gemini ","")&amp;IF(C50&lt;&gt;"","RAKE ","")&amp;IF(D50&lt;&gt;"","YAKE",""))," "," + "),"Only "&amp;TRIM(IF(B50&lt;&gt;"","Gemini","")&amp;IF(C50&lt;&gt;"","RAKE","")&amp;IF(D50&lt;&gt;"","YAKE",""))))</f>
        <v>Only Gemini</v>
      </c>
      <c r="G50" s="6" t="s">
        <v>25</v>
      </c>
      <c r="H50" s="6"/>
      <c r="I50" s="31" t="str">
        <f aca="false">IF(COUNTIF('Claude vs tools'!$K$2:$M$48,A50)&gt;0,"★ Yes","")</f>
        <v>★ Yes</v>
      </c>
    </row>
    <row r="51" customFormat="false" ht="15" hidden="false" customHeight="false" outlineLevel="0" collapsed="false">
      <c r="A51" s="29" t="s">
        <v>30</v>
      </c>
      <c r="B51" s="6"/>
      <c r="C51" s="6" t="s">
        <v>30</v>
      </c>
      <c r="D51" s="6"/>
      <c r="E51" s="30" t="n">
        <f aca="false">COUNTA(B51:D51)</f>
        <v>1</v>
      </c>
      <c r="F51" s="30" t="str">
        <f aca="false">IF(E51=3,"All three",IF(E51=2,SUBSTITUTE(TRIM(IF(B51&lt;&gt;"","Gemini ","")&amp;IF(C51&lt;&gt;"","RAKE ","")&amp;IF(D51&lt;&gt;"","YAKE",""))," "," + "),"Only "&amp;TRIM(IF(B51&lt;&gt;"","Gemini","")&amp;IF(C51&lt;&gt;"","RAKE","")&amp;IF(D51&lt;&gt;"","YAKE",""))))</f>
        <v>Only RAKE</v>
      </c>
      <c r="G51" s="6"/>
      <c r="H51" s="6" t="s">
        <v>289</v>
      </c>
      <c r="I51" s="31" t="str">
        <f aca="false">IF(COUNTIF('Claude vs tools'!$K$2:$M$48,A51)&gt;0,"★ Yes","")</f>
        <v>★ Yes</v>
      </c>
    </row>
    <row r="52" customFormat="false" ht="15" hidden="false" customHeight="false" outlineLevel="0" collapsed="false">
      <c r="A52" s="29" t="s">
        <v>31</v>
      </c>
      <c r="B52" s="6"/>
      <c r="C52" s="6" t="s">
        <v>31</v>
      </c>
      <c r="D52" s="6"/>
      <c r="E52" s="30" t="n">
        <f aca="false">COUNTA(B52:D52)</f>
        <v>1</v>
      </c>
      <c r="F52" s="30" t="str">
        <f aca="false">IF(E52=3,"All three",IF(E52=2,SUBSTITUTE(TRIM(IF(B52&lt;&gt;"","Gemini ","")&amp;IF(C52&lt;&gt;"","RAKE ","")&amp;IF(D52&lt;&gt;"","YAKE",""))," "," + "),"Only "&amp;TRIM(IF(B52&lt;&gt;"","Gemini","")&amp;IF(C52&lt;&gt;"","RAKE","")&amp;IF(D52&lt;&gt;"","YAKE",""))))</f>
        <v>Only RAKE</v>
      </c>
      <c r="G52" s="6"/>
      <c r="H52" s="6" t="s">
        <v>289</v>
      </c>
      <c r="I52" s="31" t="str">
        <f aca="false">IF(COUNTIF('Claude vs tools'!$K$2:$M$48,A52)&gt;0,"★ Yes","")</f>
        <v>★ Yes</v>
      </c>
    </row>
    <row r="53" customFormat="false" ht="15" hidden="false" customHeight="false" outlineLevel="0" collapsed="false">
      <c r="A53" s="29" t="s">
        <v>210</v>
      </c>
      <c r="B53" s="6" t="s">
        <v>210</v>
      </c>
      <c r="C53" s="6"/>
      <c r="D53" s="6"/>
      <c r="E53" s="30" t="n">
        <f aca="false">COUNTA(B53:D53)</f>
        <v>1</v>
      </c>
      <c r="F53" s="30" t="str">
        <f aca="false">IF(E53=3,"All three",IF(E53=2,SUBSTITUTE(TRIM(IF(B53&lt;&gt;"","Gemini ","")&amp;IF(C53&lt;&gt;"","RAKE ","")&amp;IF(D53&lt;&gt;"","YAKE",""))," "," + "),"Only "&amp;TRIM(IF(B53&lt;&gt;"","Gemini","")&amp;IF(C53&lt;&gt;"","RAKE","")&amp;IF(D53&lt;&gt;"","YAKE",""))))</f>
        <v>Only Gemini</v>
      </c>
      <c r="G53" s="6" t="s">
        <v>69</v>
      </c>
      <c r="H53" s="6" t="s">
        <v>172</v>
      </c>
      <c r="I53" s="31" t="str">
        <f aca="false">IF(COUNTIF('Claude vs tools'!$K$2:$M$48,A53)&gt;0,"★ Yes","")</f>
        <v/>
      </c>
    </row>
    <row r="54" customFormat="false" ht="15" hidden="false" customHeight="false" outlineLevel="0" collapsed="false">
      <c r="A54" s="29" t="s">
        <v>69</v>
      </c>
      <c r="B54" s="6" t="s">
        <v>69</v>
      </c>
      <c r="C54" s="6"/>
      <c r="D54" s="6"/>
      <c r="E54" s="30" t="n">
        <f aca="false">COUNTA(B54:D54)</f>
        <v>1</v>
      </c>
      <c r="F54" s="30" t="str">
        <f aca="false">IF(E54=3,"All three",IF(E54=2,SUBSTITUTE(TRIM(IF(B54&lt;&gt;"","Gemini ","")&amp;IF(C54&lt;&gt;"","RAKE ","")&amp;IF(D54&lt;&gt;"","YAKE",""))," "," + "),"Only "&amp;TRIM(IF(B54&lt;&gt;"","Gemini","")&amp;IF(C54&lt;&gt;"","RAKE","")&amp;IF(D54&lt;&gt;"","YAKE",""))))</f>
        <v>Only Gemini</v>
      </c>
      <c r="G54" s="6" t="s">
        <v>210</v>
      </c>
      <c r="H54" s="6"/>
      <c r="I54" s="31" t="str">
        <f aca="false">IF(COUNTIF('Claude vs tools'!$K$2:$M$48,A54)&gt;0,"★ Yes","")</f>
        <v>★ Yes</v>
      </c>
    </row>
    <row r="55" customFormat="false" ht="23.85" hidden="false" customHeight="false" outlineLevel="0" collapsed="false">
      <c r="A55" s="29" t="s">
        <v>21</v>
      </c>
      <c r="B55" s="6"/>
      <c r="C55" s="6"/>
      <c r="D55" s="6" t="s">
        <v>21</v>
      </c>
      <c r="E55" s="30" t="n">
        <f aca="false">COUNTA(B55:D55)</f>
        <v>1</v>
      </c>
      <c r="F55" s="30" t="str">
        <f aca="false">IF(E55=3,"All three",IF(E55=2,SUBSTITUTE(TRIM(IF(B55&lt;&gt;"","Gemini ","")&amp;IF(C55&lt;&gt;"","RAKE ","")&amp;IF(D55&lt;&gt;"","YAKE",""))," "," + "),"Only "&amp;TRIM(IF(B55&lt;&gt;"","Gemini","")&amp;IF(C55&lt;&gt;"","RAKE","")&amp;IF(D55&lt;&gt;"","YAKE",""))))</f>
        <v>Only YAKE</v>
      </c>
      <c r="G55" s="6"/>
      <c r="H55" s="6" t="s">
        <v>290</v>
      </c>
      <c r="I55" s="31" t="str">
        <f aca="false">IF(COUNTIF('Claude vs tools'!$K$2:$M$48,A55)&gt;0,"★ Yes","")</f>
        <v>★ Yes</v>
      </c>
    </row>
    <row r="56" customFormat="false" ht="15" hidden="false" customHeight="false" outlineLevel="0" collapsed="false">
      <c r="A56" s="29" t="s">
        <v>211</v>
      </c>
      <c r="B56" s="6"/>
      <c r="C56" s="6" t="s">
        <v>211</v>
      </c>
      <c r="D56" s="6"/>
      <c r="E56" s="30" t="n">
        <f aca="false">COUNTA(B56:D56)</f>
        <v>1</v>
      </c>
      <c r="F56" s="30" t="str">
        <f aca="false">IF(E56=3,"All three",IF(E56=2,SUBSTITUTE(TRIM(IF(B56&lt;&gt;"","Gemini ","")&amp;IF(C56&lt;&gt;"","RAKE ","")&amp;IF(D56&lt;&gt;"","YAKE",""))," "," + "),"Only "&amp;TRIM(IF(B56&lt;&gt;"","Gemini","")&amp;IF(C56&lt;&gt;"","RAKE","")&amp;IF(D56&lt;&gt;"","YAKE",""))))</f>
        <v>Only RAKE</v>
      </c>
      <c r="G56" s="6"/>
      <c r="H56" s="6" t="s">
        <v>212</v>
      </c>
      <c r="I56" s="31" t="str">
        <f aca="false">IF(COUNTIF('Claude vs tools'!$K$2:$M$48,A56)&gt;0,"★ Yes","")</f>
        <v/>
      </c>
    </row>
    <row r="57" customFormat="false" ht="15" hidden="false" customHeight="false" outlineLevel="0" collapsed="false">
      <c r="A57" s="29" t="s">
        <v>213</v>
      </c>
      <c r="B57" s="6"/>
      <c r="C57" s="6"/>
      <c r="D57" s="6" t="s">
        <v>213</v>
      </c>
      <c r="E57" s="30" t="n">
        <f aca="false">COUNTA(B57:D57)</f>
        <v>1</v>
      </c>
      <c r="F57" s="30" t="str">
        <f aca="false">IF(E57=3,"All three",IF(E57=2,SUBSTITUTE(TRIM(IF(B57&lt;&gt;"","Gemini ","")&amp;IF(C57&lt;&gt;"","RAKE ","")&amp;IF(D57&lt;&gt;"","YAKE",""))," "," + "),"Only "&amp;TRIM(IF(B57&lt;&gt;"","Gemini","")&amp;IF(C57&lt;&gt;"","RAKE","")&amp;IF(D57&lt;&gt;"","YAKE",""))))</f>
        <v>Only YAKE</v>
      </c>
      <c r="G57" s="6" t="s">
        <v>291</v>
      </c>
      <c r="H57" s="6" t="s">
        <v>214</v>
      </c>
      <c r="I57" s="31" t="str">
        <f aca="false">IF(COUNTIF('Claude vs tools'!$K$2:$M$48,A57)&gt;0,"★ Yes","")</f>
        <v/>
      </c>
    </row>
    <row r="58" customFormat="false" ht="15" hidden="false" customHeight="false" outlineLevel="0" collapsed="false">
      <c r="A58" s="29" t="s">
        <v>215</v>
      </c>
      <c r="B58" s="6" t="s">
        <v>215</v>
      </c>
      <c r="C58" s="6"/>
      <c r="D58" s="6"/>
      <c r="E58" s="30" t="n">
        <f aca="false">COUNTA(B58:D58)</f>
        <v>1</v>
      </c>
      <c r="F58" s="30" t="str">
        <f aca="false">IF(E58=3,"All three",IF(E58=2,SUBSTITUTE(TRIM(IF(B58&lt;&gt;"","Gemini ","")&amp;IF(C58&lt;&gt;"","RAKE ","")&amp;IF(D58&lt;&gt;"","YAKE",""))," "," + "),"Only "&amp;TRIM(IF(B58&lt;&gt;"","Gemini","")&amp;IF(C58&lt;&gt;"","RAKE","")&amp;IF(D58&lt;&gt;"","YAKE",""))))</f>
        <v>Only Gemini</v>
      </c>
      <c r="G58" s="6"/>
      <c r="H58" s="6" t="s">
        <v>216</v>
      </c>
      <c r="I58" s="31" t="str">
        <f aca="false">IF(COUNTIF('Claude vs tools'!$K$2:$M$48,A58)&gt;0,"★ Yes","")</f>
        <v/>
      </c>
    </row>
    <row r="59" customFormat="false" ht="15" hidden="false" customHeight="false" outlineLevel="0" collapsed="false">
      <c r="A59" s="29" t="s">
        <v>217</v>
      </c>
      <c r="B59" s="6" t="s">
        <v>217</v>
      </c>
      <c r="C59" s="6"/>
      <c r="D59" s="6"/>
      <c r="E59" s="30" t="n">
        <f aca="false">COUNTA(B59:D59)</f>
        <v>1</v>
      </c>
      <c r="F59" s="30" t="str">
        <f aca="false">IF(E59=3,"All three",IF(E59=2,SUBSTITUTE(TRIM(IF(B59&lt;&gt;"","Gemini ","")&amp;IF(C59&lt;&gt;"","RAKE ","")&amp;IF(D59&lt;&gt;"","YAKE",""))," "," + "),"Only "&amp;TRIM(IF(B59&lt;&gt;"","Gemini","")&amp;IF(C59&lt;&gt;"","RAKE","")&amp;IF(D59&lt;&gt;"","YAKE",""))))</f>
        <v>Only Gemini</v>
      </c>
      <c r="G59" s="6"/>
      <c r="H59" s="6" t="s">
        <v>218</v>
      </c>
      <c r="I59" s="31" t="str">
        <f aca="false">IF(COUNTIF('Claude vs tools'!$K$2:$M$48,A59)&gt;0,"★ Yes","")</f>
        <v/>
      </c>
    </row>
  </sheetData>
  <autoFilter ref="A1:I59"/>
  <conditionalFormatting sqref="A2:H59">
    <cfRule type="expression" priority="2" aboveAverage="0" equalAverage="0" bottom="0" percent="0" rank="0" text="" dxfId="13">
      <formula>$E2=3</formula>
    </cfRule>
    <cfRule type="expression" priority="3" aboveAverage="0" equalAverage="0" bottom="0" percent="0" rank="0" text="" dxfId="14">
      <formula>$E2=2</formula>
    </cfRule>
  </conditionalFormatting>
  <conditionalFormatting sqref="B2:D59">
    <cfRule type="expression" priority="4" aboveAverage="0" equalAverage="0" bottom="0" percent="0" rank="0" text="" dxfId="16">
      <formula>$I2="★ 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4"/>
    <col collapsed="false" customWidth="true" hidden="false" outlineLevel="0" max="4" min="4" style="0" width="3"/>
    <col collapsed="false" customWidth="true" hidden="false" outlineLevel="0" max="7" min="5" style="0" width="20"/>
  </cols>
  <sheetData>
    <row r="1" customFormat="false" ht="31.5" hidden="false" customHeight="true" outlineLevel="0" collapsed="false">
      <c r="A1" s="34" t="s">
        <v>230</v>
      </c>
      <c r="B1" s="34" t="s">
        <v>231</v>
      </c>
      <c r="C1" s="34" t="s">
        <v>232</v>
      </c>
      <c r="E1" s="35" t="s">
        <v>292</v>
      </c>
      <c r="F1" s="35" t="s">
        <v>293</v>
      </c>
      <c r="G1" s="35" t="s">
        <v>294</v>
      </c>
    </row>
    <row r="2" customFormat="false" ht="15" hidden="false" customHeight="false" outlineLevel="0" collapsed="false">
      <c r="A2" s="26" t="s">
        <v>179</v>
      </c>
      <c r="B2" s="26" t="s">
        <v>177</v>
      </c>
      <c r="C2" s="26" t="s">
        <v>181</v>
      </c>
      <c r="E2" s="23" t="n">
        <f aca="false">IF(COUNTIF('Claude vs tools'!$K$2:$M$48,A2)&gt;0,1,0)</f>
        <v>0</v>
      </c>
      <c r="F2" s="23" t="n">
        <f aca="false">IF(COUNTIF('Claude vs tools'!$K$2:$M$48,B2)&gt;0,1,0)</f>
        <v>0</v>
      </c>
      <c r="G2" s="23" t="n">
        <f aca="false">IF(COUNTIF('Claude vs tools'!$K$2:$M$48,C2)&gt;0,1,0)</f>
        <v>0</v>
      </c>
    </row>
    <row r="3" customFormat="false" ht="15" hidden="false" customHeight="false" outlineLevel="0" collapsed="false">
      <c r="A3" s="26" t="s">
        <v>295</v>
      </c>
      <c r="B3" s="26" t="s">
        <v>154</v>
      </c>
      <c r="C3" s="26" t="s">
        <v>72</v>
      </c>
      <c r="E3" s="23" t="n">
        <f aca="false">IF(COUNTIF('Claude vs tools'!$K$2:$M$48,A3)&gt;0,1,0)</f>
        <v>0</v>
      </c>
      <c r="F3" s="23" t="n">
        <f aca="false">IF(COUNTIF('Claude vs tools'!$K$2:$M$48,B3)&gt;0,1,0)</f>
        <v>1</v>
      </c>
      <c r="G3" s="23" t="n">
        <f aca="false">IF(COUNTIF('Claude vs tools'!$K$2:$M$48,C3)&gt;0,1,0)</f>
        <v>1</v>
      </c>
    </row>
    <row r="4" customFormat="false" ht="15" hidden="false" customHeight="false" outlineLevel="0" collapsed="false">
      <c r="A4" s="26" t="s">
        <v>296</v>
      </c>
      <c r="B4" s="26" t="s">
        <v>158</v>
      </c>
      <c r="C4" s="26" t="s">
        <v>16</v>
      </c>
      <c r="E4" s="23" t="n">
        <f aca="false">IF(COUNTIF('Claude vs tools'!$K$2:$M$48,A4)&gt;0,1,0)</f>
        <v>0</v>
      </c>
      <c r="F4" s="23" t="n">
        <f aca="false">IF(COUNTIF('Claude vs tools'!$K$2:$M$48,B4)&gt;0,1,0)</f>
        <v>1</v>
      </c>
      <c r="G4" s="23" t="n">
        <f aca="false">IF(COUNTIF('Claude vs tools'!$K$2:$M$48,C4)&gt;0,1,0)</f>
        <v>1</v>
      </c>
    </row>
    <row r="5" customFormat="false" ht="15" hidden="false" customHeight="false" outlineLevel="0" collapsed="false">
      <c r="A5" s="26" t="s">
        <v>98</v>
      </c>
      <c r="B5" s="26" t="s">
        <v>94</v>
      </c>
      <c r="C5" s="26" t="s">
        <v>17</v>
      </c>
      <c r="E5" s="23" t="n">
        <f aca="false">IF(COUNTIF('Claude vs tools'!$K$2:$M$48,A5)&gt;0,1,0)</f>
        <v>1</v>
      </c>
      <c r="F5" s="23" t="n">
        <f aca="false">IF(COUNTIF('Claude vs tools'!$K$2:$M$48,B5)&gt;0,1,0)</f>
        <v>1</v>
      </c>
      <c r="G5" s="23" t="n">
        <f aca="false">IF(COUNTIF('Claude vs tools'!$K$2:$M$48,C5)&gt;0,1,0)</f>
        <v>1</v>
      </c>
    </row>
    <row r="6" customFormat="false" ht="15" hidden="false" customHeight="false" outlineLevel="0" collapsed="false">
      <c r="A6" s="26" t="s">
        <v>70</v>
      </c>
      <c r="B6" s="26" t="s">
        <v>160</v>
      </c>
      <c r="C6" s="26" t="s">
        <v>164</v>
      </c>
      <c r="E6" s="23" t="n">
        <f aca="false">IF(COUNTIF('Claude vs tools'!$K$2:$M$48,A6)&gt;0,1,0)</f>
        <v>1</v>
      </c>
      <c r="F6" s="23" t="n">
        <f aca="false">IF(COUNTIF('Claude vs tools'!$K$2:$M$48,B6)&gt;0,1,0)</f>
        <v>1</v>
      </c>
      <c r="G6" s="23" t="n">
        <f aca="false">IF(COUNTIF('Claude vs tools'!$K$2:$M$48,C6)&gt;0,1,0)</f>
        <v>0</v>
      </c>
    </row>
    <row r="7" customFormat="false" ht="15" hidden="false" customHeight="false" outlineLevel="0" collapsed="false">
      <c r="A7" s="26" t="s">
        <v>79</v>
      </c>
      <c r="B7" s="26" t="s">
        <v>185</v>
      </c>
      <c r="C7" s="26" t="s">
        <v>52</v>
      </c>
      <c r="E7" s="23" t="n">
        <f aca="false">IF(COUNTIF('Claude vs tools'!$K$2:$M$48,A7)&gt;0,1,0)</f>
        <v>1</v>
      </c>
      <c r="F7" s="23" t="n">
        <f aca="false">IF(COUNTIF('Claude vs tools'!$K$2:$M$48,B7)&gt;0,1,0)</f>
        <v>0</v>
      </c>
      <c r="G7" s="23" t="n">
        <f aca="false">IF(COUNTIF('Claude vs tools'!$K$2:$M$48,C7)&gt;0,1,0)</f>
        <v>1</v>
      </c>
    </row>
    <row r="8" customFormat="false" ht="15" hidden="false" customHeight="false" outlineLevel="0" collapsed="false">
      <c r="A8" s="26" t="s">
        <v>48</v>
      </c>
      <c r="B8" s="26" t="s">
        <v>187</v>
      </c>
      <c r="C8" s="26" t="s">
        <v>167</v>
      </c>
      <c r="E8" s="23" t="n">
        <f aca="false">IF(COUNTIF('Claude vs tools'!$K$2:$M$48,A8)&gt;0,1,0)</f>
        <v>1</v>
      </c>
      <c r="F8" s="23" t="n">
        <f aca="false">IF(COUNTIF('Claude vs tools'!$K$2:$M$48,B8)&gt;0,1,0)</f>
        <v>0</v>
      </c>
      <c r="G8" s="23" t="n">
        <f aca="false">IF(COUNTIF('Claude vs tools'!$K$2:$M$48,C8)&gt;0,1,0)</f>
        <v>0</v>
      </c>
    </row>
    <row r="9" customFormat="false" ht="15" hidden="false" customHeight="false" outlineLevel="0" collapsed="false">
      <c r="A9" s="26" t="s">
        <v>72</v>
      </c>
      <c r="B9" s="26" t="s">
        <v>152</v>
      </c>
      <c r="C9" s="26" t="s">
        <v>87</v>
      </c>
      <c r="E9" s="23" t="n">
        <f aca="false">IF(COUNTIF('Claude vs tools'!$K$2:$M$48,A9)&gt;0,1,0)</f>
        <v>1</v>
      </c>
      <c r="F9" s="23" t="n">
        <f aca="false">IF(COUNTIF('Claude vs tools'!$K$2:$M$48,B9)&gt;0,1,0)</f>
        <v>1</v>
      </c>
      <c r="G9" s="23" t="n">
        <f aca="false">IF(COUNTIF('Claude vs tools'!$K$2:$M$48,C9)&gt;0,1,0)</f>
        <v>1</v>
      </c>
    </row>
    <row r="10" customFormat="false" ht="15" hidden="false" customHeight="false" outlineLevel="0" collapsed="false">
      <c r="A10" s="26" t="s">
        <v>183</v>
      </c>
      <c r="B10" s="26" t="s">
        <v>189</v>
      </c>
      <c r="C10" s="26" t="s">
        <v>204</v>
      </c>
      <c r="E10" s="23" t="n">
        <f aca="false">IF(COUNTIF('Claude vs tools'!$K$2:$M$48,A10)&gt;0,1,0)</f>
        <v>0</v>
      </c>
      <c r="F10" s="23" t="n">
        <f aca="false">IF(COUNTIF('Claude vs tools'!$K$2:$M$48,B10)&gt;0,1,0)</f>
        <v>0</v>
      </c>
      <c r="G10" s="23" t="n">
        <f aca="false">IF(COUNTIF('Claude vs tools'!$K$2:$M$48,C10)&gt;0,1,0)</f>
        <v>0</v>
      </c>
    </row>
    <row r="11" customFormat="false" ht="15" hidden="false" customHeight="false" outlineLevel="0" collapsed="false">
      <c r="A11" s="26" t="s">
        <v>133</v>
      </c>
      <c r="B11" s="26" t="s">
        <v>191</v>
      </c>
      <c r="C11" s="26" t="s">
        <v>98</v>
      </c>
      <c r="E11" s="23" t="n">
        <f aca="false">IF(COUNTIF('Claude vs tools'!$K$2:$M$48,A11)&gt;0,1,0)</f>
        <v>0</v>
      </c>
      <c r="F11" s="23" t="n">
        <f aca="false">IF(COUNTIF('Claude vs tools'!$K$2:$M$48,B11)&gt;0,1,0)</f>
        <v>0</v>
      </c>
      <c r="G11" s="23" t="n">
        <f aca="false">IF(COUNTIF('Claude vs tools'!$K$2:$M$48,C11)&gt;0,1,0)</f>
        <v>1</v>
      </c>
    </row>
    <row r="12" customFormat="false" ht="15" hidden="false" customHeight="false" outlineLevel="0" collapsed="false">
      <c r="A12" s="26" t="s">
        <v>164</v>
      </c>
      <c r="B12" s="26" t="s">
        <v>164</v>
      </c>
      <c r="C12" s="26" t="s">
        <v>205</v>
      </c>
      <c r="E12" s="23" t="n">
        <f aca="false">IF(COUNTIF('Claude vs tools'!$K$2:$M$48,A12)&gt;0,1,0)</f>
        <v>0</v>
      </c>
      <c r="F12" s="23" t="n">
        <f aca="false">IF(COUNTIF('Claude vs tools'!$K$2:$M$48,B12)&gt;0,1,0)</f>
        <v>0</v>
      </c>
      <c r="G12" s="23" t="n">
        <f aca="false">IF(COUNTIF('Claude vs tools'!$K$2:$M$48,C12)&gt;0,1,0)</f>
        <v>0</v>
      </c>
    </row>
    <row r="13" customFormat="false" ht="15" hidden="false" customHeight="false" outlineLevel="0" collapsed="false">
      <c r="A13" s="26" t="s">
        <v>91</v>
      </c>
      <c r="B13" s="26" t="s">
        <v>281</v>
      </c>
      <c r="C13" s="26" t="s">
        <v>173</v>
      </c>
      <c r="E13" s="23" t="n">
        <f aca="false">IF(COUNTIF('Claude vs tools'!$K$2:$M$48,A13)&gt;0,1,0)</f>
        <v>1</v>
      </c>
      <c r="F13" s="23" t="n">
        <f aca="false">IF(COUNTIF('Claude vs tools'!$K$2:$M$48,B13)&gt;0,1,0)</f>
        <v>0</v>
      </c>
      <c r="G13" s="23" t="n">
        <f aca="false">IF(COUNTIF('Claude vs tools'!$K$2:$M$48,C13)&gt;0,1,0)</f>
        <v>0</v>
      </c>
    </row>
    <row r="14" customFormat="false" ht="15" hidden="false" customHeight="false" outlineLevel="0" collapsed="false">
      <c r="A14" s="26" t="s">
        <v>197</v>
      </c>
      <c r="B14" s="26" t="s">
        <v>297</v>
      </c>
      <c r="C14" s="26" t="s">
        <v>174</v>
      </c>
      <c r="E14" s="23" t="n">
        <f aca="false">IF(COUNTIF('Claude vs tools'!$K$2:$M$48,A14)&gt;0,1,0)</f>
        <v>0</v>
      </c>
      <c r="F14" s="23" t="n">
        <f aca="false">IF(COUNTIF('Claude vs tools'!$K$2:$M$48,B14)&gt;0,1,0)</f>
        <v>0</v>
      </c>
      <c r="G14" s="23" t="n">
        <f aca="false">IF(COUNTIF('Claude vs tools'!$K$2:$M$48,C14)&gt;0,1,0)</f>
        <v>0</v>
      </c>
    </row>
    <row r="15" customFormat="false" ht="15" hidden="false" customHeight="false" outlineLevel="0" collapsed="false">
      <c r="A15" s="26" t="s">
        <v>198</v>
      </c>
      <c r="B15" s="26" t="s">
        <v>129</v>
      </c>
      <c r="C15" s="26" t="s">
        <v>170</v>
      </c>
      <c r="E15" s="23" t="n">
        <f aca="false">IF(COUNTIF('Claude vs tools'!$K$2:$M$48,A15)&gt;0,1,0)</f>
        <v>0</v>
      </c>
      <c r="F15" s="23" t="n">
        <f aca="false">IF(COUNTIF('Claude vs tools'!$K$2:$M$48,B15)&gt;0,1,0)</f>
        <v>1</v>
      </c>
      <c r="G15" s="23" t="n">
        <f aca="false">IF(COUNTIF('Claude vs tools'!$K$2:$M$48,C15)&gt;0,1,0)</f>
        <v>0</v>
      </c>
    </row>
    <row r="16" customFormat="false" ht="15" hidden="false" customHeight="false" outlineLevel="0" collapsed="false">
      <c r="A16" s="26" t="s">
        <v>200</v>
      </c>
      <c r="B16" s="26" t="s">
        <v>167</v>
      </c>
      <c r="C16" s="26" t="s">
        <v>70</v>
      </c>
      <c r="E16" s="23" t="n">
        <f aca="false">IF(COUNTIF('Claude vs tools'!$K$2:$M$48,A16)&gt;0,1,0)</f>
        <v>0</v>
      </c>
      <c r="F16" s="23" t="n">
        <f aca="false">IF(COUNTIF('Claude vs tools'!$K$2:$M$48,B16)&gt;0,1,0)</f>
        <v>0</v>
      </c>
      <c r="G16" s="23" t="n">
        <f aca="false">IF(COUNTIF('Claude vs tools'!$K$2:$M$48,C16)&gt;0,1,0)</f>
        <v>1</v>
      </c>
    </row>
    <row r="17" customFormat="false" ht="15" hidden="false" customHeight="false" outlineLevel="0" collapsed="false">
      <c r="A17" s="26" t="s">
        <v>167</v>
      </c>
      <c r="B17" s="26" t="s">
        <v>298</v>
      </c>
      <c r="C17" s="26" t="s">
        <v>21</v>
      </c>
      <c r="E17" s="23" t="n">
        <f aca="false">IF(COUNTIF('Claude vs tools'!$K$2:$M$48,A17)&gt;0,1,0)</f>
        <v>0</v>
      </c>
      <c r="F17" s="23" t="n">
        <f aca="false">IF(COUNTIF('Claude vs tools'!$K$2:$M$48,B17)&gt;0,1,0)</f>
        <v>0</v>
      </c>
      <c r="G17" s="23" t="n">
        <f aca="false">IF(COUNTIF('Claude vs tools'!$K$2:$M$48,C17)&gt;0,1,0)</f>
        <v>1</v>
      </c>
    </row>
    <row r="18" customFormat="false" ht="15" hidden="false" customHeight="false" outlineLevel="0" collapsed="false">
      <c r="A18" s="26" t="s">
        <v>87</v>
      </c>
      <c r="B18" s="26" t="s">
        <v>203</v>
      </c>
      <c r="C18" s="26" t="s">
        <v>25</v>
      </c>
      <c r="E18" s="23" t="n">
        <f aca="false">IF(COUNTIF('Claude vs tools'!$K$2:$M$48,A18)&gt;0,1,0)</f>
        <v>1</v>
      </c>
      <c r="F18" s="23" t="n">
        <f aca="false">IF(COUNTIF('Claude vs tools'!$K$2:$M$48,B18)&gt;0,1,0)</f>
        <v>0</v>
      </c>
      <c r="G18" s="23" t="n">
        <f aca="false">IF(COUNTIF('Claude vs tools'!$K$2:$M$48,C18)&gt;0,1,0)</f>
        <v>1</v>
      </c>
    </row>
    <row r="19" customFormat="false" ht="15" hidden="false" customHeight="false" outlineLevel="0" collapsed="false">
      <c r="A19" s="26" t="s">
        <v>86</v>
      </c>
      <c r="B19" s="26" t="s">
        <v>98</v>
      </c>
      <c r="C19" s="26" t="s">
        <v>26</v>
      </c>
      <c r="E19" s="23" t="n">
        <f aca="false">IF(COUNTIF('Claude vs tools'!$K$2:$M$48,A19)&gt;0,1,0)</f>
        <v>1</v>
      </c>
      <c r="F19" s="23" t="n">
        <f aca="false">IF(COUNTIF('Claude vs tools'!$K$2:$M$48,B19)&gt;0,1,0)</f>
        <v>1</v>
      </c>
      <c r="G19" s="23" t="n">
        <f aca="false">IF(COUNTIF('Claude vs tools'!$K$2:$M$48,C19)&gt;0,1,0)</f>
        <v>1</v>
      </c>
    </row>
    <row r="20" customFormat="false" ht="15" hidden="false" customHeight="false" outlineLevel="0" collapsed="false">
      <c r="A20" s="26" t="s">
        <v>202</v>
      </c>
      <c r="B20" s="26" t="s">
        <v>208</v>
      </c>
      <c r="C20" s="26" t="s">
        <v>176</v>
      </c>
      <c r="E20" s="23" t="n">
        <f aca="false">IF(COUNTIF('Claude vs tools'!$K$2:$M$48,A20)&gt;0,1,0)</f>
        <v>0</v>
      </c>
      <c r="F20" s="23" t="n">
        <f aca="false">IF(COUNTIF('Claude vs tools'!$K$2:$M$48,B20)&gt;0,1,0)</f>
        <v>0</v>
      </c>
      <c r="G20" s="23" t="n">
        <f aca="false">IF(COUNTIF('Claude vs tools'!$K$2:$M$48,C20)&gt;0,1,0)</f>
        <v>0</v>
      </c>
    </row>
    <row r="21" customFormat="false" ht="15" hidden="false" customHeight="false" outlineLevel="0" collapsed="false">
      <c r="A21" s="26" t="s">
        <v>206</v>
      </c>
      <c r="B21" s="26" t="s">
        <v>30</v>
      </c>
      <c r="C21" s="26" t="s">
        <v>79</v>
      </c>
      <c r="E21" s="23" t="n">
        <f aca="false">IF(COUNTIF('Claude vs tools'!$K$2:$M$48,A21)&gt;0,1,0)</f>
        <v>0</v>
      </c>
      <c r="F21" s="23" t="n">
        <f aca="false">IF(COUNTIF('Claude vs tools'!$K$2:$M$48,B21)&gt;0,1,0)</f>
        <v>1</v>
      </c>
      <c r="G21" s="23" t="n">
        <f aca="false">IF(COUNTIF('Claude vs tools'!$K$2:$M$48,C21)&gt;0,1,0)</f>
        <v>1</v>
      </c>
    </row>
    <row r="22" customFormat="false" ht="15" hidden="false" customHeight="false" outlineLevel="0" collapsed="false">
      <c r="A22" s="26" t="s">
        <v>173</v>
      </c>
      <c r="B22" s="26" t="s">
        <v>31</v>
      </c>
      <c r="C22" s="26" t="s">
        <v>213</v>
      </c>
      <c r="E22" s="23" t="n">
        <f aca="false">IF(COUNTIF('Claude vs tools'!$K$2:$M$48,A22)&gt;0,1,0)</f>
        <v>0</v>
      </c>
      <c r="F22" s="23" t="n">
        <f aca="false">IF(COUNTIF('Claude vs tools'!$K$2:$M$48,B22)&gt;0,1,0)</f>
        <v>1</v>
      </c>
      <c r="G22" s="23" t="n">
        <f aca="false">IF(COUNTIF('Claude vs tools'!$K$2:$M$48,C22)&gt;0,1,0)</f>
        <v>0</v>
      </c>
    </row>
    <row r="23" customFormat="false" ht="15" hidden="false" customHeight="false" outlineLevel="0" collapsed="false">
      <c r="A23" s="26" t="s">
        <v>207</v>
      </c>
      <c r="B23" s="26" t="s">
        <v>170</v>
      </c>
      <c r="C23" s="26" t="s">
        <v>171</v>
      </c>
      <c r="E23" s="23" t="n">
        <f aca="false">IF(COUNTIF('Claude vs tools'!$K$2:$M$48,A23)&gt;0,1,0)</f>
        <v>0</v>
      </c>
      <c r="F23" s="23" t="n">
        <f aca="false">IF(COUNTIF('Claude vs tools'!$K$2:$M$48,B23)&gt;0,1,0)</f>
        <v>0</v>
      </c>
      <c r="G23" s="23" t="n">
        <f aca="false">IF(COUNTIF('Claude vs tools'!$K$2:$M$48,C23)&gt;0,1,0)</f>
        <v>0</v>
      </c>
    </row>
    <row r="24" customFormat="false" ht="15" hidden="false" customHeight="false" outlineLevel="0" collapsed="false">
      <c r="A24" s="26" t="s">
        <v>174</v>
      </c>
      <c r="B24" s="26" t="s">
        <v>211</v>
      </c>
      <c r="E24" s="23" t="n">
        <f aca="false">IF(COUNTIF('Claude vs tools'!$K$2:$M$48,A24)&gt;0,1,0)</f>
        <v>0</v>
      </c>
      <c r="F24" s="23" t="n">
        <f aca="false">IF(COUNTIF('Claude vs tools'!$K$2:$M$48,B24)&gt;0,1,0)</f>
        <v>0</v>
      </c>
    </row>
    <row r="25" customFormat="false" ht="15" hidden="false" customHeight="false" outlineLevel="0" collapsed="false">
      <c r="A25" s="26" t="s">
        <v>138</v>
      </c>
      <c r="B25" s="26" t="s">
        <v>25</v>
      </c>
      <c r="E25" s="23" t="n">
        <f aca="false">IF(COUNTIF('Claude vs tools'!$K$2:$M$48,A25)&gt;0,1,0)</f>
        <v>1</v>
      </c>
      <c r="F25" s="23" t="n">
        <f aca="false">IF(COUNTIF('Claude vs tools'!$K$2:$M$48,B25)&gt;0,1,0)</f>
        <v>1</v>
      </c>
    </row>
    <row r="26" customFormat="false" ht="15" hidden="false" customHeight="false" outlineLevel="0" collapsed="false">
      <c r="A26" s="26" t="s">
        <v>68</v>
      </c>
      <c r="B26" s="26" t="s">
        <v>26</v>
      </c>
      <c r="E26" s="23" t="n">
        <f aca="false">IF(COUNTIF('Claude vs tools'!$K$2:$M$48,A26)&gt;0,1,0)</f>
        <v>1</v>
      </c>
      <c r="F26" s="23" t="n">
        <f aca="false">IF(COUNTIF('Claude vs tools'!$K$2:$M$48,B26)&gt;0,1,0)</f>
        <v>1</v>
      </c>
    </row>
    <row r="27" customFormat="false" ht="15" hidden="false" customHeight="false" outlineLevel="0" collapsed="false">
      <c r="A27" s="26" t="s">
        <v>170</v>
      </c>
      <c r="B27" s="26" t="s">
        <v>176</v>
      </c>
      <c r="E27" s="23" t="n">
        <f aca="false">IF(COUNTIF('Claude vs tools'!$K$2:$M$48,A27)&gt;0,1,0)</f>
        <v>0</v>
      </c>
      <c r="F27" s="23" t="n">
        <f aca="false">IF(COUNTIF('Claude vs tools'!$K$2:$M$48,B27)&gt;0,1,0)</f>
        <v>0</v>
      </c>
    </row>
    <row r="28" customFormat="false" ht="15" hidden="false" customHeight="false" outlineLevel="0" collapsed="false">
      <c r="A28" s="26" t="s">
        <v>210</v>
      </c>
      <c r="B28" s="26" t="s">
        <v>299</v>
      </c>
      <c r="E28" s="23" t="n">
        <f aca="false">IF(COUNTIF('Claude vs tools'!$K$2:$M$48,A28)&gt;0,1,0)</f>
        <v>0</v>
      </c>
      <c r="F28" s="23" t="n">
        <f aca="false">IF(COUNTIF('Claude vs tools'!$K$2:$M$48,B28)&gt;0,1,0)</f>
        <v>0</v>
      </c>
    </row>
    <row r="29" customFormat="false" ht="15" hidden="false" customHeight="false" outlineLevel="0" collapsed="false">
      <c r="A29" s="26" t="s">
        <v>69</v>
      </c>
      <c r="B29" s="26" t="s">
        <v>171</v>
      </c>
      <c r="E29" s="23" t="n">
        <f aca="false">IF(COUNTIF('Claude vs tools'!$K$2:$M$48,A29)&gt;0,1,0)</f>
        <v>1</v>
      </c>
      <c r="F29" s="23" t="n">
        <f aca="false">IF(COUNTIF('Claude vs tools'!$K$2:$M$48,B29)&gt;0,1,0)</f>
        <v>0</v>
      </c>
    </row>
    <row r="30" customFormat="false" ht="15" hidden="false" customHeight="false" outlineLevel="0" collapsed="false">
      <c r="A30" s="26" t="s">
        <v>171</v>
      </c>
      <c r="E30" s="23" t="n">
        <f aca="false">IF(COUNTIF('Claude vs tools'!$K$2:$M$48,A30)&gt;0,1,0)</f>
        <v>0</v>
      </c>
    </row>
    <row r="31" customFormat="false" ht="15" hidden="false" customHeight="false" outlineLevel="0" collapsed="false">
      <c r="A31" s="26" t="s">
        <v>215</v>
      </c>
      <c r="E31" s="23" t="n">
        <f aca="false">IF(COUNTIF('Claude vs tools'!$K$2:$M$48,A31)&gt;0,1,0)</f>
        <v>0</v>
      </c>
    </row>
    <row r="32" customFormat="false" ht="15" hidden="false" customHeight="false" outlineLevel="0" collapsed="false">
      <c r="A32" s="26" t="s">
        <v>217</v>
      </c>
      <c r="E32" s="23" t="n">
        <f aca="false">IF(COUNTIF('Claude vs tools'!$K$2:$M$48,A32)&gt;0,1,0)</f>
        <v>0</v>
      </c>
    </row>
    <row r="35" customFormat="false" ht="15" hidden="false" customHeight="false" outlineLevel="0" collapsed="false">
      <c r="A35" s="19" t="s">
        <v>300</v>
      </c>
    </row>
  </sheetData>
  <conditionalFormatting sqref="E2:E32">
    <cfRule type="expression" priority="2" aboveAverage="0" equalAverage="0" bottom="0" percent="0" rank="0" text="" dxfId="17">
      <formula>E2=1</formula>
    </cfRule>
  </conditionalFormatting>
  <conditionalFormatting sqref="F2:F29">
    <cfRule type="expression" priority="3" aboveAverage="0" equalAverage="0" bottom="0" percent="0" rank="0" text="" dxfId="17">
      <formula>F2=1</formula>
    </cfRule>
  </conditionalFormatting>
  <conditionalFormatting sqref="G2:G23">
    <cfRule type="expression" priority="4" aboveAverage="0" equalAverage="0" bottom="0" percent="0" rank="0" text="" dxfId="17">
      <formula>G2=1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2026-10-24T20:21:19Z</dcterms:created>
  <dc:creator>openpyxl</dc:creator>
  <dc:description/>
  <dc:language>en-US</dc:language>
  <cp:lastModifiedBy/>
  <dcterms:modified xsi:type="dcterms:W3CDTF">2026-10-24T20:21:19Z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